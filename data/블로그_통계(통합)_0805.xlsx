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6" tabRatio="644" firstSheet="0" activeTab="0" autoFilterDateGrouping="1"/>
  </bookViews>
  <sheets>
    <sheet xmlns:r="http://schemas.openxmlformats.org/officeDocument/2006/relationships" name="블로그 데이터(7월)" sheetId="1" state="visible" r:id="rId1"/>
    <sheet xmlns:r="http://schemas.openxmlformats.org/officeDocument/2006/relationships" name="키워드 분석(7월)" sheetId="2" state="visible" r:id="rId2"/>
    <sheet xmlns:r="http://schemas.openxmlformats.org/officeDocument/2006/relationships" name="카테고리 분류(7월)" sheetId="3" state="visible" r:id="rId3"/>
    <sheet xmlns:r="http://schemas.openxmlformats.org/officeDocument/2006/relationships" name="블로그 데이터(6월)" sheetId="4" state="visible" r:id="rId4"/>
    <sheet xmlns:r="http://schemas.openxmlformats.org/officeDocument/2006/relationships" name="키워드 분석(6월)" sheetId="5" state="visible" r:id="rId5"/>
    <sheet xmlns:r="http://schemas.openxmlformats.org/officeDocument/2006/relationships" name="카테고리 분류(6월)" sheetId="6" state="visible" r:id="rId6"/>
    <sheet xmlns:r="http://schemas.openxmlformats.org/officeDocument/2006/relationships" name="블로그 데이터(5월)" sheetId="7" state="visible" r:id="rId7"/>
    <sheet xmlns:r="http://schemas.openxmlformats.org/officeDocument/2006/relationships" name="키워드 분석5월)" sheetId="8" state="visible" r:id="rId8"/>
    <sheet xmlns:r="http://schemas.openxmlformats.org/officeDocument/2006/relationships" name="카테고리 분류(5월)" sheetId="9" state="visible" r:id="rId9"/>
    <sheet xmlns:r="http://schemas.openxmlformats.org/officeDocument/2006/relationships" name="블로그 데이터(4월)" sheetId="10" state="visible" r:id="rId10"/>
    <sheet xmlns:r="http://schemas.openxmlformats.org/officeDocument/2006/relationships" name="키워드 분석(4월)" sheetId="11" state="visible" r:id="rId11"/>
    <sheet xmlns:r="http://schemas.openxmlformats.org/officeDocument/2006/relationships" name="카테고리 분류(4월)" sheetId="12" state="visible" r:id="rId12"/>
  </sheets>
  <definedNames>
    <definedName name="_xlnm._FilterDatabase" localSheetId="2" hidden="1">'카테고리 분류(7월)'!$A$1:$F$1</definedName>
    <definedName name="_xlnm._FilterDatabase" localSheetId="5" hidden="1">'카테고리 분류(6월)'!$A$1:$F$1</definedName>
    <definedName name="_xlnm._FilterDatabase" localSheetId="8" hidden="1">'카테고리 분류(5월)'!$A$1:$F$268</definedName>
    <definedName name="_xlnm._FilterDatabase" localSheetId="11" hidden="1">'카테고리 분류(4월)'!$A$1:$F$409</definedName>
  </definedNames>
  <calcPr calcId="162913" fullCalcOnLoad="1" iterateDelta="0.0001"/>
</workbook>
</file>

<file path=xl/styles.xml><?xml version="1.0" encoding="utf-8"?>
<styleSheet xmlns="http://schemas.openxmlformats.org/spreadsheetml/2006/main">
  <numFmts count="0"/>
  <fonts count="36">
    <font>
      <name val="Calibri"/>
      <charset val="1"/>
      <family val="2"/>
      <color theme="1"/>
      <sz val="11"/>
    </font>
    <font>
      <name val="맑은 고딕"/>
      <charset val="129"/>
      <family val="2"/>
      <color theme="1"/>
      <sz val="11"/>
    </font>
    <font>
      <name val="맑은 고딕"/>
      <charset val="1"/>
      <family val="2"/>
      <color theme="1"/>
      <sz val="11"/>
    </font>
    <font>
      <name val="Noto Sans CJK SC"/>
      <charset val="1"/>
      <family val="2"/>
      <b val="1"/>
      <color rgb="FFFFFFFF"/>
      <sz val="10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7F6000"/>
      <sz val="9"/>
    </font>
    <font>
      <name val="Noto Sans CJK SC"/>
      <family val="2"/>
      <color rgb="FF7F6000"/>
      <sz val="9"/>
    </font>
    <font>
      <name val="Noto Sans CJK SC"/>
      <charset val="1"/>
      <family val="2"/>
      <b val="1"/>
      <color rgb="FF000000"/>
      <sz val="9"/>
    </font>
    <font>
      <name val="맑은 고딕"/>
      <charset val="129"/>
      <family val="3"/>
      <color rgb="FF000000"/>
      <sz val="10"/>
    </font>
    <font>
      <name val="Noto Sans CJK SC"/>
      <charset val="1"/>
      <family val="2"/>
      <color rgb="FF000000"/>
      <sz val="10"/>
    </font>
    <font>
      <name val="Noto Sans CJK SC"/>
      <family val="2"/>
      <color rgb="FF000000"/>
      <sz val="10"/>
    </font>
    <font>
      <name val="맑은 고딕"/>
      <charset val="129"/>
      <family val="3"/>
      <b val="1"/>
      <color rgb="FF000000"/>
      <sz val="13"/>
    </font>
    <font>
      <name val="Noto Sans CJK SC"/>
      <family val="2"/>
      <b val="1"/>
      <color rgb="FF000000"/>
      <sz val="13"/>
    </font>
    <font>
      <name val="Noto Sans CJK SC"/>
      <charset val="1"/>
      <family val="2"/>
      <color rgb="FF000000"/>
      <sz val="9"/>
    </font>
    <font>
      <name val="Noto Sans CJK SC"/>
      <charset val="1"/>
      <b val="1"/>
      <color rgb="FFFFFFFF"/>
      <sz val="10"/>
    </font>
    <font>
      <name val="Noto Sans CJK SC"/>
      <charset val="1"/>
      <sz val="10"/>
    </font>
    <font>
      <name val="Noto Sans CJK SC"/>
      <charset val="1"/>
      <color rgb="FFFFFFFF"/>
      <sz val="10"/>
    </font>
    <font>
      <name val="Noto Sans CJK SC"/>
      <charset val="1"/>
      <color rgb="FF000000"/>
      <sz val="10"/>
    </font>
    <font>
      <name val="Noto Sans CJK SC"/>
      <charset val="1"/>
      <family val="2"/>
      <color theme="1"/>
      <sz val="11"/>
    </font>
    <font>
      <name val="Noto Sans CJK SC"/>
      <charset val="1"/>
      <family val="2"/>
      <sz val="10"/>
    </font>
    <font>
      <name val="맑은 고딕"/>
      <charset val="129"/>
      <family val="3"/>
      <sz val="10"/>
    </font>
    <font>
      <name val="Noto Sans CJK SC"/>
      <family val="2"/>
      <sz val="10"/>
    </font>
    <font>
      <name val="Calibri"/>
      <charset val="1"/>
      <family val="2"/>
      <color theme="1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맑은 고딕 Semilight"/>
      <charset val="129"/>
      <family val="3"/>
      <color rgb="FF000000"/>
      <sz val="10"/>
    </font>
    <font>
      <name val="돋움"/>
      <charset val="129"/>
      <family val="3"/>
      <b val="1"/>
      <color rgb="FFFFFFFF"/>
      <sz val="10"/>
    </font>
    <font>
      <name val="돋움"/>
      <charset val="129"/>
      <family val="3"/>
      <color rgb="FF000000"/>
      <sz val="10"/>
    </font>
    <font>
      <name val="Calibri"/>
      <charset val="1"/>
      <family val="2"/>
      <color theme="10"/>
      <sz val="11"/>
      <u val="single"/>
    </font>
    <font>
      <name val="Noto Sans CJK SC"/>
      <charset val="1"/>
      <family val="2"/>
      <color theme="10"/>
      <sz val="11"/>
      <u val="single"/>
    </font>
    <font>
      <name val="Calibri"/>
      <family val="2"/>
      <color theme="10"/>
      <sz val="11"/>
      <u val="single"/>
    </font>
    <font>
      <name val="돋움"/>
      <charset val="129"/>
      <family val="3"/>
      <color theme="1"/>
      <sz val="11"/>
    </font>
    <font>
      <name val="맑은 고딕"/>
      <charset val="129"/>
      <family val="3"/>
      <color theme="10"/>
      <sz val="11"/>
      <u val="single"/>
    </font>
    <font>
      <name val="Noto Sans CJK SC"/>
      <sz val="10"/>
    </font>
    <font>
      <name val="Noto Sans CJK SC"/>
      <color rgb="FFFFFFFF"/>
      <sz val="10"/>
    </font>
    <font>
      <name val="Noto Sans CJK SC"/>
      <color rgb="FF000000"/>
      <sz val="10"/>
    </font>
  </fonts>
  <fills count="24">
    <fill>
      <patternFill/>
    </fill>
    <fill>
      <patternFill patternType="gray125"/>
    </fill>
    <fill>
      <patternFill patternType="solid">
        <fgColor rgb="FF2F4F5F"/>
        <bgColor rgb="FF1F6B3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DDDDDD"/>
      </patternFill>
    </fill>
    <fill>
      <patternFill patternType="solid">
        <fgColor rgb="FFFFB3B3"/>
        <bgColor rgb="FFFF99CC"/>
      </patternFill>
    </fill>
    <fill>
      <patternFill patternType="solid">
        <fgColor theme="4" tint="0.3998840296639912"/>
        <bgColor rgb="FFAAAAAA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1F6B3A"/>
        <bgColor rgb="FF2F4F5F"/>
      </patternFill>
    </fill>
    <fill>
      <patternFill patternType="solid">
        <fgColor theme="0" tint="-0.3499862666707358"/>
        <bgColor rgb="FFAAAAAA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88888"/>
      </patternFill>
    </fill>
    <fill>
      <patternFill patternType="solid">
        <fgColor rgb="FF2E75B6"/>
        <bgColor rgb="FF4472C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ED7D31"/>
      </patternFill>
    </fill>
    <fill>
      <patternFill patternType="solid">
        <fgColor theme="0" tint="-0.3499862666707358"/>
      </patternFill>
    </fill>
    <fill>
      <patternFill patternType="solid">
        <fgColor rgb="FF70AD47"/>
      </patternFill>
    </fill>
    <fill>
      <patternFill patternType="solid">
        <fgColor rgb="FF1F6B3A"/>
      </patternFill>
    </fill>
    <fill>
      <patternFill patternType="solid">
        <fgColor rgb="FFD9D9D9"/>
      </patternFill>
    </fill>
    <fill>
      <patternFill patternType="solid">
        <fgColor rgb="FF2E75B6"/>
      </patternFill>
    </fill>
  </fills>
  <borders count="5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medium">
        <color rgb="FF88888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88888"/>
      </top>
      <bottom style="thin">
        <color rgb="FFBFBFBF"/>
      </bottom>
      <diagonal/>
    </border>
    <border>
      <left style="thin">
        <color rgb="FFBFBFBF"/>
      </left>
      <right style="medium">
        <color rgb="FF888888"/>
      </right>
      <top style="medium">
        <color rgb="FF888888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medium">
        <color rgb="FF88888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88888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medium">
        <color rgb="FF888888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888888"/>
      </right>
      <top style="thin">
        <color rgb="FFBFBFBF"/>
      </top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thin">
        <color rgb="FF888888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thin">
        <color rgb="FF888888"/>
      </bottom>
      <diagonal/>
    </border>
    <border>
      <left style="medium">
        <color rgb="FF888888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888888"/>
      </right>
      <top/>
      <bottom/>
      <diagonal/>
    </border>
    <border>
      <left style="medium">
        <color rgb="FF888888"/>
      </left>
      <right/>
      <top style="medium">
        <color rgb="FF888888"/>
      </top>
      <bottom style="thin">
        <color rgb="FFBFBFBF"/>
      </bottom>
      <diagonal/>
    </border>
    <border>
      <left style="hair">
        <color rgb="FF888888"/>
      </left>
      <right style="medium">
        <color rgb="FF888888"/>
      </right>
      <top style="medium">
        <color rgb="FF888888"/>
      </top>
      <bottom style="hair">
        <color rgb="FF888888"/>
      </bottom>
      <diagonal/>
    </border>
    <border>
      <left style="medium">
        <color rgb="FF888888"/>
      </left>
      <right style="thin">
        <color rgb="FFBFBFBF"/>
      </right>
      <top style="thin">
        <color rgb="FF888888"/>
      </top>
      <bottom style="medium">
        <color rgb="FF888888"/>
      </bottom>
      <diagonal/>
    </border>
    <border>
      <left style="thin">
        <color rgb="FFBFBFBF"/>
      </left>
      <right style="medium">
        <color rgb="FF888888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hair">
        <color rgb="FF888888"/>
      </right>
      <top style="thin">
        <color rgb="FFBFBFBF"/>
      </top>
      <bottom style="thin">
        <color rgb="FFBFBFBF"/>
      </bottom>
      <diagonal/>
    </border>
    <border>
      <left style="hair">
        <color rgb="FF888888"/>
      </left>
      <right style="medium">
        <color rgb="FF888888"/>
      </right>
      <top style="hair">
        <color rgb="FF888888"/>
      </top>
      <bottom style="hair">
        <color rgb="FF888888"/>
      </bottom>
      <diagonal/>
    </border>
    <border>
      <left style="medium">
        <color rgb="FF888888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hair">
        <color rgb="FF888888"/>
      </right>
      <top style="thin">
        <color rgb="FFBFBFBF"/>
      </top>
      <bottom style="thin">
        <color auto="1"/>
      </bottom>
      <diagonal/>
    </border>
    <border>
      <left style="hair">
        <color rgb="FF888888"/>
      </left>
      <right style="medium">
        <color rgb="FF888888"/>
      </right>
      <top style="hair">
        <color rgb="FF888888"/>
      </top>
      <bottom style="thin">
        <color auto="1"/>
      </bottom>
      <diagonal/>
    </border>
    <border>
      <left style="thin">
        <color rgb="FFBFBFBF"/>
      </left>
      <right/>
      <top/>
      <bottom/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medium">
        <color rgb="FF888888"/>
      </bottom>
      <diagonal/>
    </border>
    <border>
      <left style="hair">
        <color rgb="FF888888"/>
      </left>
      <right style="medium">
        <color rgb="FF888888"/>
      </right>
      <top style="hair">
        <color rgb="FF888888"/>
      </top>
      <bottom style="medium">
        <color rgb="FF888888"/>
      </bottom>
      <diagonal/>
    </border>
    <border>
      <left style="medium">
        <color rgb="FF888888"/>
      </left>
      <right style="thin">
        <color rgb="FFBFBFBF"/>
      </right>
      <top/>
      <bottom style="medium">
        <color rgb="FF888888"/>
      </bottom>
      <diagonal/>
    </border>
    <border>
      <left style="thin">
        <color rgb="FFBFBFBF"/>
      </left>
      <right style="medium">
        <color rgb="FF888888"/>
      </right>
      <top/>
      <bottom style="thick">
        <color rgb="FFBFBFBF"/>
      </bottom>
      <diagonal/>
    </border>
    <border>
      <left style="thin">
        <color rgb="FF88888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thin">
        <color rgb="FFBFBFBF"/>
      </right>
      <top style="hair">
        <color rgb="FF888888"/>
      </top>
      <bottom/>
      <diagonal/>
    </border>
    <border>
      <left style="thin">
        <color rgb="FFBFBFBF"/>
      </left>
      <right style="thin">
        <color rgb="FFBFBFBF"/>
      </right>
      <top style="hair">
        <color rgb="FF888888"/>
      </top>
      <bottom/>
      <diagonal/>
    </border>
    <border>
      <left style="thin">
        <color rgb="FFBFBFBF"/>
      </left>
      <right style="medium">
        <color rgb="FF888888"/>
      </right>
      <top style="hair">
        <color rgb="FF888888"/>
      </top>
      <bottom/>
      <diagonal/>
    </border>
    <border>
      <left/>
      <right/>
      <top style="hair">
        <color rgb="FF888888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rgb="FF888888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888888"/>
      </bottom>
      <diagonal/>
    </border>
    <border>
      <left/>
      <right/>
      <top style="thin">
        <color rgb="FFBFBFBF"/>
      </top>
      <bottom style="medium">
        <color rgb="FF888888"/>
      </bottom>
      <diagonal/>
    </border>
    <border>
      <left/>
      <right style="medium">
        <color rgb="FF888888"/>
      </right>
      <top style="thin">
        <color rgb="FFBFBFBF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AAAAAA"/>
      </top>
      <bottom style="thin">
        <color rgb="FFDDDDDD"/>
      </bottom>
      <diagonal/>
    </border>
    <border>
      <left/>
      <right style="medium">
        <color rgb="FF888888"/>
      </right>
      <top style="medium">
        <color rgb="FF888888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hair">
        <color rgb="FF888888"/>
      </right>
      <top style="thin">
        <color rgb="FFBFBFBF"/>
      </top>
      <bottom/>
      <diagonal/>
    </border>
    <border>
      <left/>
      <right style="hair">
        <color rgb="FF888888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/>
      <right/>
      <top style="medium">
        <color rgb="FF888888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auto="1"/>
      </bottom>
      <diagonal/>
    </border>
    <border>
      <left/>
      <right style="hair">
        <color rgb="FF888888"/>
      </right>
      <top style="thin">
        <color rgb="FFBFBFBF"/>
      </top>
      <bottom style="thin">
        <color auto="1"/>
      </bottom>
      <diagonal/>
    </border>
    <border>
      <left/>
      <right/>
      <top/>
      <bottom style="medium">
        <color rgb="FF888888"/>
      </bottom>
      <diagonal/>
    </border>
  </borders>
  <cellStyleXfs count="6">
    <xf numFmtId="0" fontId="2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/>
    <xf numFmtId="0" fontId="2" fillId="0" borderId="0"/>
    <xf numFmtId="0" fontId="28" fillId="0" borderId="0"/>
  </cellStyleXfs>
  <cellXfs count="167">
    <xf numFmtId="0" fontId="0" fillId="0" borderId="0" pivotButton="0" quotePrefix="0" xfId="0"/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/>
    </xf>
    <xf numFmtId="0" fontId="8" fillId="6" borderId="4" applyAlignment="1" pivotButton="0" quotePrefix="0" xfId="0">
      <alignment horizontal="left" vertical="center"/>
    </xf>
    <xf numFmtId="0" fontId="8" fillId="6" borderId="5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10" fontId="8" fillId="0" borderId="1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/>
    </xf>
    <xf numFmtId="9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8" fillId="0" borderId="9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1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10" fontId="8" fillId="0" borderId="12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9" borderId="6" applyAlignment="1" pivotButton="0" quotePrefix="0" xfId="0">
      <alignment horizontal="left" vertical="center"/>
    </xf>
    <xf numFmtId="0" fontId="8" fillId="9" borderId="7" applyAlignment="1" pivotButton="0" quotePrefix="0" xfId="0">
      <alignment horizontal="right" vertical="center"/>
    </xf>
    <xf numFmtId="0" fontId="8" fillId="9" borderId="6" applyAlignment="1" pivotButton="0" quotePrefix="0" xfId="0">
      <alignment horizontal="left" vertical="center"/>
    </xf>
    <xf numFmtId="0" fontId="8" fillId="0" borderId="7" applyAlignment="1" pivotButton="0" quotePrefix="0" xfId="0">
      <alignment horizontal="right" vertical="center"/>
    </xf>
    <xf numFmtId="0" fontId="9" fillId="9" borderId="8" applyAlignment="1" pivotButton="0" quotePrefix="0" xfId="0">
      <alignment horizontal="left" vertical="center"/>
    </xf>
    <xf numFmtId="0" fontId="8" fillId="9" borderId="10" applyAlignment="1" pivotButton="0" quotePrefix="0" xfId="0">
      <alignment horizontal="right" vertical="center"/>
    </xf>
    <xf numFmtId="0" fontId="8" fillId="9" borderId="8" applyAlignment="1" pivotButton="0" quotePrefix="0" xfId="0">
      <alignment horizontal="left" vertical="center"/>
    </xf>
    <xf numFmtId="0" fontId="8" fillId="0" borderId="10" applyAlignment="1" pivotButton="0" quotePrefix="0" xfId="0">
      <alignment horizontal="right" vertical="center"/>
    </xf>
    <xf numFmtId="0" fontId="8" fillId="9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9" fillId="0" borderId="11" applyAlignment="1" pivotButton="0" quotePrefix="0" xfId="0">
      <alignment horizontal="left" vertical="center"/>
    </xf>
    <xf numFmtId="3" fontId="8" fillId="9" borderId="7" applyAlignment="1" pivotButton="0" quotePrefix="0" xfId="0">
      <alignment horizontal="right" vertical="center"/>
    </xf>
    <xf numFmtId="10" fontId="8" fillId="9" borderId="7" applyAlignment="1" pivotButton="0" quotePrefix="0" xfId="0">
      <alignment horizontal="right" vertical="center"/>
    </xf>
    <xf numFmtId="10" fontId="8" fillId="0" borderId="7" applyAlignment="1" pivotButton="0" quotePrefix="0" xfId="0">
      <alignment horizontal="right" vertical="center"/>
    </xf>
    <xf numFmtId="10" fontId="8" fillId="0" borderId="7" applyAlignment="1" pivotButton="0" quotePrefix="0" xfId="0">
      <alignment horizontal="right" vertical="center" wrapText="1"/>
    </xf>
    <xf numFmtId="10" fontId="8" fillId="9" borderId="10" applyAlignment="1" pivotButton="0" quotePrefix="0" xfId="0">
      <alignment horizontal="right" vertical="center"/>
    </xf>
    <xf numFmtId="3" fontId="8" fillId="0" borderId="7" applyAlignment="1" pivotButton="0" quotePrefix="0" xfId="0">
      <alignment horizontal="right" vertical="center"/>
    </xf>
    <xf numFmtId="10" fontId="8" fillId="0" borderId="10" applyAlignment="1" pivotButton="0" quotePrefix="0" xfId="0">
      <alignment horizontal="right" vertical="center"/>
    </xf>
    <xf numFmtId="0" fontId="8" fillId="9" borderId="15" applyAlignment="1" pivotButton="0" quotePrefix="0" xfId="0">
      <alignment horizontal="left" vertical="center"/>
    </xf>
    <xf numFmtId="3" fontId="8" fillId="9" borderId="16" applyAlignment="1" pivotButton="0" quotePrefix="0" xfId="0">
      <alignment horizontal="right" vertical="center"/>
    </xf>
    <xf numFmtId="0" fontId="8" fillId="9" borderId="17" applyAlignment="1" pivotButton="0" quotePrefix="0" xfId="0">
      <alignment horizontal="left" vertical="center"/>
    </xf>
    <xf numFmtId="3" fontId="8" fillId="9" borderId="18" applyAlignment="1" pivotButton="0" quotePrefix="0" xfId="0">
      <alignment horizontal="right" vertical="center"/>
    </xf>
    <xf numFmtId="0" fontId="3" fillId="8" borderId="14" applyAlignment="1" pivotButton="0" quotePrefix="0" xfId="0">
      <alignment horizontal="center" vertical="center"/>
    </xf>
    <xf numFmtId="0" fontId="3" fillId="8" borderId="20" applyAlignment="1" pivotButton="0" quotePrefix="0" xfId="0">
      <alignment horizontal="center" vertical="center"/>
    </xf>
    <xf numFmtId="0" fontId="8" fillId="9" borderId="21" applyAlignment="1" pivotButton="0" quotePrefix="0" xfId="0">
      <alignment horizontal="left" vertical="center"/>
    </xf>
    <xf numFmtId="3" fontId="8" fillId="9" borderId="22" applyAlignment="1" pivotButton="0" quotePrefix="0" xfId="0">
      <alignment horizontal="right" vertical="center"/>
    </xf>
    <xf numFmtId="0" fontId="13" fillId="9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/>
    </xf>
    <xf numFmtId="0" fontId="13" fillId="9" borderId="24" applyAlignment="1" pivotButton="0" quotePrefix="0" xfId="0">
      <alignment horizontal="center" vertical="center"/>
    </xf>
    <xf numFmtId="0" fontId="8" fillId="10" borderId="25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10" fontId="8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center" vertical="center"/>
    </xf>
    <xf numFmtId="10" fontId="8" fillId="9" borderId="7" applyAlignment="1" pivotButton="0" quotePrefix="0" xfId="0">
      <alignment horizontal="right" vertical="center" wrapText="1"/>
    </xf>
    <xf numFmtId="0" fontId="8" fillId="9" borderId="29" applyAlignment="1" pivotButton="0" quotePrefix="0" xfId="0">
      <alignment horizontal="left" vertical="center"/>
    </xf>
    <xf numFmtId="0" fontId="18" fillId="0" borderId="30" pivotButton="0" quotePrefix="0" xfId="0"/>
    <xf numFmtId="10" fontId="8" fillId="9" borderId="10" applyAlignment="1" pivotButton="0" quotePrefix="0" xfId="0">
      <alignment horizontal="right" vertical="center" wrapText="1"/>
    </xf>
    <xf numFmtId="0" fontId="8" fillId="10" borderId="11" applyAlignment="1" pivotButton="0" quotePrefix="0" xfId="0">
      <alignment horizontal="center" vertical="center"/>
    </xf>
    <xf numFmtId="0" fontId="8" fillId="9" borderId="8" applyAlignment="1" pivotButton="0" quotePrefix="0" xfId="0">
      <alignment horizontal="center" vertical="center"/>
    </xf>
    <xf numFmtId="0" fontId="13" fillId="9" borderId="32" applyAlignment="1" pivotButton="0" quotePrefix="0" xfId="0">
      <alignment horizontal="center" vertical="center" wrapText="1"/>
    </xf>
    <xf numFmtId="0" fontId="8" fillId="9" borderId="33" applyAlignment="1" pivotButton="0" quotePrefix="0" xfId="0">
      <alignment horizontal="left" vertical="center"/>
    </xf>
    <xf numFmtId="3" fontId="8" fillId="9" borderId="34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0" fontId="8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9" fillId="0" borderId="35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0" fontId="8" fillId="0" borderId="9" applyAlignment="1" pivotButton="0" quotePrefix="0" xfId="0">
      <alignment horizontal="left" vertical="center"/>
    </xf>
    <xf numFmtId="0" fontId="8" fillId="0" borderId="36" applyAlignment="1" pivotButton="0" quotePrefix="0" xfId="0">
      <alignment horizontal="left" vertical="center"/>
    </xf>
    <xf numFmtId="10" fontId="8" fillId="0" borderId="37" applyAlignment="1" pivotButton="0" quotePrefix="0" xfId="0">
      <alignment horizontal="left" vertical="center"/>
    </xf>
    <xf numFmtId="0" fontId="8" fillId="0" borderId="38" applyAlignment="1" pivotButton="0" quotePrefix="0" xfId="0">
      <alignment horizontal="left" vertical="center"/>
    </xf>
    <xf numFmtId="0" fontId="8" fillId="0" borderId="37" applyAlignment="1" pivotButton="0" quotePrefix="0" xfId="0">
      <alignment horizontal="left" vertical="center"/>
    </xf>
    <xf numFmtId="0" fontId="0" fillId="0" borderId="39" pivotButton="0" quotePrefix="0" xfId="0"/>
    <xf numFmtId="0" fontId="13" fillId="9" borderId="40" applyAlignment="1" pivotButton="0" quotePrefix="0" xfId="0">
      <alignment horizontal="left" vertical="center"/>
    </xf>
    <xf numFmtId="0" fontId="13" fillId="9" borderId="41" applyAlignment="1" pivotButton="0" quotePrefix="0" xfId="0">
      <alignment horizontal="left" vertical="center"/>
    </xf>
    <xf numFmtId="0" fontId="13" fillId="0" borderId="40" applyAlignment="1" pivotButton="0" quotePrefix="0" xfId="0">
      <alignment horizontal="left" vertical="center"/>
    </xf>
    <xf numFmtId="0" fontId="13" fillId="0" borderId="41" applyAlignment="1" pivotButton="0" quotePrefix="0" xfId="0">
      <alignment horizontal="left" vertical="center"/>
    </xf>
    <xf numFmtId="0" fontId="8" fillId="10" borderId="8" applyAlignment="1" pivotButton="0" quotePrefix="0" xfId="0">
      <alignment horizontal="center" vertical="center"/>
    </xf>
    <xf numFmtId="0" fontId="13" fillId="0" borderId="43" applyAlignment="1" pivotButton="0" quotePrefix="0" xfId="0">
      <alignment horizontal="left" vertical="center"/>
    </xf>
    <xf numFmtId="0" fontId="13" fillId="0" borderId="44" applyAlignment="1" pivotButton="0" quotePrefix="0" xfId="0">
      <alignment horizontal="left" vertical="center"/>
    </xf>
    <xf numFmtId="0" fontId="14" fillId="2" borderId="45" applyAlignment="1" pivotButton="0" quotePrefix="0" xfId="0">
      <alignment horizontal="center" vertical="center"/>
    </xf>
    <xf numFmtId="0" fontId="15" fillId="0" borderId="46" applyAlignment="1" pivotButton="0" quotePrefix="0" xfId="0">
      <alignment horizontal="center" vertical="center"/>
    </xf>
    <xf numFmtId="0" fontId="15" fillId="0" borderId="46" applyAlignment="1" pivotButton="0" quotePrefix="0" xfId="0">
      <alignment horizontal="left" vertical="center"/>
    </xf>
    <xf numFmtId="0" fontId="17" fillId="12" borderId="46" applyAlignment="1" pivotButton="0" quotePrefix="0" xfId="0">
      <alignment horizontal="center" vertical="center"/>
    </xf>
    <xf numFmtId="0" fontId="15" fillId="0" borderId="45" applyAlignment="1" pivotButton="0" quotePrefix="0" xfId="0">
      <alignment horizontal="center" vertical="center"/>
    </xf>
    <xf numFmtId="0" fontId="15" fillId="0" borderId="45" applyAlignment="1" pivotButton="0" quotePrefix="0" xfId="0">
      <alignment horizontal="left" vertical="center"/>
    </xf>
    <xf numFmtId="0" fontId="17" fillId="12" borderId="45" applyAlignment="1" pivotButton="0" quotePrefix="0" xfId="0">
      <alignment horizontal="center" vertical="center"/>
    </xf>
    <xf numFmtId="0" fontId="16" fillId="14" borderId="45" applyAlignment="1" pivotButton="0" quotePrefix="0" xfId="0">
      <alignment horizontal="center" vertical="center"/>
    </xf>
    <xf numFmtId="0" fontId="16" fillId="13" borderId="45" applyAlignment="1" pivotButton="0" quotePrefix="0" xfId="0">
      <alignment horizontal="center" vertical="center"/>
    </xf>
    <xf numFmtId="0" fontId="16" fillId="11" borderId="45" applyAlignment="1" pivotButton="0" quotePrefix="0" xfId="0">
      <alignment horizontal="center" vertical="center"/>
    </xf>
    <xf numFmtId="0" fontId="16" fillId="11" borderId="46" applyAlignment="1" pivotButton="0" quotePrefix="0" xfId="0">
      <alignment horizontal="center" vertical="center"/>
    </xf>
    <xf numFmtId="0" fontId="16" fillId="14" borderId="46" applyAlignment="1" pivotButton="0" quotePrefix="0" xfId="0">
      <alignment horizontal="center" vertical="center"/>
    </xf>
    <xf numFmtId="0" fontId="16" fillId="15" borderId="46" applyAlignment="1" pivotButton="0" quotePrefix="0" xfId="0">
      <alignment horizontal="center" vertical="center"/>
    </xf>
    <xf numFmtId="0" fontId="16" fillId="15" borderId="45" applyAlignment="1" pivotButton="0" quotePrefix="0" xfId="0">
      <alignment horizontal="center" vertical="center"/>
    </xf>
    <xf numFmtId="0" fontId="8" fillId="16" borderId="8" applyAlignment="1" pivotButton="0" quotePrefix="0" xfId="0">
      <alignment horizontal="left" vertical="center"/>
    </xf>
    <xf numFmtId="0" fontId="8" fillId="16" borderId="1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28" fillId="9" borderId="2" applyAlignment="1" pivotButton="0" quotePrefix="0" xfId="5">
      <alignment horizontal="left" vertical="center"/>
    </xf>
    <xf numFmtId="0" fontId="28" fillId="0" borderId="2" applyAlignment="1" pivotButton="0" quotePrefix="0" xfId="5">
      <alignment horizontal="left" vertical="center"/>
    </xf>
    <xf numFmtId="0" fontId="28" fillId="0" borderId="42" applyAlignment="1" pivotButton="0" quotePrefix="0" xfId="5">
      <alignment horizontal="left" vertical="center"/>
    </xf>
    <xf numFmtId="0" fontId="3" fillId="8" borderId="14" applyAlignment="1" pivotButton="0" quotePrefix="0" xfId="0">
      <alignment horizontal="center" vertical="center"/>
    </xf>
    <xf numFmtId="0" fontId="0" fillId="17" borderId="0" pivotButton="0" quotePrefix="0" xfId="0"/>
    <xf numFmtId="0" fontId="3" fillId="8" borderId="14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3" fillId="8" borderId="14" applyAlignment="1" pivotButton="0" quotePrefix="0" xfId="0">
      <alignment horizontal="left" vertical="center" indent="1"/>
    </xf>
    <xf numFmtId="0" fontId="11" fillId="7" borderId="28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3" fillId="8" borderId="19" applyAlignment="1" pivotButton="0" quotePrefix="0" xfId="0">
      <alignment horizontal="left" vertical="center" indent="1"/>
    </xf>
    <xf numFmtId="0" fontId="3" fillId="8" borderId="47" applyAlignment="1" pivotButton="0" quotePrefix="0" xfId="0">
      <alignment horizontal="left" vertical="center" indent="1"/>
    </xf>
    <xf numFmtId="0" fontId="11" fillId="7" borderId="2" applyAlignment="1" pivotButton="0" quotePrefix="0" xfId="0">
      <alignment horizontal="left" vertical="center" indent="2"/>
    </xf>
    <xf numFmtId="0" fontId="3" fillId="8" borderId="19" applyAlignment="1" pivotButton="0" quotePrefix="0" xfId="0">
      <alignment horizontal="center" vertical="center"/>
    </xf>
    <xf numFmtId="0" fontId="28" fillId="9" borderId="23" applyAlignment="1" pivotButton="0" quotePrefix="0" xfId="5">
      <alignment horizontal="center" vertical="center"/>
    </xf>
    <xf numFmtId="0" fontId="28" fillId="0" borderId="23" applyAlignment="1" pivotButton="0" quotePrefix="0" xfId="5">
      <alignment horizontal="left" vertical="center"/>
    </xf>
    <xf numFmtId="0" fontId="28" fillId="9" borderId="23" applyAlignment="1" pivotButton="0" quotePrefix="0" xfId="5">
      <alignment horizontal="left" vertical="center"/>
    </xf>
    <xf numFmtId="0" fontId="28" fillId="0" borderId="26" applyAlignment="1" pivotButton="0" quotePrefix="0" xfId="5">
      <alignment horizontal="left" vertical="center"/>
    </xf>
    <xf numFmtId="0" fontId="28" fillId="0" borderId="2" applyAlignment="1" pivotButton="0" quotePrefix="0" xfId="5">
      <alignment horizontal="left" vertical="center" wrapText="1"/>
    </xf>
    <xf numFmtId="0" fontId="28" fillId="9" borderId="31" applyAlignment="1" pivotButton="0" quotePrefix="0" xfId="5">
      <alignment horizontal="left" vertical="center" wrapText="1"/>
    </xf>
    <xf numFmtId="0" fontId="28" fillId="9" borderId="2" applyAlignment="1" pivotButton="0" quotePrefix="0" xfId="5">
      <alignment horizontal="left" vertical="center" wrapText="1"/>
    </xf>
    <xf numFmtId="0" fontId="28" fillId="0" borderId="2" applyAlignment="1" pivotButton="0" quotePrefix="0" xfId="5">
      <alignment horizontal="left" vertical="center"/>
    </xf>
    <xf numFmtId="0" fontId="28" fillId="9" borderId="2" applyAlignment="1" pivotButton="0" quotePrefix="0" xfId="5">
      <alignment horizontal="left" vertical="center"/>
    </xf>
    <xf numFmtId="0" fontId="11" fillId="7" borderId="28" applyAlignment="1" pivotButton="0" quotePrefix="0" xfId="0">
      <alignment horizontal="left" vertical="center"/>
    </xf>
    <xf numFmtId="0" fontId="3" fillId="8" borderId="14" applyAlignment="1" pivotButton="0" quotePrefix="0" xfId="0">
      <alignment horizontal="center" vertical="center"/>
    </xf>
    <xf numFmtId="0" fontId="8" fillId="9" borderId="24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/>
    </xf>
    <xf numFmtId="0" fontId="8" fillId="9" borderId="24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7" pivotButton="0" quotePrefix="0" xfId="0"/>
    <xf numFmtId="0" fontId="0" fillId="0" borderId="53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5" pivotButton="0" quotePrefix="0" xfId="0"/>
    <xf numFmtId="0" fontId="33" fillId="0" borderId="1" applyAlignment="1" pivotButton="0" quotePrefix="0" xfId="0">
      <alignment horizontal="left" vertical="center"/>
    </xf>
    <xf numFmtId="0" fontId="34" fillId="18" borderId="1" applyAlignment="1" pivotButton="0" quotePrefix="0" xfId="0">
      <alignment horizontal="left" vertical="center"/>
    </xf>
    <xf numFmtId="0" fontId="35" fillId="19" borderId="1" applyAlignment="1" pivotButton="0" quotePrefix="0" xfId="0">
      <alignment horizontal="left" vertical="center"/>
    </xf>
    <xf numFmtId="0" fontId="33" fillId="0" borderId="0" pivotButton="0" quotePrefix="0" xfId="0"/>
    <xf numFmtId="0" fontId="35" fillId="19" borderId="0" pivotButton="0" quotePrefix="0" xfId="0"/>
    <xf numFmtId="0" fontId="34" fillId="18" borderId="0" pivotButton="0" quotePrefix="0" xfId="0"/>
    <xf numFmtId="0" fontId="34" fillId="20" borderId="0" pivotButton="0" quotePrefix="0" xfId="0"/>
    <xf numFmtId="0" fontId="34" fillId="21" borderId="0" pivotButton="0" quotePrefix="0" xfId="0"/>
    <xf numFmtId="0" fontId="35" fillId="22" borderId="0" pivotButton="0" quotePrefix="0" xfId="0"/>
    <xf numFmtId="0" fontId="34" fillId="23" borderId="0" pivotButton="0" quotePrefix="0" xfId="0"/>
    <xf numFmtId="0" fontId="0" fillId="0" borderId="56" pivotButton="0" quotePrefix="0" xfId="0"/>
  </cellXfs>
  <cellStyles count="6">
    <cellStyle name="표준" xfId="0" builtinId="0"/>
    <cellStyle name="표준 2" xfId="1"/>
    <cellStyle name="표준 2 2" xfId="2"/>
    <cellStyle name="표준 2 3" xfId="3"/>
    <cellStyle name="표준 3" xfId="4"/>
    <cellStyle name="하이퍼링크" xfId="5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7F6000"/>
      <rgbColor rgb="FF800080"/>
      <rgbColor rgb="FF008080"/>
      <rgbColor rgb="FFBFBFBF"/>
      <rgbColor rgb="FF888888"/>
      <rgbColor rgb="FFAAAAAA"/>
      <rgbColor rgb="FF993366"/>
      <rgbColor rgb="FFFFF2CC"/>
      <rgbColor rgb="FFF2F2F2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5B3D7"/>
      <rgbColor rgb="FFFF99CC"/>
      <rgbColor rgb="FFCC99FF"/>
      <rgbColor rgb="FFFFB3B3"/>
      <rgbColor rgb="FF4472C4"/>
      <rgbColor rgb="FF33CCCC"/>
      <rgbColor rgb="FF99CC00"/>
      <rgbColor rgb="FFFFCC00"/>
      <rgbColor rgb="FFFF9900"/>
      <rgbColor rgb="FFED7D31"/>
      <rgbColor rgb="FF666699"/>
      <rgbColor rgb="FFA6A6A6"/>
      <rgbColor rgb="FF003366"/>
      <rgbColor rgb="FF70AD47"/>
      <rgbColor rgb="FF003300"/>
      <rgbColor rgb="FF333300"/>
      <rgbColor rgb="FF993300"/>
      <rgbColor rgb="FF993366"/>
      <rgbColor rgb="FF333399"/>
      <rgbColor rgb="FF2F4F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log.naver.com/dmcmedia_official/224340024984" TargetMode="External" Id="rId1"/><Relationship Type="http://schemas.openxmlformats.org/officeDocument/2006/relationships/hyperlink" Target="https://blog.naver.com/dmcmedia_official/224326696550" TargetMode="External" Id="rId2"/><Relationship Type="http://schemas.openxmlformats.org/officeDocument/2006/relationships/hyperlink" Target="https://blog.naver.com/dmcmedia_official/224328204507" TargetMode="External" Id="rId3"/><Relationship Type="http://schemas.openxmlformats.org/officeDocument/2006/relationships/hyperlink" Target="https://blog.naver.com/dmcmedia_official/224330876026" TargetMode="External" Id="rId4"/><Relationship Type="http://schemas.openxmlformats.org/officeDocument/2006/relationships/hyperlink" Target="https://blog.naver.com/dmcmedia_official/224361394929" TargetMode="External" Id="rId5"/><Relationship Type="http://schemas.openxmlformats.org/officeDocument/2006/relationships/hyperlink" Target="https://blog.naver.com/dmcmedia_official/224290016541" TargetMode="External" Id="rId6"/><Relationship Type="http://schemas.openxmlformats.org/officeDocument/2006/relationships/hyperlink" Target="https://blog.naver.com/dmcmedia_official/224333246156" TargetMode="External" Id="rId7"/><Relationship Type="http://schemas.openxmlformats.org/officeDocument/2006/relationships/hyperlink" Target="https://blog.naver.com/dmcmedia_official/224346471369" TargetMode="External" Id="rId8"/><Relationship Type="http://schemas.openxmlformats.org/officeDocument/2006/relationships/hyperlink" Target="https://blog.naver.com/dmcmedia_official/224313089932" TargetMode="External" Id="rId9"/><Relationship Type="http://schemas.openxmlformats.org/officeDocument/2006/relationships/hyperlink" Target="https://blog.naver.com/dmcmedia_official/224324845160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blog.naver.com/dmcmedia_official/224297964682" TargetMode="External" Id="rId1"/><Relationship Type="http://schemas.openxmlformats.org/officeDocument/2006/relationships/hyperlink" Target="https://blog.naver.com/dmcmedia_official/224313089932" TargetMode="External" Id="rId2"/><Relationship Type="http://schemas.openxmlformats.org/officeDocument/2006/relationships/hyperlink" Target="https://blog.naver.com/dmcmedia_official/224290016541" TargetMode="External" Id="rId3"/><Relationship Type="http://schemas.openxmlformats.org/officeDocument/2006/relationships/hyperlink" Target="https://blog.naver.com/dmcmedia_official/224324845160" TargetMode="External" Id="rId4"/><Relationship Type="http://schemas.openxmlformats.org/officeDocument/2006/relationships/hyperlink" Target="https://blog.naver.com/dmcmedia_official/224328204507" TargetMode="External" Id="rId5"/><Relationship Type="http://schemas.openxmlformats.org/officeDocument/2006/relationships/hyperlink" Target="https://blog.naver.com/dmcmedia_official/224303643372" TargetMode="External" Id="rId6"/><Relationship Type="http://schemas.openxmlformats.org/officeDocument/2006/relationships/hyperlink" Target="https://blog.naver.com/dmcmedia_official/224245183312" TargetMode="External" Id="rId7"/><Relationship Type="http://schemas.openxmlformats.org/officeDocument/2006/relationships/hyperlink" Target="https://blog.naver.com/dmcmedia_official/224326696550" TargetMode="External" Id="rId8"/><Relationship Type="http://schemas.openxmlformats.org/officeDocument/2006/relationships/hyperlink" Target="https://blog.naver.com/dmcmedia_official/224310794560" TargetMode="External" Id="rId9"/><Relationship Type="http://schemas.openxmlformats.org/officeDocument/2006/relationships/hyperlink" Target="https://blog.naver.com/dmcmedia_official/224144628479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hyperlink" Target="https://blog.naver.com/dmcmedia_official/224144628479" TargetMode="External" Id="rId1"/><Relationship Type="http://schemas.openxmlformats.org/officeDocument/2006/relationships/hyperlink" Target="https://blog.naver.com/dmcmedia_official/224290016541" TargetMode="External" Id="rId2"/><Relationship Type="http://schemas.openxmlformats.org/officeDocument/2006/relationships/hyperlink" Target="https://blog.naver.com/dmcmedia_official/224277658917" TargetMode="External" Id="rId3"/><Relationship Type="http://schemas.openxmlformats.org/officeDocument/2006/relationships/hyperlink" Target="https://blog.naver.com/dmcmedia_official/224245183312" TargetMode="External" Id="rId4"/><Relationship Type="http://schemas.openxmlformats.org/officeDocument/2006/relationships/hyperlink" Target="https://blog.naver.com/dmcmedia_official/224291569176" TargetMode="External" Id="rId5"/><Relationship Type="http://schemas.openxmlformats.org/officeDocument/2006/relationships/hyperlink" Target="https://blog.naver.com/dmcmedia_official/223601798828" TargetMode="External" Id="rId6"/><Relationship Type="http://schemas.openxmlformats.org/officeDocument/2006/relationships/hyperlink" Target="https://blog.naver.com/dmcmedia_official/224198353581" TargetMode="External" Id="rId7"/><Relationship Type="http://schemas.openxmlformats.org/officeDocument/2006/relationships/hyperlink" Target="https://blog.naver.com/dmcmedia_official/224263410268" TargetMode="External" Id="rId8"/><Relationship Type="http://schemas.openxmlformats.org/officeDocument/2006/relationships/hyperlink" Target="https://blog.naver.com/dmcmedia_official/224221928550" TargetMode="External" Id="rId9"/><Relationship Type="http://schemas.openxmlformats.org/officeDocument/2006/relationships/hyperlink" Target="https://blog.naver.com/dmcmedia_official/224268022818" TargetMode="External" Id="rId10"/><Relationship Type="http://schemas.openxmlformats.org/officeDocument/2006/relationships/hyperlink" Target="https://blog.naver.com/dmcmedia_official/224296806202" TargetMode="External" Id="rId11"/></Relationships>
</file>

<file path=xl/worksheets/_rels/sheet11.xml.rels><Relationships xmlns="http://schemas.openxmlformats.org/package/2006/relationships"><Relationship Type="http://schemas.openxmlformats.org/officeDocument/2006/relationships/hyperlink" Target="https://blog.naver.com/dmcmedia_official/224245183312" TargetMode="External" Id="rId1"/><Relationship Type="http://schemas.openxmlformats.org/officeDocument/2006/relationships/hyperlink" Target="https://blog.naver.com/dmcmedia_official/223858118673" TargetMode="External" Id="rId2"/><Relationship Type="http://schemas.openxmlformats.org/officeDocument/2006/relationships/hyperlink" Target="https://blog.naver.com/dmcmedia_official/224262253859" TargetMode="External" Id="rId3"/><Relationship Type="http://schemas.openxmlformats.org/officeDocument/2006/relationships/hyperlink" Target="https://blog.naver.com/dmcmedia_official/224162487056" TargetMode="External" Id="rId4"/><Relationship Type="http://schemas.openxmlformats.org/officeDocument/2006/relationships/hyperlink" Target="https://blog.naver.com/dmcmedia_official/224019812100" TargetMode="External" Id="rId5"/><Relationship Type="http://schemas.openxmlformats.org/officeDocument/2006/relationships/hyperlink" Target="https://blog.naver.com/dmcmedia_official/223751460553" TargetMode="External" Id="rId6"/><Relationship Type="http://schemas.openxmlformats.org/officeDocument/2006/relationships/hyperlink" Target="https://blog.naver.com/dmcmedia_official/224221928550" TargetMode="External" Id="rId7"/><Relationship Type="http://schemas.openxmlformats.org/officeDocument/2006/relationships/hyperlink" Target="https://blog.naver.com/dmcmedia_official/224235639094" TargetMode="External" Id="rId8"/><Relationship Type="http://schemas.openxmlformats.org/officeDocument/2006/relationships/hyperlink" Target="https://blog.naver.com/dmcmedia_official/223601798828" TargetMode="External" Id="rId9"/><Relationship Type="http://schemas.openxmlformats.org/officeDocument/2006/relationships/hyperlink" Target="https://blog.naver.com/dmcmedia_official/22419835358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116"/>
  <sheetViews>
    <sheetView tabSelected="1" zoomScale="85" zoomScaleNormal="85" workbookViewId="0">
      <selection activeCell="F32" sqref="F32"/>
    </sheetView>
  </sheetViews>
  <sheetFormatPr baseColWidth="8" defaultColWidth="8.6640625" defaultRowHeight="14.4"/>
  <cols>
    <col width="22" customWidth="1" style="1" min="2" max="2"/>
    <col width="7" customWidth="1" style="1" min="3" max="3"/>
    <col width="9" customWidth="1" style="1" min="4" max="4"/>
    <col width="22" customWidth="1" style="1" min="5" max="5"/>
    <col width="7" customWidth="1" style="1" min="6" max="6"/>
    <col width="9" customWidth="1" style="1" min="7" max="7"/>
    <col width="22" customWidth="1" style="1" min="8" max="8"/>
    <col width="7" customWidth="1" style="1" min="9" max="9"/>
    <col width="9" customWidth="1" style="1" min="10" max="10"/>
    <col width="22" customWidth="1" style="1" min="11" max="11"/>
    <col width="9.109375" customWidth="1" style="1" min="12" max="12"/>
    <col width="9" customWidth="1" style="1" min="13" max="13"/>
    <col width="22" customWidth="1" style="1" min="14" max="14"/>
    <col width="8.44140625" customWidth="1" style="1" min="15" max="15"/>
    <col width="9" customWidth="1" style="1" min="16" max="16"/>
    <col width="22" customWidth="1" style="1" min="17" max="17"/>
    <col width="7" customWidth="1" style="1" min="18" max="18"/>
    <col width="9" customWidth="1" style="1" min="19" max="19"/>
    <col width="22" customWidth="1" style="1" min="20" max="20"/>
    <col width="7" customWidth="1" style="1" min="21" max="21"/>
    <col width="9" customWidth="1" style="1" min="22" max="22"/>
  </cols>
  <sheetData>
    <row r="1" ht="21.75" customHeight="1" s="1">
      <c r="B1" s="2" t="inlineStr">
        <is>
          <t>월 설정</t>
        </is>
      </c>
      <c r="C1" s="3" t="n">
        <v>7</v>
      </c>
      <c r="D1" s="126" t="inlineStr">
        <is>
          <t>← B1 셀에서 월을 선택하면 날짜가 자동으로 바뀝니다</t>
        </is>
      </c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  <c r="T1" s="150" t="n"/>
      <c r="U1" s="150" t="n"/>
      <c r="V1" s="150" t="n"/>
    </row>
    <row r="2" ht="15.75" customHeight="1" s="1">
      <c r="B2" s="4" t="inlineStr">
        <is>
          <t>키워드</t>
        </is>
      </c>
      <c r="C2" s="4" t="inlineStr">
        <is>
          <t>비중</t>
        </is>
      </c>
      <c r="D2" s="4" t="inlineStr">
        <is>
          <t>섹션</t>
        </is>
      </c>
      <c r="E2" s="4" t="inlineStr">
        <is>
          <t>키워드</t>
        </is>
      </c>
      <c r="F2" s="4" t="inlineStr">
        <is>
          <t>비중</t>
        </is>
      </c>
      <c r="G2" s="4" t="inlineStr">
        <is>
          <t>섹션</t>
        </is>
      </c>
      <c r="H2" s="4" t="inlineStr">
        <is>
          <t>키워드</t>
        </is>
      </c>
      <c r="I2" s="4" t="inlineStr">
        <is>
          <t>비중</t>
        </is>
      </c>
      <c r="J2" s="4" t="inlineStr">
        <is>
          <t>섹션</t>
        </is>
      </c>
      <c r="K2" s="4" t="inlineStr">
        <is>
          <t>키워드</t>
        </is>
      </c>
      <c r="L2" s="4" t="inlineStr">
        <is>
          <t>비중</t>
        </is>
      </c>
      <c r="M2" s="4" t="inlineStr">
        <is>
          <t>섹션</t>
        </is>
      </c>
      <c r="N2" s="4" t="inlineStr">
        <is>
          <t>키워드</t>
        </is>
      </c>
      <c r="O2" s="4" t="inlineStr">
        <is>
          <t>비중</t>
        </is>
      </c>
      <c r="P2" s="4" t="inlineStr">
        <is>
          <t>섹션</t>
        </is>
      </c>
      <c r="Q2" s="4" t="inlineStr">
        <is>
          <t>키워드</t>
        </is>
      </c>
      <c r="R2" s="4" t="inlineStr">
        <is>
          <t>비중</t>
        </is>
      </c>
      <c r="S2" s="4" t="inlineStr">
        <is>
          <t>섹션</t>
        </is>
      </c>
      <c r="T2" s="4" t="inlineStr">
        <is>
          <t>키워드</t>
        </is>
      </c>
      <c r="U2" s="4" t="inlineStr">
        <is>
          <t>비중</t>
        </is>
      </c>
      <c r="V2" s="4" t="inlineStr">
        <is>
          <t>섹션</t>
        </is>
      </c>
    </row>
    <row r="3" ht="15.75" customHeight="1" s="1">
      <c r="B3" s="5">
        <f>IF(1&lt;=DAY(EOMONTH(DATE(2026,$C$1,1),0)),$C$1&amp;"월 1일","")</f>
        <v/>
      </c>
      <c r="C3" s="6" t="n"/>
      <c r="D3" s="7" t="n"/>
      <c r="E3" s="5">
        <f>IF(2&lt;=DAY(EOMONTH(DATE(2026,$C$1,1),0)),$C$1&amp;"월 2일","")</f>
        <v/>
      </c>
      <c r="F3" s="6" t="n"/>
      <c r="G3" s="7" t="n"/>
      <c r="H3" s="5">
        <f>IF(3&lt;=DAY(EOMONTH(DATE(2026,$C$1,1),0)),$C$1&amp;"월 3일","")</f>
        <v/>
      </c>
      <c r="I3" s="6" t="n"/>
      <c r="J3" s="7" t="n"/>
      <c r="K3" s="5">
        <f>IF(4&lt;=DAY(EOMONTH(DATE(2026,$C$1,1),0)),$C$1&amp;"월 4일","")</f>
        <v/>
      </c>
      <c r="L3" s="6" t="n"/>
      <c r="M3" s="7" t="n"/>
      <c r="N3" s="5">
        <f>IF(5&lt;=DAY(EOMONTH(DATE(2026,$C$1,1),0)),$C$1&amp;"월 5일","")</f>
        <v/>
      </c>
      <c r="O3" s="6" t="n"/>
      <c r="P3" s="7" t="n"/>
      <c r="Q3" s="5">
        <f>IF(6&lt;=DAY(EOMONTH(DATE(2026,$C$1,1),0)),$C$1&amp;"월 6일","")</f>
        <v/>
      </c>
      <c r="R3" s="6" t="n"/>
      <c r="S3" s="7" t="n"/>
      <c r="T3" s="5">
        <f>IF(7&lt;=DAY(EOMONTH(DATE(2026,$C$1,1),0)),$C$1&amp;"월 7일","")</f>
        <v/>
      </c>
      <c r="U3" s="6" t="n"/>
      <c r="V3" s="7" t="n"/>
    </row>
    <row r="4" ht="15.75" customHeight="1" s="1">
      <c r="B4" s="8" t="inlineStr">
        <is>
          <t>디엠씨미디어 면접</t>
        </is>
      </c>
      <c r="C4" s="9" t="n">
        <v>0.0577</v>
      </c>
      <c r="D4" s="10" t="inlineStr">
        <is>
          <t>People</t>
        </is>
      </c>
      <c r="E4" s="8" t="inlineStr">
        <is>
          <t>타불라</t>
        </is>
      </c>
      <c r="F4" s="9" t="n">
        <v>0.0435</v>
      </c>
      <c r="G4" s="10" t="inlineStr">
        <is>
          <t>Media</t>
        </is>
      </c>
      <c r="H4" s="8" t="inlineStr">
        <is>
          <t>타불라</t>
        </is>
      </c>
      <c r="I4" s="9" t="n">
        <v>0.1071</v>
      </c>
      <c r="J4" s="10" t="inlineStr">
        <is>
          <t>Media</t>
        </is>
      </c>
      <c r="K4" s="11" t="inlineStr">
        <is>
          <t>2026 월드컵 코카콜라 스티커</t>
        </is>
      </c>
      <c r="L4" s="9" t="n">
        <v>0.125</v>
      </c>
      <c r="M4" s="10" t="inlineStr">
        <is>
          <t>Trend</t>
        </is>
      </c>
      <c r="N4" s="8" t="inlineStr">
        <is>
          <t>코카콜라 2026월드컵</t>
        </is>
      </c>
      <c r="O4" s="9" t="n">
        <v>0.1667</v>
      </c>
      <c r="P4" s="10" t="inlineStr">
        <is>
          <t>Trend</t>
        </is>
      </c>
      <c r="Q4" s="8" t="inlineStr">
        <is>
          <t>디엠씨미디어</t>
        </is>
      </c>
      <c r="R4" s="12" t="n">
        <v>0.07580000000000001</v>
      </c>
      <c r="S4" s="10" t="inlineStr">
        <is>
          <t>About</t>
        </is>
      </c>
      <c r="T4" s="11" t="inlineStr">
        <is>
          <t>타불라</t>
        </is>
      </c>
      <c r="U4" s="9" t="n">
        <v>0.0506</v>
      </c>
      <c r="V4" s="10" t="inlineStr">
        <is>
          <t>Media</t>
        </is>
      </c>
    </row>
    <row r="5" ht="15.75" customHeight="1" s="1">
      <c r="B5" s="8" t="inlineStr">
        <is>
          <t>디엠씨미디어</t>
        </is>
      </c>
      <c r="C5" s="9" t="n">
        <v>0.0385</v>
      </c>
      <c r="D5" s="10" t="inlineStr">
        <is>
          <t>About</t>
        </is>
      </c>
      <c r="E5" s="8" t="inlineStr">
        <is>
          <t>디엠씨미디어 면접</t>
        </is>
      </c>
      <c r="F5" s="9" t="n">
        <v>0.029</v>
      </c>
      <c r="G5" s="10" t="inlineStr">
        <is>
          <t>People</t>
        </is>
      </c>
      <c r="H5" s="8" t="inlineStr">
        <is>
          <t>월드컵 스티커북</t>
        </is>
      </c>
      <c r="I5" s="9" t="n">
        <v>0.0357</v>
      </c>
      <c r="J5" s="10" t="inlineStr">
        <is>
          <t>Trend</t>
        </is>
      </c>
      <c r="K5" s="8" t="inlineStr">
        <is>
          <t>코카콜라 북중미</t>
        </is>
      </c>
      <c r="L5" s="9" t="n">
        <v>0.125</v>
      </c>
      <c r="M5" s="10" t="inlineStr">
        <is>
          <t>Trend</t>
        </is>
      </c>
      <c r="N5" s="8" t="inlineStr">
        <is>
          <t>코카콜라 월드컵 스티커</t>
        </is>
      </c>
      <c r="O5" s="9" t="n">
        <v>0.1667</v>
      </c>
      <c r="P5" s="10" t="inlineStr">
        <is>
          <t>Trend</t>
        </is>
      </c>
      <c r="Q5" s="8" t="inlineStr">
        <is>
          <t>코카콜라 파니니</t>
        </is>
      </c>
      <c r="R5" s="12" t="n">
        <v>0.0303</v>
      </c>
      <c r="S5" s="10" t="inlineStr">
        <is>
          <t>Trend</t>
        </is>
      </c>
      <c r="T5" s="11" t="inlineStr">
        <is>
          <t>소셜 미디어를 사용하는 20대들의 특이한 행동</t>
        </is>
      </c>
      <c r="U5" s="9" t="n">
        <v>0.0127</v>
      </c>
      <c r="V5" s="10" t="inlineStr">
        <is>
          <t>Trend</t>
        </is>
      </c>
    </row>
    <row r="6" ht="15.75" customHeight="1" s="1">
      <c r="B6" s="8" t="inlineStr">
        <is>
          <t>타불라</t>
        </is>
      </c>
      <c r="C6" s="9" t="n">
        <v>0.0385</v>
      </c>
      <c r="D6" s="10" t="inlineStr">
        <is>
          <t>Media</t>
        </is>
      </c>
      <c r="E6" s="8" t="inlineStr">
        <is>
          <t>코카콜라 월드컵 라벨</t>
        </is>
      </c>
      <c r="F6" s="9" t="n">
        <v>0.029</v>
      </c>
      <c r="G6" s="10" t="inlineStr">
        <is>
          <t>Trend</t>
        </is>
      </c>
      <c r="H6" s="8" t="inlineStr">
        <is>
          <t>타불라 광고</t>
        </is>
      </c>
      <c r="I6" s="9" t="n">
        <v>0.0357</v>
      </c>
      <c r="J6" s="10" t="inlineStr">
        <is>
          <t>Media</t>
        </is>
      </c>
      <c r="K6" s="8" t="inlineStr">
        <is>
          <t>타불라</t>
        </is>
      </c>
      <c r="L6" s="9" t="n">
        <v>0.125</v>
      </c>
      <c r="M6" s="10" t="inlineStr">
        <is>
          <t>Media</t>
        </is>
      </c>
      <c r="N6" s="8" t="inlineStr">
        <is>
          <t>콜라 월드컵 스티커</t>
        </is>
      </c>
      <c r="O6" s="9" t="n">
        <v>0.1667</v>
      </c>
      <c r="P6" s="10" t="inlineStr">
        <is>
          <t>Trend</t>
        </is>
      </c>
      <c r="Q6" s="8" t="inlineStr">
        <is>
          <t>네이버 지도앱 스플래시 배너 이미지 특수형</t>
        </is>
      </c>
      <c r="R6" s="12" t="n">
        <v>0.0152</v>
      </c>
      <c r="S6" s="10" t="inlineStr">
        <is>
          <t>Media</t>
        </is>
      </c>
      <c r="T6" s="11" t="inlineStr">
        <is>
          <t>언플러그 시크</t>
        </is>
      </c>
      <c r="U6" s="9" t="n">
        <v>0.0127</v>
      </c>
      <c r="V6" s="10" t="inlineStr">
        <is>
          <t>Trend</t>
        </is>
      </c>
    </row>
    <row r="7" ht="15.75" customHeight="1" s="1">
      <c r="B7" s="11" t="inlineStr">
        <is>
          <t>2026 북중미 월드컵 코카콜라 스티커</t>
        </is>
      </c>
      <c r="C7" s="9" t="n">
        <v>0.0192</v>
      </c>
      <c r="D7" s="10" t="inlineStr">
        <is>
          <t>Trend</t>
        </is>
      </c>
      <c r="E7" s="11" t="inlineStr">
        <is>
          <t>dmc 이준희</t>
        </is>
      </c>
      <c r="F7" s="9" t="n">
        <v>0.0145</v>
      </c>
      <c r="G7" s="10" t="inlineStr">
        <is>
          <t>About</t>
        </is>
      </c>
      <c r="H7" s="8" t="inlineStr">
        <is>
          <t>토스애즈</t>
        </is>
      </c>
      <c r="I7" s="9" t="n">
        <v>0.0357</v>
      </c>
      <c r="J7" s="10" t="inlineStr">
        <is>
          <t>Media</t>
        </is>
      </c>
      <c r="K7" s="8" t="inlineStr">
        <is>
          <t>토스애즈</t>
        </is>
      </c>
      <c r="L7" s="9" t="n">
        <v>0.125</v>
      </c>
      <c r="M7" s="10" t="inlineStr">
        <is>
          <t>Media</t>
        </is>
      </c>
      <c r="N7" s="8" t="inlineStr">
        <is>
          <t>타불라</t>
        </is>
      </c>
      <c r="O7" s="9" t="n">
        <v>0.1667</v>
      </c>
      <c r="P7" s="10" t="inlineStr">
        <is>
          <t>Media</t>
        </is>
      </c>
      <c r="Q7" s="8" t="inlineStr">
        <is>
          <t>메타 BLS m3</t>
        </is>
      </c>
      <c r="R7" s="12" t="n">
        <v>0.0152</v>
      </c>
      <c r="S7" s="10" t="inlineStr">
        <is>
          <t>About</t>
        </is>
      </c>
      <c r="T7" s="11" t="inlineStr">
        <is>
          <t>월드컵 선수 스티커북</t>
        </is>
      </c>
      <c r="U7" s="9" t="n">
        <v>0.0127</v>
      </c>
      <c r="V7" s="10" t="inlineStr">
        <is>
          <t>Trend</t>
        </is>
      </c>
    </row>
    <row r="8" ht="15.75" customHeight="1" s="1">
      <c r="B8" s="8" t="inlineStr">
        <is>
          <t>더마코스메틱 화장품</t>
        </is>
      </c>
      <c r="C8" s="9" t="n">
        <v>0.0192</v>
      </c>
      <c r="D8" s="10" t="inlineStr">
        <is>
          <t>Trend</t>
        </is>
      </c>
      <c r="E8" s="11" t="inlineStr">
        <is>
          <t>la roche posay 국적</t>
        </is>
      </c>
      <c r="F8" s="9" t="n">
        <v>0.0145</v>
      </c>
      <c r="G8" s="10" t="inlineStr">
        <is>
          <t>Trend</t>
        </is>
      </c>
      <c r="H8" s="11" t="inlineStr">
        <is>
          <t>AI 진단부터 멀티 브랜드 조합까지, 치열해지는 '가전 구독' 시장 전략</t>
        </is>
      </c>
      <c r="I8" s="9" t="n">
        <v>0.0357</v>
      </c>
      <c r="J8" s="10" t="inlineStr">
        <is>
          <t>Trend</t>
        </is>
      </c>
      <c r="K8" s="8" t="inlineStr">
        <is>
          <t>하이네켄 페스티벌</t>
        </is>
      </c>
      <c r="L8" s="9" t="n">
        <v>0.125</v>
      </c>
      <c r="M8" s="10" t="inlineStr">
        <is>
          <t>Trend</t>
        </is>
      </c>
      <c r="N8" s="8" t="inlineStr">
        <is>
          <t>프리미엄 생수 시장 성장 전망과 수익성 알려주세요</t>
        </is>
      </c>
      <c r="O8" s="9" t="n">
        <v>0.1667</v>
      </c>
      <c r="P8" s="10" t="inlineStr">
        <is>
          <t>Trend</t>
        </is>
      </c>
      <c r="Q8" s="8" t="inlineStr">
        <is>
          <t>사내 AI 경진대회</t>
        </is>
      </c>
      <c r="R8" s="12" t="n">
        <v>0.0152</v>
      </c>
      <c r="S8" s="10" t="inlineStr">
        <is>
          <t>People</t>
        </is>
      </c>
      <c r="T8" s="11" t="inlineStr">
        <is>
          <t>카카오톡 채널 채팅메시지 엑셀 추출 방법 알려주세요</t>
        </is>
      </c>
      <c r="U8" s="9" t="n">
        <v>0.0127</v>
      </c>
      <c r="V8" s="10" t="inlineStr">
        <is>
          <t>Media</t>
        </is>
      </c>
    </row>
    <row r="9" ht="15.75" customHeight="1" s="1">
      <c r="B9" s="8" t="inlineStr">
        <is>
          <t>디엠씨미디어 창립</t>
        </is>
      </c>
      <c r="C9" s="9" t="n">
        <v>0.0192</v>
      </c>
      <c r="D9" s="10" t="inlineStr">
        <is>
          <t>About</t>
        </is>
      </c>
      <c r="E9" s="8" t="inlineStr">
        <is>
          <t>디엠씨미디어 재무회계</t>
        </is>
      </c>
      <c r="F9" s="9" t="n">
        <v>0.0145</v>
      </c>
      <c r="G9" s="10" t="inlineStr">
        <is>
          <t>About</t>
        </is>
      </c>
      <c r="H9" s="8" t="inlineStr">
        <is>
          <t>디엠씨미디어</t>
        </is>
      </c>
      <c r="I9" s="9" t="n">
        <v>0.0357</v>
      </c>
      <c r="J9" s="10" t="inlineStr">
        <is>
          <t>About</t>
        </is>
      </c>
      <c r="K9" s="8" t="inlineStr">
        <is>
          <t>하이네켄페스티벌</t>
        </is>
      </c>
      <c r="L9" s="9" t="n">
        <v>0.125</v>
      </c>
      <c r="M9" s="10" t="inlineStr">
        <is>
          <t>Trend</t>
        </is>
      </c>
      <c r="N9" s="8" t="inlineStr">
        <is>
          <t>코카콜라 파니니</t>
        </is>
      </c>
      <c r="O9" s="9" t="n">
        <v>0.1667</v>
      </c>
      <c r="P9" s="10" t="inlineStr">
        <is>
          <t>Trend</t>
        </is>
      </c>
      <c r="Q9" s="8" t="inlineStr">
        <is>
          <t>온드 미디어</t>
        </is>
      </c>
      <c r="R9" s="12" t="n">
        <v>0.0152</v>
      </c>
      <c r="S9" s="10" t="inlineStr">
        <is>
          <t>Media</t>
        </is>
      </c>
      <c r="T9" s="11" t="inlineStr">
        <is>
          <t>Marketing Mix Modeling 방법론</t>
        </is>
      </c>
      <c r="U9" s="9" t="n">
        <v>0.0127</v>
      </c>
      <c r="V9" s="10" t="inlineStr">
        <is>
          <t>Data</t>
        </is>
      </c>
    </row>
    <row r="10" ht="15.75" customHeight="1" s="1">
      <c r="B10" s="8" t="inlineStr">
        <is>
          <t>어드민 나이트</t>
        </is>
      </c>
      <c r="C10" s="9" t="n">
        <v>0.0192</v>
      </c>
      <c r="D10" s="10" t="inlineStr">
        <is>
          <t>About</t>
        </is>
      </c>
      <c r="E10" s="8" t="inlineStr">
        <is>
          <t>코카콜라 북중미 스티커</t>
        </is>
      </c>
      <c r="F10" s="9" t="n">
        <v>0.0145</v>
      </c>
      <c r="G10" s="10" t="inlineStr">
        <is>
          <t>Trend</t>
        </is>
      </c>
      <c r="H10" s="8" t="inlineStr">
        <is>
          <t>온드 미디어</t>
        </is>
      </c>
      <c r="I10" s="9" t="n">
        <v>0.0357</v>
      </c>
      <c r="J10" s="10" t="inlineStr">
        <is>
          <t>Media</t>
        </is>
      </c>
      <c r="K10" s="8" t="inlineStr">
        <is>
          <t>타뷸라광고</t>
        </is>
      </c>
      <c r="L10" s="9" t="n">
        <v>0.125</v>
      </c>
      <c r="M10" s="10" t="inlineStr">
        <is>
          <t>Media</t>
        </is>
      </c>
      <c r="N10" s="11" t="n"/>
      <c r="O10" s="9" t="n"/>
      <c r="P10" s="10" t="n"/>
      <c r="Q10" s="8" t="inlineStr">
        <is>
          <t>카카오채널 특정인에게 메시지 발송</t>
        </is>
      </c>
      <c r="R10" s="12" t="n">
        <v>0.0152</v>
      </c>
      <c r="S10" s="10" t="inlineStr">
        <is>
          <t>Media</t>
        </is>
      </c>
      <c r="T10" s="11" t="inlineStr">
        <is>
          <t>니치콘텐츠</t>
        </is>
      </c>
      <c r="U10" s="9" t="n">
        <v>0.0127</v>
      </c>
      <c r="V10" s="10" t="n"/>
    </row>
    <row r="11" ht="15.75" customHeight="1" s="1">
      <c r="B11" s="8" t="inlineStr">
        <is>
          <t>월드컵 코카콜라</t>
        </is>
      </c>
      <c r="C11" s="9" t="n">
        <v>0.0192</v>
      </c>
      <c r="D11" s="10" t="inlineStr">
        <is>
          <t>Trend</t>
        </is>
      </c>
      <c r="E11" s="8" t="inlineStr">
        <is>
          <t>코카콜라 월드컵 스티커</t>
        </is>
      </c>
      <c r="F11" s="9" t="n">
        <v>0.0145</v>
      </c>
      <c r="G11" s="10" t="inlineStr">
        <is>
          <t>Trend</t>
        </is>
      </c>
      <c r="H11" s="8" t="inlineStr">
        <is>
          <t>타뷸라</t>
        </is>
      </c>
      <c r="I11" s="9" t="n">
        <v>0.0357</v>
      </c>
      <c r="J11" s="10" t="inlineStr">
        <is>
          <t>Media</t>
        </is>
      </c>
      <c r="K11" s="11" t="n"/>
      <c r="L11" s="9" t="n"/>
      <c r="M11" s="10" t="n"/>
      <c r="N11" s="11" t="n"/>
      <c r="O11" s="9" t="n"/>
      <c r="P11" s="10" t="n"/>
      <c r="Q11" s="8" t="inlineStr">
        <is>
          <t>클링커밴드</t>
        </is>
      </c>
      <c r="R11" s="9" t="n">
        <v>0.0152</v>
      </c>
      <c r="S11" s="10" t="inlineStr">
        <is>
          <t>Trend</t>
        </is>
      </c>
      <c r="T11" s="11" t="inlineStr">
        <is>
          <t>카카오채널 모먼트와 플러스친구 메세지 차이</t>
        </is>
      </c>
      <c r="U11" s="9" t="n">
        <v>0.0127</v>
      </c>
      <c r="V11" s="10" t="inlineStr">
        <is>
          <t>Media</t>
        </is>
      </c>
    </row>
    <row r="12" ht="15.75" customHeight="1" s="1">
      <c r="B12" s="8" t="inlineStr">
        <is>
          <t>지제이모빌리티 택시차량광고</t>
        </is>
      </c>
      <c r="C12" s="9" t="n">
        <v>0.0192</v>
      </c>
      <c r="D12" s="10" t="inlineStr">
        <is>
          <t>Media</t>
        </is>
      </c>
      <c r="E12" s="8" t="inlineStr">
        <is>
          <t>코카콜라 축구 스티커</t>
        </is>
      </c>
      <c r="F12" s="9" t="n">
        <v>0.0145</v>
      </c>
      <c r="G12" s="10" t="inlineStr">
        <is>
          <t>Trend</t>
        </is>
      </c>
      <c r="H12" s="11" t="inlineStr">
        <is>
          <t>dooh</t>
        </is>
      </c>
      <c r="I12" s="9" t="n">
        <v>0.0357</v>
      </c>
      <c r="J12" s="10" t="inlineStr">
        <is>
          <t>About</t>
        </is>
      </c>
      <c r="K12" s="11" t="n"/>
      <c r="L12" s="9" t="n"/>
      <c r="M12" s="10" t="n"/>
      <c r="N12" s="11" t="n"/>
      <c r="O12" s="9" t="n"/>
      <c r="P12" s="10" t="n"/>
      <c r="Q12" s="8" t="inlineStr">
        <is>
          <t>타불라 계정 생성</t>
        </is>
      </c>
      <c r="R12" s="9" t="n">
        <v>0.0152</v>
      </c>
      <c r="S12" s="10" t="inlineStr">
        <is>
          <t>Media</t>
        </is>
      </c>
      <c r="T12" s="11" t="inlineStr">
        <is>
          <t>타불라 코리아</t>
        </is>
      </c>
      <c r="U12" s="9" t="n">
        <v>0.0127</v>
      </c>
      <c r="V12" s="10" t="inlineStr">
        <is>
          <t>Media</t>
        </is>
      </c>
    </row>
    <row r="13" ht="15.75" customHeight="1" s="1">
      <c r="B13" s="8" t="inlineStr">
        <is>
          <t>코카콜라 월드컵 스티커</t>
        </is>
      </c>
      <c r="C13" s="9" t="n">
        <v>0.0192</v>
      </c>
      <c r="D13" s="10" t="inlineStr">
        <is>
          <t>Trend</t>
        </is>
      </c>
      <c r="E13" s="11" t="inlineStr">
        <is>
          <t>CPT</t>
        </is>
      </c>
      <c r="F13" s="9" t="n">
        <v>0.0145</v>
      </c>
      <c r="G13" s="10" t="inlineStr">
        <is>
          <t>Media</t>
        </is>
      </c>
      <c r="H13" s="8" t="inlineStr">
        <is>
          <t>네이버 da상품 종류</t>
        </is>
      </c>
      <c r="I13" s="9" t="n">
        <v>0.0357</v>
      </c>
      <c r="J13" s="10" t="inlineStr">
        <is>
          <t>Media</t>
        </is>
      </c>
      <c r="K13" s="11" t="n"/>
      <c r="L13" s="9" t="n"/>
      <c r="M13" s="10" t="n"/>
      <c r="N13" s="11" t="n"/>
      <c r="O13" s="9" t="n"/>
      <c r="P13" s="10" t="n"/>
      <c r="Q13" s="8" t="inlineStr">
        <is>
          <t>타불라 디스플레이</t>
        </is>
      </c>
      <c r="R13" s="9" t="n">
        <v>0.0152</v>
      </c>
      <c r="S13" s="10" t="inlineStr">
        <is>
          <t>Media</t>
        </is>
      </c>
      <c r="T13" s="11" t="inlineStr">
        <is>
          <t>토스애즈</t>
        </is>
      </c>
      <c r="U13" s="9" t="n">
        <v>0.0127</v>
      </c>
      <c r="V13" s="10" t="inlineStr">
        <is>
          <t>Media</t>
        </is>
      </c>
    </row>
    <row r="14" ht="15.75" customHeight="1" s="1">
      <c r="B14" s="8" t="inlineStr">
        <is>
          <t>코카콜라 월드컵 에디션</t>
        </is>
      </c>
      <c r="C14" s="9" t="n">
        <v>0.0192</v>
      </c>
      <c r="D14" s="10" t="inlineStr">
        <is>
          <t>Trend</t>
        </is>
      </c>
      <c r="E14" s="8" t="inlineStr">
        <is>
          <t>타불라</t>
        </is>
      </c>
      <c r="F14" s="9" t="n">
        <v>0.0145</v>
      </c>
      <c r="G14" s="10" t="inlineStr">
        <is>
          <t>Media</t>
        </is>
      </c>
      <c r="H14" s="11" t="n"/>
      <c r="I14" s="13" t="n"/>
      <c r="J14" s="10" t="n"/>
      <c r="K14" s="11" t="n"/>
      <c r="L14" s="9" t="n"/>
      <c r="M14" s="10" t="n"/>
      <c r="N14" s="11" t="n"/>
      <c r="O14" s="9" t="n"/>
      <c r="P14" s="10" t="n"/>
      <c r="Q14" s="8" t="inlineStr">
        <is>
          <t>브랜드 콜라보 굿즈가 불필요한 소비를 유발하는 문제</t>
        </is>
      </c>
      <c r="R14" s="9" t="n">
        <v>0.0303</v>
      </c>
      <c r="S14" s="10" t="inlineStr">
        <is>
          <t>Trend</t>
        </is>
      </c>
      <c r="T14" s="11" t="inlineStr">
        <is>
          <t>메이크업 제품과 지속력 팁</t>
        </is>
      </c>
      <c r="U14" s="9" t="n">
        <v>0.0127</v>
      </c>
      <c r="V14" s="10" t="inlineStr">
        <is>
          <t>Trend</t>
        </is>
      </c>
    </row>
    <row r="15" ht="15.75" customHeight="1" s="1">
      <c r="B15" s="8" t="inlineStr">
        <is>
          <t>메타 카탈로그 광고 노출 포맷 확장</t>
        </is>
      </c>
      <c r="C15" s="9" t="n">
        <v>0.0192</v>
      </c>
      <c r="D15" s="10" t="inlineStr">
        <is>
          <t>Media</t>
        </is>
      </c>
      <c r="E15" s="8" t="inlineStr">
        <is>
          <t>창립기념축사</t>
        </is>
      </c>
      <c r="F15" s="9" t="n">
        <v>0.0145</v>
      </c>
      <c r="G15" s="10" t="inlineStr">
        <is>
          <t>About</t>
        </is>
      </c>
      <c r="H15" s="11" t="n"/>
      <c r="I15" s="13" t="n"/>
      <c r="J15" s="10" t="n"/>
      <c r="K15" s="11" t="n"/>
      <c r="L15" s="9" t="n"/>
      <c r="M15" s="10" t="n"/>
      <c r="N15" s="11" t="n"/>
      <c r="O15" s="9" t="n"/>
      <c r="P15" s="10" t="n"/>
      <c r="Q15" s="8" t="inlineStr">
        <is>
          <t>코카콜라 월드컵 스티커</t>
        </is>
      </c>
      <c r="R15" s="9" t="n">
        <v>0.0303</v>
      </c>
      <c r="S15" s="10" t="inlineStr">
        <is>
          <t>Trend</t>
        </is>
      </c>
      <c r="T15" s="11" t="n"/>
      <c r="U15" s="13" t="n"/>
      <c r="V15" s="10" t="n"/>
    </row>
    <row r="16" ht="15.75" customHeight="1" s="1">
      <c r="B16" s="8" t="inlineStr">
        <is>
          <t>온드미디어</t>
        </is>
      </c>
      <c r="C16" s="9" t="n">
        <v>0.0192</v>
      </c>
      <c r="D16" s="10" t="inlineStr">
        <is>
          <t>Media</t>
        </is>
      </c>
      <c r="E16" s="11" t="n"/>
      <c r="F16" s="9" t="n"/>
      <c r="G16" s="10" t="n"/>
      <c r="H16" s="11" t="n"/>
      <c r="I16" s="13" t="n"/>
      <c r="J16" s="10" t="n"/>
      <c r="K16" s="11" t="n"/>
      <c r="L16" s="9" t="n"/>
      <c r="M16" s="10" t="n"/>
      <c r="N16" s="11" t="n"/>
      <c r="O16" s="9" t="n"/>
      <c r="P16" s="10" t="n"/>
      <c r="Q16" s="8" t="inlineStr">
        <is>
          <t>고택스캡슐의 주요 성분과 효능이 궁금해요</t>
        </is>
      </c>
      <c r="R16" s="9" t="n">
        <v>0.0152</v>
      </c>
      <c r="S16" s="10" t="inlineStr">
        <is>
          <t>Trend</t>
        </is>
      </c>
      <c r="T16" s="11" t="n"/>
      <c r="U16" s="13" t="n"/>
      <c r="V16" s="10" t="n"/>
    </row>
    <row r="17" ht="15.75" customHeight="1" s="1">
      <c r="B17" s="8" t="inlineStr">
        <is>
          <t>창립기념일 행사 이벤트 아이디어</t>
        </is>
      </c>
      <c r="C17" s="9" t="n">
        <v>0.0192</v>
      </c>
      <c r="D17" s="10" t="inlineStr">
        <is>
          <t>About</t>
        </is>
      </c>
      <c r="E17" s="11" t="n"/>
      <c r="F17" s="9" t="n"/>
      <c r="G17" s="10" t="n"/>
      <c r="H17" s="11" t="n"/>
      <c r="I17" s="13" t="n"/>
      <c r="J17" s="10" t="n"/>
      <c r="K17" s="11" t="n"/>
      <c r="L17" s="9" t="n"/>
      <c r="M17" s="10" t="n"/>
      <c r="N17" s="11" t="n"/>
      <c r="O17" s="9" t="n"/>
      <c r="P17" s="10" t="n"/>
      <c r="Q17" s="8" t="inlineStr">
        <is>
          <t>네이티브 광고</t>
        </is>
      </c>
      <c r="R17" s="9" t="n">
        <v>0.0152</v>
      </c>
      <c r="S17" s="10" t="inlineStr">
        <is>
          <t>Media</t>
        </is>
      </c>
      <c r="T17" s="11" t="n"/>
      <c r="U17" s="13" t="n"/>
      <c r="V17" s="10" t="n"/>
    </row>
    <row r="18" ht="15.75" customHeight="1" s="1">
      <c r="B18" s="8" t="inlineStr">
        <is>
          <t>디엠씨미디어</t>
        </is>
      </c>
      <c r="C18" s="9" t="n">
        <v>0.0192</v>
      </c>
      <c r="D18" s="10" t="inlineStr">
        <is>
          <t>About</t>
        </is>
      </c>
      <c r="E18" s="11" t="n"/>
      <c r="F18" s="9" t="n"/>
      <c r="G18" s="10" t="n"/>
      <c r="H18" s="11" t="n"/>
      <c r="I18" s="13" t="n"/>
      <c r="J18" s="10" t="n"/>
      <c r="K18" s="11" t="n"/>
      <c r="L18" s="13" t="n"/>
      <c r="M18" s="10" t="n"/>
      <c r="N18" s="11" t="n"/>
      <c r="O18" s="9" t="n"/>
      <c r="P18" s="10" t="n"/>
      <c r="Q18" s="8" t="inlineStr">
        <is>
          <t>디엠씨미디어 커머스산업</t>
        </is>
      </c>
      <c r="R18" s="9" t="n">
        <v>0.0152</v>
      </c>
      <c r="S18" s="10" t="inlineStr">
        <is>
          <t>About</t>
        </is>
      </c>
      <c r="T18" s="11" t="n"/>
      <c r="U18" s="13" t="n"/>
      <c r="V18" s="10" t="n"/>
    </row>
    <row r="19" ht="15.75" customHeight="1" s="1">
      <c r="B19" s="11" t="n"/>
      <c r="C19" s="13" t="n"/>
      <c r="D19" s="10" t="n"/>
      <c r="E19" s="11" t="n"/>
      <c r="F19" s="9" t="n"/>
      <c r="G19" s="10" t="n"/>
      <c r="H19" s="11" t="n"/>
      <c r="I19" s="13" t="n"/>
      <c r="J19" s="10" t="n"/>
      <c r="K19" s="11" t="n"/>
      <c r="L19" s="13" t="n"/>
      <c r="M19" s="10" t="n"/>
      <c r="N19" s="11" t="n"/>
      <c r="O19" s="9" t="n"/>
      <c r="P19" s="10" t="n"/>
      <c r="Q19" s="8" t="inlineStr">
        <is>
          <t>월드컵2026 스티커북</t>
        </is>
      </c>
      <c r="R19" s="9" t="n">
        <v>0.0152</v>
      </c>
      <c r="S19" s="10" t="inlineStr">
        <is>
          <t>Trend</t>
        </is>
      </c>
      <c r="T19" s="11" t="n"/>
      <c r="U19" s="13" t="n"/>
      <c r="V19" s="10" t="n"/>
    </row>
    <row r="20" ht="15.75" customHeight="1" s="1">
      <c r="B20" s="11" t="n"/>
      <c r="C20" s="13" t="n"/>
      <c r="D20" s="10" t="n"/>
      <c r="E20" s="11" t="n"/>
      <c r="F20" s="9" t="n"/>
      <c r="G20" s="10" t="n"/>
      <c r="H20" s="11" t="n"/>
      <c r="I20" s="13" t="n"/>
      <c r="J20" s="10" t="n"/>
      <c r="K20" s="11" t="n"/>
      <c r="L20" s="13" t="n"/>
      <c r="M20" s="10" t="n"/>
      <c r="N20" s="11" t="n"/>
      <c r="O20" s="9" t="n"/>
      <c r="P20" s="10" t="n"/>
      <c r="Q20" s="8" t="inlineStr">
        <is>
          <t>코카콜라 스티커</t>
        </is>
      </c>
      <c r="R20" s="9" t="n">
        <v>0.0152</v>
      </c>
      <c r="S20" s="10" t="inlineStr">
        <is>
          <t>Trend</t>
        </is>
      </c>
      <c r="T20" s="11" t="n"/>
      <c r="U20" s="13" t="n"/>
      <c r="V20" s="10" t="n"/>
    </row>
    <row r="21" ht="15.75" customHeight="1" s="1">
      <c r="B21" s="11" t="n"/>
      <c r="C21" s="13" t="n"/>
      <c r="D21" s="10" t="n"/>
      <c r="E21" s="11" t="n"/>
      <c r="F21" s="9" t="n"/>
      <c r="G21" s="10" t="n"/>
      <c r="H21" s="11" t="n"/>
      <c r="I21" s="13" t="n"/>
      <c r="J21" s="10" t="n"/>
      <c r="K21" s="11" t="n"/>
      <c r="L21" s="13" t="n"/>
      <c r="M21" s="10" t="n"/>
      <c r="N21" s="11" t="n"/>
      <c r="O21" s="13" t="n"/>
      <c r="P21" s="10" t="n"/>
      <c r="Q21" s="8" t="inlineStr">
        <is>
          <t>타뷸라</t>
        </is>
      </c>
      <c r="R21" s="9" t="n">
        <v>0.0152</v>
      </c>
      <c r="S21" s="10" t="inlineStr">
        <is>
          <t>Media</t>
        </is>
      </c>
      <c r="T21" s="11" t="n"/>
      <c r="U21" s="13" t="n"/>
      <c r="V21" s="10" t="n"/>
    </row>
    <row r="22" ht="15.75" customHeight="1" s="1">
      <c r="B22" s="11" t="n"/>
      <c r="C22" s="13" t="n"/>
      <c r="D22" s="10" t="n"/>
      <c r="E22" s="11" t="n"/>
      <c r="F22" s="9" t="n"/>
      <c r="G22" s="10" t="n"/>
      <c r="H22" s="11" t="n"/>
      <c r="I22" s="13" t="n"/>
      <c r="J22" s="10" t="n"/>
      <c r="K22" s="11" t="n"/>
      <c r="L22" s="13" t="n"/>
      <c r="M22" s="10" t="n"/>
      <c r="N22" s="11" t="n"/>
      <c r="O22" s="13" t="n"/>
      <c r="P22" s="10" t="n"/>
      <c r="Q22" s="8" t="inlineStr">
        <is>
          <t>코카콜라 스티커</t>
        </is>
      </c>
      <c r="R22" s="9" t="n">
        <v>0.0152</v>
      </c>
      <c r="S22" s="10" t="inlineStr">
        <is>
          <t>Trend</t>
        </is>
      </c>
      <c r="T22" s="11" t="n"/>
      <c r="U22" s="13" t="n"/>
      <c r="V22" s="10" t="n"/>
    </row>
    <row r="23" ht="15.75" customHeight="1" s="1">
      <c r="B23" s="14" t="n"/>
      <c r="C23" s="15" t="n"/>
      <c r="D23" s="16" t="n"/>
      <c r="E23" s="14" t="n"/>
      <c r="F23" s="15" t="n"/>
      <c r="G23" s="16" t="n"/>
      <c r="H23" s="14" t="n"/>
      <c r="I23" s="15" t="n"/>
      <c r="J23" s="16" t="n"/>
      <c r="K23" s="14" t="n"/>
      <c r="L23" s="15" t="n"/>
      <c r="M23" s="16" t="n"/>
      <c r="N23" s="14" t="n"/>
      <c r="O23" s="15" t="n"/>
      <c r="P23" s="16" t="n"/>
      <c r="Q23" s="14" t="n"/>
      <c r="R23" s="15" t="n"/>
      <c r="S23" s="16" t="n"/>
      <c r="T23" s="14" t="n"/>
      <c r="U23" s="15" t="n"/>
      <c r="V23" s="16" t="n"/>
    </row>
    <row r="24" ht="15.75" customHeight="1" s="1">
      <c r="B24" s="5">
        <f>IF(8&lt;=DAY(EOMONTH(DATE(2026,$C$1,1),0)),$C$1&amp;"월 8일","")</f>
        <v/>
      </c>
      <c r="C24" s="6" t="n"/>
      <c r="D24" s="7" t="n"/>
      <c r="E24" s="5">
        <f>IF(9&lt;=DAY(EOMONTH(DATE(2026,$C$1,1),0)),$C$1&amp;"월 9일","")</f>
        <v/>
      </c>
      <c r="F24" s="6" t="n"/>
      <c r="G24" s="7" t="n"/>
      <c r="H24" s="5">
        <f>IF(10&lt;=DAY(EOMONTH(DATE(2026,$C$1,1),0)),$C$1&amp;"월 10일","")</f>
        <v/>
      </c>
      <c r="I24" s="6" t="n"/>
      <c r="J24" s="7" t="n"/>
      <c r="K24" s="5">
        <f>IF(11&lt;=DAY(EOMONTH(DATE(2026,$C$1,1),0)),$C$1&amp;"월 11일","")</f>
        <v/>
      </c>
      <c r="L24" s="6" t="n"/>
      <c r="M24" s="7" t="n"/>
      <c r="N24" s="5">
        <f>IF(12&lt;=DAY(EOMONTH(DATE(2026,$C$1,1),0)),$C$1&amp;"월 12일","")</f>
        <v/>
      </c>
      <c r="O24" s="6" t="n"/>
      <c r="P24" s="7" t="n"/>
      <c r="Q24" s="5">
        <f>IF(13&lt;=DAY(EOMONTH(DATE(2026,$C$1,1),0)),$C$1&amp;"월 13일","")</f>
        <v/>
      </c>
      <c r="R24" s="6" t="n"/>
      <c r="S24" s="7" t="n"/>
      <c r="T24" s="5">
        <f>IF(14&lt;=DAY(EOMONTH(DATE(2026,$C$1,1),0)),$C$1&amp;"월 14일","")</f>
        <v/>
      </c>
      <c r="U24" s="6" t="n"/>
      <c r="V24" s="7" t="n"/>
    </row>
    <row r="25" ht="15.75" customHeight="1" s="1">
      <c r="B25" s="11" t="inlineStr">
        <is>
          <t>디엠씨미디어</t>
        </is>
      </c>
      <c r="C25" s="9" t="n">
        <v>0.0297</v>
      </c>
      <c r="D25" s="10" t="inlineStr">
        <is>
          <t>About</t>
        </is>
      </c>
      <c r="E25" s="11" t="inlineStr">
        <is>
          <t>jy.dmc</t>
        </is>
      </c>
      <c r="F25" s="9" t="n">
        <v>0.027</v>
      </c>
      <c r="G25" s="10" t="inlineStr">
        <is>
          <t>About</t>
        </is>
      </c>
      <c r="H25" s="11" t="inlineStr">
        <is>
          <t>jy.dmc</t>
        </is>
      </c>
      <c r="I25" s="9" t="n">
        <v>0.0426</v>
      </c>
      <c r="J25" s="10" t="inlineStr">
        <is>
          <t>About</t>
        </is>
      </c>
      <c r="K25" s="11" t="inlineStr">
        <is>
          <t>코카콜라 마케팅 전략</t>
        </is>
      </c>
      <c r="L25" s="9" t="n">
        <v>0.1429</v>
      </c>
      <c r="M25" s="10" t="inlineStr">
        <is>
          <t>Trend</t>
        </is>
      </c>
      <c r="N25" s="11" t="inlineStr">
        <is>
          <t>dmc미디어 메타공식대행사</t>
        </is>
      </c>
      <c r="O25" s="9" t="n">
        <v>0.05</v>
      </c>
      <c r="P25" s="10" t="inlineStr">
        <is>
          <t>About</t>
        </is>
      </c>
      <c r="Q25" s="11" t="inlineStr">
        <is>
          <t>코카콜라 게이미피케이션</t>
        </is>
      </c>
      <c r="R25" s="12" t="n">
        <v>0.0833</v>
      </c>
      <c r="S25" s="10" t="inlineStr">
        <is>
          <t>Trend</t>
        </is>
      </c>
      <c r="T25" s="11" t="inlineStr">
        <is>
          <t>디엠씨미디어</t>
        </is>
      </c>
      <c r="U25" s="9" t="n">
        <v>0.0465</v>
      </c>
      <c r="V25" s="10" t="inlineStr">
        <is>
          <t>About</t>
        </is>
      </c>
    </row>
    <row r="26" ht="15.75" customHeight="1" s="1">
      <c r="B26" s="11" t="inlineStr">
        <is>
          <t>(주)디엠씨미디어</t>
        </is>
      </c>
      <c r="C26" s="9" t="n">
        <v>0.009900000000000001</v>
      </c>
      <c r="D26" s="10" t="inlineStr">
        <is>
          <t>About</t>
        </is>
      </c>
      <c r="E26" s="11" t="inlineStr">
        <is>
          <t>지도스플래시패키지 과금방식</t>
        </is>
      </c>
      <c r="F26" s="12" t="n">
        <v>0.027</v>
      </c>
      <c r="G26" s="10" t="inlineStr">
        <is>
          <t>About</t>
        </is>
      </c>
      <c r="H26" s="11" t="inlineStr">
        <is>
          <t>디엠씨미디어</t>
        </is>
      </c>
      <c r="I26" s="9" t="n">
        <v>0.0426</v>
      </c>
      <c r="J26" s="10" t="inlineStr">
        <is>
          <t>About</t>
        </is>
      </c>
      <c r="K26" s="11" t="inlineStr">
        <is>
          <t>코카콜라 파니니</t>
        </is>
      </c>
      <c r="L26" s="9" t="n">
        <v>0.1429</v>
      </c>
      <c r="M26" s="10" t="inlineStr">
        <is>
          <t>Trend</t>
        </is>
      </c>
      <c r="N26" s="11" t="inlineStr">
        <is>
          <t>dmc미디어 메타광고</t>
        </is>
      </c>
      <c r="O26" s="9" t="n">
        <v>0.05</v>
      </c>
      <c r="P26" s="10" t="inlineStr">
        <is>
          <t>About</t>
        </is>
      </c>
      <c r="Q26" s="11" t="inlineStr">
        <is>
          <t>코카콜라 북중미 월드컵</t>
        </is>
      </c>
      <c r="R26" s="9" t="n">
        <v>0.0556</v>
      </c>
      <c r="S26" s="10" t="inlineStr">
        <is>
          <t>Trend</t>
        </is>
      </c>
      <c r="T26" s="11" t="inlineStr">
        <is>
          <t>디엠씨미디어 면접</t>
        </is>
      </c>
      <c r="U26" s="9" t="n">
        <v>0.0465</v>
      </c>
      <c r="V26" s="10" t="inlineStr">
        <is>
          <t>People</t>
        </is>
      </c>
    </row>
    <row r="27" ht="15.75" customHeight="1" s="1">
      <c r="B27" s="11" t="inlineStr">
        <is>
          <t>파니니 월드컵 북</t>
        </is>
      </c>
      <c r="C27" s="9" t="n">
        <v>0.009900000000000001</v>
      </c>
      <c r="D27" s="10" t="inlineStr">
        <is>
          <t>Trend</t>
        </is>
      </c>
      <c r="E27" s="11" t="inlineStr">
        <is>
          <t>코카콜라 선수 스티커</t>
        </is>
      </c>
      <c r="F27" s="9" t="n">
        <v>0.027</v>
      </c>
      <c r="G27" s="10" t="inlineStr">
        <is>
          <t>Trend</t>
        </is>
      </c>
      <c r="H27" s="11" t="inlineStr">
        <is>
          <t>타불라</t>
        </is>
      </c>
      <c r="I27" s="9" t="n">
        <v>0.0426</v>
      </c>
      <c r="J27" s="10" t="inlineStr">
        <is>
          <t>Media</t>
        </is>
      </c>
      <c r="K27" s="11" t="inlineStr">
        <is>
          <t>디엠씨미디어</t>
        </is>
      </c>
      <c r="L27" s="9" t="n">
        <v>0.0476</v>
      </c>
      <c r="M27" s="10" t="inlineStr">
        <is>
          <t>About</t>
        </is>
      </c>
      <c r="N27" s="11" t="inlineStr">
        <is>
          <t>벰파이어 아이돌</t>
        </is>
      </c>
      <c r="O27" s="9" t="n">
        <v>0.05</v>
      </c>
      <c r="P27" s="10" t="inlineStr">
        <is>
          <t>Trend</t>
        </is>
      </c>
      <c r="Q27" s="11" t="inlineStr">
        <is>
          <t>북중미 월드컵 띠부실</t>
        </is>
      </c>
      <c r="R27" s="9" t="n">
        <v>0.0278</v>
      </c>
      <c r="S27" s="10" t="inlineStr">
        <is>
          <t>Trend</t>
        </is>
      </c>
      <c r="T27" s="11" t="inlineStr">
        <is>
          <t>타블라 광고</t>
        </is>
      </c>
      <c r="U27" s="9" t="n">
        <v>0.0465</v>
      </c>
      <c r="V27" s="10" t="inlineStr">
        <is>
          <t>Media</t>
        </is>
      </c>
    </row>
    <row r="28" ht="15.75" customHeight="1" s="1">
      <c r="B28" s="11" t="inlineStr">
        <is>
          <t>파니니 코카콜라</t>
        </is>
      </c>
      <c r="C28" s="9" t="n">
        <v>0.009900000000000001</v>
      </c>
      <c r="D28" s="10" t="inlineStr">
        <is>
          <t>Trend</t>
        </is>
      </c>
      <c r="E28" s="11" t="inlineStr">
        <is>
          <t>코카콜라 월드컵 선수 카드</t>
        </is>
      </c>
      <c r="F28" s="9" t="n">
        <v>0.027</v>
      </c>
      <c r="G28" s="10" t="inlineStr">
        <is>
          <t>Trend</t>
        </is>
      </c>
      <c r="H28" s="11" t="inlineStr">
        <is>
          <t>Shu-Chew Beats</t>
        </is>
      </c>
      <c r="I28" s="9" t="n">
        <v>0.0213</v>
      </c>
      <c r="J28" s="10" t="inlineStr">
        <is>
          <t>Trend</t>
        </is>
      </c>
      <c r="K28" s="11" t="inlineStr">
        <is>
          <t>월드컵 2026 파니니</t>
        </is>
      </c>
      <c r="L28" s="9" t="n">
        <v>0.0476</v>
      </c>
      <c r="M28" s="10" t="inlineStr">
        <is>
          <t>Trend</t>
        </is>
      </c>
      <c r="N28" s="11" t="inlineStr">
        <is>
          <t>에스파 핀터레스트</t>
        </is>
      </c>
      <c r="O28" s="9" t="n">
        <v>0.05</v>
      </c>
      <c r="P28" s="10" t="inlineStr">
        <is>
          <t>Trend</t>
        </is>
      </c>
      <c r="Q28" s="11" t="inlineStr">
        <is>
          <t>어드민나이트</t>
        </is>
      </c>
      <c r="R28" s="9" t="n">
        <v>0.0278</v>
      </c>
      <c r="S28" s="10" t="inlineStr">
        <is>
          <t>Trend</t>
        </is>
      </c>
      <c r="T28" s="11" t="inlineStr">
        <is>
          <t>파니니 콜라</t>
        </is>
      </c>
      <c r="U28" s="9" t="n">
        <v>0.0465</v>
      </c>
      <c r="V28" s="10" t="inlineStr">
        <is>
          <t>Trend</t>
        </is>
      </c>
    </row>
    <row r="29" ht="15.75" customHeight="1" s="1">
      <c r="B29" s="11" t="inlineStr">
        <is>
          <t>디엠씨미디어</t>
        </is>
      </c>
      <c r="C29" s="9" t="n">
        <v>0.009900000000000001</v>
      </c>
      <c r="D29" s="10" t="inlineStr">
        <is>
          <t>About</t>
        </is>
      </c>
      <c r="E29" s="11" t="inlineStr">
        <is>
          <t>토스애즈</t>
        </is>
      </c>
      <c r="F29" s="9" t="n">
        <v>0.027</v>
      </c>
      <c r="G29" s="10" t="inlineStr">
        <is>
          <t>Media</t>
        </is>
      </c>
      <c r="H29" s="11" t="inlineStr">
        <is>
          <t>brand lift study</t>
        </is>
      </c>
      <c r="I29" s="9" t="n">
        <v>0.0213</v>
      </c>
      <c r="J29" s="10" t="inlineStr">
        <is>
          <t>About</t>
        </is>
      </c>
      <c r="K29" s="11" t="inlineStr">
        <is>
          <t>월드컵 코카콜라 스티커</t>
        </is>
      </c>
      <c r="L29" s="9" t="n">
        <v>0.0476</v>
      </c>
      <c r="M29" s="10" t="inlineStr">
        <is>
          <t>Trend</t>
        </is>
      </c>
      <c r="N29" s="11" t="inlineStr">
        <is>
          <t>오늘 축구 중계 채널 시청률</t>
        </is>
      </c>
      <c r="O29" s="9" t="n">
        <v>0.05</v>
      </c>
      <c r="P29" s="10" t="inlineStr">
        <is>
          <t>Trend</t>
        </is>
      </c>
      <c r="Q29" s="11" t="inlineStr">
        <is>
          <t>카카오톡 채널 알림톡을 이용한 마케팅 사례를 알려주세요</t>
        </is>
      </c>
      <c r="R29" s="9" t="n">
        <v>0.0278</v>
      </c>
      <c r="S29" s="10" t="inlineStr">
        <is>
          <t>Media</t>
        </is>
      </c>
      <c r="T29" s="11" t="inlineStr">
        <is>
          <t>디엠씨미디어 상장</t>
        </is>
      </c>
      <c r="U29" s="9" t="n">
        <v>0.0233</v>
      </c>
      <c r="V29" s="10" t="inlineStr">
        <is>
          <t>People</t>
        </is>
      </c>
    </row>
    <row r="30" ht="15.75" customHeight="1" s="1">
      <c r="B30" s="11" t="inlineStr">
        <is>
          <t>디엠씨미디어 블로그</t>
        </is>
      </c>
      <c r="C30" s="9" t="n">
        <v>0.009900000000000001</v>
      </c>
      <c r="D30" s="10" t="inlineStr">
        <is>
          <t>About</t>
        </is>
      </c>
      <c r="E30" s="11" t="inlineStr">
        <is>
          <t>파니니 2026 월드컵</t>
        </is>
      </c>
      <c r="F30" s="9" t="n">
        <v>0.027</v>
      </c>
      <c r="G30" s="10" t="inlineStr">
        <is>
          <t>Trend</t>
        </is>
      </c>
      <c r="H30" s="11" t="inlineStr">
        <is>
          <t>월드컵 파니니 스티커</t>
        </is>
      </c>
      <c r="I30" s="9" t="n">
        <v>0.0213</v>
      </c>
      <c r="J30" s="10" t="inlineStr">
        <is>
          <t>Trend</t>
        </is>
      </c>
      <c r="K30" s="11" t="inlineStr">
        <is>
          <t>코카콜라 월드컵</t>
        </is>
      </c>
      <c r="L30" s="9" t="n">
        <v>0.0476</v>
      </c>
      <c r="M30" s="10" t="inlineStr">
        <is>
          <t>Trend</t>
        </is>
      </c>
      <c r="N30" s="11" t="inlineStr">
        <is>
          <t>월드컵 스티커 북</t>
        </is>
      </c>
      <c r="O30" s="9" t="n">
        <v>0.05</v>
      </c>
      <c r="P30" s="10" t="inlineStr">
        <is>
          <t>Trend</t>
        </is>
      </c>
      <c r="Q30" s="11" t="inlineStr">
        <is>
          <t>카카오톡채널 첫인사메시지</t>
        </is>
      </c>
      <c r="R30" s="9" t="n">
        <v>0.0278</v>
      </c>
      <c r="S30" s="10" t="inlineStr">
        <is>
          <t>Media</t>
        </is>
      </c>
      <c r="T30" s="11" t="inlineStr">
        <is>
          <t>온드미디어</t>
        </is>
      </c>
      <c r="U30" s="9" t="n">
        <v>0.0233</v>
      </c>
      <c r="V30" s="10" t="inlineStr">
        <is>
          <t>About</t>
        </is>
      </c>
    </row>
    <row r="31" ht="15.75" customHeight="1" s="1">
      <c r="B31" s="11" t="inlineStr">
        <is>
          <t>타불라</t>
        </is>
      </c>
      <c r="C31" s="9" t="n">
        <v>0.009900000000000001</v>
      </c>
      <c r="D31" s="10" t="inlineStr">
        <is>
          <t>Media</t>
        </is>
      </c>
      <c r="E31" s="11" t="inlineStr">
        <is>
          <t>타불라 광고</t>
        </is>
      </c>
      <c r="F31" s="9" t="n">
        <v>0.0541</v>
      </c>
      <c r="G31" s="10" t="inlineStr">
        <is>
          <t>Media</t>
        </is>
      </c>
      <c r="H31" s="11" t="inlineStr">
        <is>
          <t>창립기념일 현수막</t>
        </is>
      </c>
      <c r="I31" s="9" t="n">
        <v>0.0213</v>
      </c>
      <c r="J31" s="10" t="inlineStr">
        <is>
          <t>About</t>
        </is>
      </c>
      <c r="K31" s="11" t="inlineStr">
        <is>
          <t>타불라</t>
        </is>
      </c>
      <c r="L31" s="9" t="n">
        <v>0.0476</v>
      </c>
      <c r="M31" s="10" t="inlineStr">
        <is>
          <t>Media</t>
        </is>
      </c>
      <c r="N31" s="11" t="inlineStr">
        <is>
          <t>월드컵 한정 코카콜라</t>
        </is>
      </c>
      <c r="O31" s="9" t="n">
        <v>0.05</v>
      </c>
      <c r="P31" s="10" t="inlineStr">
        <is>
          <t>Trend</t>
        </is>
      </c>
      <c r="Q31" s="11" t="inlineStr">
        <is>
          <t>코카콜라 마케팅</t>
        </is>
      </c>
      <c r="R31" s="9" t="n">
        <v>0.0278</v>
      </c>
      <c r="S31" s="10" t="inlineStr">
        <is>
          <t>Trend</t>
        </is>
      </c>
      <c r="T31" s="11" t="inlineStr">
        <is>
          <t>코카콜라 축구 스티커</t>
        </is>
      </c>
      <c r="U31" s="9" t="n">
        <v>0.0233</v>
      </c>
      <c r="V31" s="10" t="inlineStr">
        <is>
          <t>Trend</t>
        </is>
      </c>
    </row>
    <row r="32" ht="15.75" customHeight="1" s="1">
      <c r="B32" s="11" t="inlineStr">
        <is>
          <t>타불라 광고</t>
        </is>
      </c>
      <c r="C32" s="9" t="n">
        <v>0.009900000000000001</v>
      </c>
      <c r="D32" s="10" t="inlineStr">
        <is>
          <t>Media</t>
        </is>
      </c>
      <c r="E32" s="11" t="inlineStr">
        <is>
          <t>2026 파니니 월드컵 스티커</t>
        </is>
      </c>
      <c r="F32" s="9" t="n">
        <v>0.027</v>
      </c>
      <c r="G32" s="10" t="inlineStr">
        <is>
          <t>Trend</t>
        </is>
      </c>
      <c r="H32" s="11" t="inlineStr">
        <is>
          <t>타불라 광고</t>
        </is>
      </c>
      <c r="I32" s="9" t="n">
        <v>0.0213</v>
      </c>
      <c r="J32" s="10" t="inlineStr">
        <is>
          <t>Media</t>
        </is>
      </c>
      <c r="K32" s="11" t="inlineStr">
        <is>
          <t>피파 월드컵 2026 스티커북</t>
        </is>
      </c>
      <c r="L32" s="9" t="n">
        <v>0.0476</v>
      </c>
      <c r="M32" s="10" t="inlineStr">
        <is>
          <t>Trend</t>
        </is>
      </c>
      <c r="N32" s="11" t="inlineStr">
        <is>
          <t>코카콜라 월드컵 스티커</t>
        </is>
      </c>
      <c r="O32" s="9" t="n">
        <v>0.05</v>
      </c>
      <c r="P32" s="10" t="inlineStr">
        <is>
          <t>Trend</t>
        </is>
      </c>
      <c r="Q32" s="11" t="inlineStr">
        <is>
          <t>코카콜라북중미월드컵</t>
        </is>
      </c>
      <c r="R32" s="9" t="n">
        <v>0.0278</v>
      </c>
      <c r="S32" s="10" t="inlineStr">
        <is>
          <t>Trend</t>
        </is>
      </c>
      <c r="T32" s="11" t="inlineStr">
        <is>
          <t>코카콜라 파니니</t>
        </is>
      </c>
      <c r="U32" s="9" t="n">
        <v>0.0233</v>
      </c>
      <c r="V32" s="10" t="inlineStr">
        <is>
          <t>Trend</t>
        </is>
      </c>
    </row>
    <row r="33" ht="15.75" customHeight="1" s="1">
      <c r="B33" s="11" t="inlineStr">
        <is>
          <t>토스 애즈 광고</t>
        </is>
      </c>
      <c r="C33" s="9" t="n">
        <v>0.009900000000000001</v>
      </c>
      <c r="D33" s="10" t="inlineStr">
        <is>
          <t>Media</t>
        </is>
      </c>
      <c r="E33" s="11" t="inlineStr">
        <is>
          <t>사내 AI 경진대회</t>
        </is>
      </c>
      <c r="F33" s="9" t="n">
        <v>0.027</v>
      </c>
      <c r="G33" s="10" t="inlineStr">
        <is>
          <t>About</t>
        </is>
      </c>
      <c r="H33" s="11" t="inlineStr">
        <is>
          <t>프로젝트 종료 리프레시 휴가</t>
        </is>
      </c>
      <c r="I33" s="9" t="n">
        <v>0.0213</v>
      </c>
      <c r="J33" s="10" t="inlineStr">
        <is>
          <t>About</t>
        </is>
      </c>
      <c r="K33" s="11" t="inlineStr">
        <is>
          <t>디엠씨미디어 채용</t>
        </is>
      </c>
      <c r="L33" s="9" t="n">
        <v>0.0476</v>
      </c>
      <c r="M33" s="10" t="inlineStr">
        <is>
          <t>People</t>
        </is>
      </c>
      <c r="N33" s="11" t="inlineStr">
        <is>
          <t>타불라</t>
        </is>
      </c>
      <c r="O33" s="9" t="n">
        <v>0.05</v>
      </c>
      <c r="P33" s="10" t="inlineStr">
        <is>
          <t>Media</t>
        </is>
      </c>
      <c r="Q33" s="11" t="inlineStr">
        <is>
          <t>타불라</t>
        </is>
      </c>
      <c r="R33" s="9" t="n">
        <v>0.0278</v>
      </c>
      <c r="S33" s="10" t="inlineStr">
        <is>
          <t>Media</t>
        </is>
      </c>
      <c r="T33" s="11" t="inlineStr">
        <is>
          <t>dmc미디어</t>
        </is>
      </c>
      <c r="U33" s="9" t="n">
        <v>0.0233</v>
      </c>
      <c r="V33" s="10" t="inlineStr">
        <is>
          <t>About</t>
        </is>
      </c>
    </row>
    <row r="34" ht="15.75" customHeight="1" s="1">
      <c r="B34" s="11" t="inlineStr">
        <is>
          <t>하이네켄 캠페인</t>
        </is>
      </c>
      <c r="C34" s="9" t="n">
        <v>0.009900000000000001</v>
      </c>
      <c r="D34" s="10" t="inlineStr">
        <is>
          <t>Trend</t>
        </is>
      </c>
      <c r="E34" s="11" t="inlineStr">
        <is>
          <t>카카오톡 채널추가 안내메세지 사진</t>
        </is>
      </c>
      <c r="F34" s="9" t="n">
        <v>0.027</v>
      </c>
      <c r="G34" s="10" t="inlineStr">
        <is>
          <t>Media</t>
        </is>
      </c>
      <c r="H34" s="11" t="inlineStr">
        <is>
          <t>사내ai경진대회</t>
        </is>
      </c>
      <c r="I34" s="9" t="n">
        <v>0.0426</v>
      </c>
      <c r="J34" s="10" t="inlineStr">
        <is>
          <t>About</t>
        </is>
      </c>
      <c r="K34" s="11" t="inlineStr">
        <is>
          <t>웬디스 콜라보</t>
        </is>
      </c>
      <c r="L34" s="9" t="n">
        <v>0.0476</v>
      </c>
      <c r="M34" s="10" t="inlineStr">
        <is>
          <t>Trend</t>
        </is>
      </c>
      <c r="N34" s="11" t="inlineStr">
        <is>
          <t>2026 북중미 월드컵 코카콜라 비밀</t>
        </is>
      </c>
      <c r="O34" s="9" t="n">
        <v>0.1</v>
      </c>
      <c r="P34" s="10" t="inlineStr">
        <is>
          <t>Trend</t>
        </is>
      </c>
      <c r="Q34" s="11" t="inlineStr">
        <is>
          <t>파니니 26 월드컵</t>
        </is>
      </c>
      <c r="R34" s="9" t="n">
        <v>0.0278</v>
      </c>
      <c r="S34" s="10" t="inlineStr">
        <is>
          <t>Trend</t>
        </is>
      </c>
      <c r="T34" s="11" t="inlineStr">
        <is>
          <t>더블크라운 DA</t>
        </is>
      </c>
      <c r="U34" s="9" t="n">
        <v>0.0233</v>
      </c>
      <c r="V34" s="10" t="inlineStr">
        <is>
          <t>About</t>
        </is>
      </c>
    </row>
    <row r="35" ht="15.75" customHeight="1" s="1">
      <c r="B35" s="11" t="inlineStr">
        <is>
          <t>2026 월드컵 파니니 스티커</t>
        </is>
      </c>
      <c r="C35" s="9" t="n">
        <v>0.009900000000000001</v>
      </c>
      <c r="D35" s="10" t="inlineStr">
        <is>
          <t>Trend</t>
        </is>
      </c>
      <c r="E35" s="11" t="inlineStr">
        <is>
          <t>창립기념 행사</t>
        </is>
      </c>
      <c r="F35" s="9" t="n">
        <v>0.027</v>
      </c>
      <c r="G35" s="10" t="inlineStr">
        <is>
          <t>About</t>
        </is>
      </c>
      <c r="H35" s="11" t="inlineStr">
        <is>
          <t>2026 월드컵 스티커</t>
        </is>
      </c>
      <c r="I35" s="9" t="n">
        <v>0.0213</v>
      </c>
      <c r="J35" s="10" t="inlineStr">
        <is>
          <t>Trend</t>
        </is>
      </c>
      <c r="K35" s="11" t="n"/>
      <c r="L35" s="9" t="n"/>
      <c r="M35" s="10" t="n"/>
      <c r="N35" s="11" t="inlineStr">
        <is>
          <t>타불라</t>
        </is>
      </c>
      <c r="O35" s="12" t="n">
        <v>0.1</v>
      </c>
      <c r="P35" s="10" t="inlineStr">
        <is>
          <t>Media</t>
        </is>
      </c>
      <c r="Q35" s="11" t="inlineStr">
        <is>
          <t>파니니 월드컵 2026</t>
        </is>
      </c>
      <c r="R35" s="9" t="n">
        <v>0.0278</v>
      </c>
      <c r="S35" s="10" t="inlineStr">
        <is>
          <t>Trend</t>
        </is>
      </c>
      <c r="T35" s="11" t="inlineStr">
        <is>
          <t>디엠씨미디어</t>
        </is>
      </c>
      <c r="U35" s="9" t="n">
        <v>0.0233</v>
      </c>
      <c r="V35" s="10" t="inlineStr">
        <is>
          <t>About</t>
        </is>
      </c>
    </row>
    <row r="36" ht="15.75" customHeight="1" s="1">
      <c r="B36" s="11" t="inlineStr">
        <is>
          <t>월드컵 코카콜라 스티커</t>
        </is>
      </c>
      <c r="C36" s="9" t="n">
        <v>0.009900000000000001</v>
      </c>
      <c r="D36" s="10" t="inlineStr">
        <is>
          <t>Trend</t>
        </is>
      </c>
      <c r="E36" s="11" t="inlineStr">
        <is>
          <t>중저가 의류 브랜드</t>
        </is>
      </c>
      <c r="F36" s="12" t="n">
        <v>0.027</v>
      </c>
      <c r="G36" s="10" t="inlineStr">
        <is>
          <t>Trend</t>
        </is>
      </c>
      <c r="H36" s="11" t="inlineStr">
        <is>
          <t>jtbc월드컵 화면 점수아래</t>
        </is>
      </c>
      <c r="I36" s="9" t="n">
        <v>0.0213</v>
      </c>
      <c r="J36" s="10" t="inlineStr">
        <is>
          <t>Trend</t>
        </is>
      </c>
      <c r="K36" s="11" t="n"/>
      <c r="L36" s="13" t="n"/>
      <c r="M36" s="10" t="n"/>
      <c r="N36" s="11" t="inlineStr">
        <is>
          <t>2026 북중미월드컵 코카콜라 비밀</t>
        </is>
      </c>
      <c r="O36" s="12" t="n">
        <v>0.05</v>
      </c>
      <c r="P36" s="10" t="inlineStr">
        <is>
          <t>Trend</t>
        </is>
      </c>
      <c r="Q36" s="11" t="inlineStr">
        <is>
          <t>2026 월드컵 파니니</t>
        </is>
      </c>
      <c r="R36" s="9" t="n">
        <v>0.0278</v>
      </c>
      <c r="S36" s="10" t="inlineStr">
        <is>
          <t>Trend</t>
        </is>
      </c>
      <c r="T36" s="11" t="inlineStr">
        <is>
          <t>사내 AI 대회</t>
        </is>
      </c>
      <c r="U36" s="9" t="n">
        <v>0.0233</v>
      </c>
      <c r="V36" s="10" t="inlineStr">
        <is>
          <t>People</t>
        </is>
      </c>
    </row>
    <row r="37" ht="15.75" customHeight="1" s="1">
      <c r="B37" s="11" t="inlineStr">
        <is>
          <t>코카콜라 스티커모으기</t>
        </is>
      </c>
      <c r="C37" s="9" t="n">
        <v>0.009900000000000001</v>
      </c>
      <c r="D37" s="10" t="inlineStr">
        <is>
          <t>Trend</t>
        </is>
      </c>
      <c r="E37" s="11" t="inlineStr">
        <is>
          <t>advoost max</t>
        </is>
      </c>
      <c r="F37" s="9" t="n">
        <v>0.027</v>
      </c>
      <c r="G37" s="10" t="inlineStr">
        <is>
          <t>Media</t>
        </is>
      </c>
      <c r="H37" s="11" t="inlineStr">
        <is>
          <t>코카콜라 월드컵</t>
        </is>
      </c>
      <c r="I37" s="9" t="n">
        <v>0.0213</v>
      </c>
      <c r="J37" s="10" t="inlineStr">
        <is>
          <t>Trend</t>
        </is>
      </c>
      <c r="K37" s="11" t="n"/>
      <c r="L37" s="13" t="n"/>
      <c r="M37" s="10" t="n"/>
      <c r="N37" s="11" t="inlineStr">
        <is>
          <t>nosp소재 상태값</t>
        </is>
      </c>
      <c r="O37" s="12" t="n">
        <v>0.05</v>
      </c>
      <c r="P37" s="10" t="inlineStr">
        <is>
          <t>About</t>
        </is>
      </c>
      <c r="Q37" s="11" t="inlineStr">
        <is>
          <t>dooh 성과</t>
        </is>
      </c>
      <c r="R37" s="9" t="n">
        <v>0.0278</v>
      </c>
      <c r="S37" s="10" t="inlineStr">
        <is>
          <t>About</t>
        </is>
      </c>
      <c r="T37" s="11" t="inlineStr">
        <is>
          <t>어드민나이트</t>
        </is>
      </c>
      <c r="U37" s="9" t="n">
        <v>0.0233</v>
      </c>
      <c r="V37" s="10" t="inlineStr">
        <is>
          <t>Trend</t>
        </is>
      </c>
    </row>
    <row r="38" ht="15.75" customHeight="1" s="1">
      <c r="B38" s="11" t="inlineStr">
        <is>
          <t>코카콜라 월드컵 스티커</t>
        </is>
      </c>
      <c r="C38" s="9" t="n">
        <v>0.009900000000000001</v>
      </c>
      <c r="D38" s="10" t="inlineStr">
        <is>
          <t>Trend</t>
        </is>
      </c>
      <c r="E38" s="11" t="n"/>
      <c r="F38" s="9" t="n"/>
      <c r="G38" s="10" t="n"/>
      <c r="H38" s="11" t="inlineStr">
        <is>
          <t>코카콜라 월드컵스티커</t>
        </is>
      </c>
      <c r="I38" s="9" t="n">
        <v>0.0213</v>
      </c>
      <c r="J38" s="10" t="inlineStr">
        <is>
          <t>Trend</t>
        </is>
      </c>
      <c r="K38" s="11" t="n"/>
      <c r="L38" s="13" t="n"/>
      <c r="M38" s="10" t="n"/>
      <c r="N38" s="11" t="inlineStr">
        <is>
          <t>어드민나이트</t>
        </is>
      </c>
      <c r="O38" s="12" t="n">
        <v>0.05</v>
      </c>
      <c r="P38" s="10" t="inlineStr">
        <is>
          <t>Trend</t>
        </is>
      </c>
      <c r="Q38" s="11" t="inlineStr">
        <is>
          <t>건강기능식품 트렌드 리포트 2025</t>
        </is>
      </c>
      <c r="R38" s="9" t="n">
        <v>0.0278</v>
      </c>
      <c r="S38" s="10" t="inlineStr">
        <is>
          <t>Trend</t>
        </is>
      </c>
      <c r="T38" s="11" t="inlineStr">
        <is>
          <t>타불라란</t>
        </is>
      </c>
      <c r="U38" s="9" t="n">
        <v>0.0233</v>
      </c>
      <c r="V38" s="10" t="inlineStr">
        <is>
          <t>Media</t>
        </is>
      </c>
    </row>
    <row r="39" ht="15.75" customHeight="1" s="1">
      <c r="B39" s="11" t="inlineStr">
        <is>
          <t>코카콜라 월드컵 에디션</t>
        </is>
      </c>
      <c r="C39" s="9" t="n">
        <v>0.009900000000000001</v>
      </c>
      <c r="D39" s="10" t="inlineStr">
        <is>
          <t>Trend</t>
        </is>
      </c>
      <c r="E39" s="11" t="n"/>
      <c r="F39" s="9" t="n"/>
      <c r="G39" s="10" t="n"/>
      <c r="H39" s="11" t="inlineStr">
        <is>
          <t>코카콜라 축구선수 스티커</t>
        </is>
      </c>
      <c r="I39" s="9" t="n">
        <v>0.0213</v>
      </c>
      <c r="J39" s="10" t="inlineStr">
        <is>
          <t>Trend</t>
        </is>
      </c>
      <c r="K39" s="11" t="n"/>
      <c r="L39" s="13" t="n"/>
      <c r="M39" s="10" t="n"/>
      <c r="N39" s="11" t="inlineStr">
        <is>
          <t>디엠씨미디어</t>
        </is>
      </c>
      <c r="O39" s="12" t="n">
        <v>0.05</v>
      </c>
      <c r="P39" s="10" t="inlineStr">
        <is>
          <t>About</t>
        </is>
      </c>
      <c r="Q39" s="11" t="inlineStr">
        <is>
          <t>네이티브 배너광고</t>
        </is>
      </c>
      <c r="R39" s="9" t="n">
        <v>0.0278</v>
      </c>
      <c r="S39" s="10" t="inlineStr">
        <is>
          <t>Media</t>
        </is>
      </c>
      <c r="T39" s="11" t="inlineStr">
        <is>
          <t>토스애즈 CPT 상품</t>
        </is>
      </c>
      <c r="U39" s="9" t="n">
        <v>0.0233</v>
      </c>
      <c r="V39" s="10" t="inlineStr">
        <is>
          <t>Media</t>
        </is>
      </c>
    </row>
    <row r="40" ht="15.75" customHeight="1" s="1">
      <c r="B40" s="11" t="inlineStr">
        <is>
          <t>타블라 광고</t>
        </is>
      </c>
      <c r="C40" s="9" t="n">
        <v>0.009900000000000001</v>
      </c>
      <c r="D40" s="10" t="inlineStr">
        <is>
          <t>Media</t>
        </is>
      </c>
      <c r="E40" s="11" t="n"/>
      <c r="F40" s="13" t="n"/>
      <c r="G40" s="10" t="n"/>
      <c r="H40" s="11" t="inlineStr">
        <is>
          <t>디엠씨미디어</t>
        </is>
      </c>
      <c r="I40" s="9" t="n">
        <v>0.0213</v>
      </c>
      <c r="J40" s="10" t="inlineStr">
        <is>
          <t>About</t>
        </is>
      </c>
      <c r="K40" s="11" t="n"/>
      <c r="L40" s="13" t="n"/>
      <c r="M40" s="10" t="n"/>
      <c r="N40" s="11" t="inlineStr">
        <is>
          <t>디엠씨미디어 면접</t>
        </is>
      </c>
      <c r="O40" s="12" t="n">
        <v>0.05</v>
      </c>
      <c r="P40" s="10" t="inlineStr">
        <is>
          <t>People</t>
        </is>
      </c>
      <c r="Q40" s="11" t="inlineStr">
        <is>
          <t>창립기념일 행사 아이디어</t>
        </is>
      </c>
      <c r="R40" s="9" t="n">
        <v>0.0278</v>
      </c>
      <c r="S40" s="10" t="inlineStr">
        <is>
          <t>About</t>
        </is>
      </c>
      <c r="T40" s="11" t="inlineStr">
        <is>
          <t>디엠씨미디어</t>
        </is>
      </c>
      <c r="U40" s="9" t="n">
        <v>0.0233</v>
      </c>
      <c r="V40" s="10" t="inlineStr">
        <is>
          <t>About</t>
        </is>
      </c>
    </row>
    <row r="41" ht="15.75" customHeight="1" s="1">
      <c r="B41" s="11" t="inlineStr">
        <is>
          <t>디엠씨미디어</t>
        </is>
      </c>
      <c r="C41" s="9" t="n">
        <v>0.0198</v>
      </c>
      <c r="D41" s="10" t="inlineStr">
        <is>
          <t>About</t>
        </is>
      </c>
      <c r="E41" s="11" t="n"/>
      <c r="F41" s="13" t="n"/>
      <c r="G41" s="10" t="n"/>
      <c r="H41" s="11" t="n"/>
      <c r="I41" s="13" t="n"/>
      <c r="J41" s="10" t="n"/>
      <c r="K41" s="11" t="n"/>
      <c r="L41" s="13" t="n"/>
      <c r="M41" s="10" t="n"/>
      <c r="N41" s="11" t="n"/>
      <c r="O41" s="13" t="n"/>
      <c r="P41" s="10" t="n"/>
      <c r="Q41" s="11" t="inlineStr">
        <is>
          <t>타불라</t>
        </is>
      </c>
      <c r="R41" s="9" t="n">
        <v>0.0278</v>
      </c>
      <c r="S41" s="10" t="inlineStr">
        <is>
          <t>Media</t>
        </is>
      </c>
      <c r="T41" s="11" t="n"/>
      <c r="U41" s="13" t="n"/>
      <c r="V41" s="10" t="n"/>
    </row>
    <row r="42" ht="15.75" customHeight="1" s="1">
      <c r="B42" s="11" t="inlineStr">
        <is>
          <t>디엠씨미디어</t>
        </is>
      </c>
      <c r="C42" s="9" t="n">
        <v>0.0198</v>
      </c>
      <c r="D42" s="10" t="inlineStr">
        <is>
          <t>About</t>
        </is>
      </c>
      <c r="E42" s="11" t="n"/>
      <c r="F42" s="13" t="n"/>
      <c r="G42" s="10" t="n"/>
      <c r="H42" s="11" t="n"/>
      <c r="I42" s="13" t="n"/>
      <c r="J42" s="10" t="n"/>
      <c r="K42" s="11" t="n"/>
      <c r="L42" s="13" t="n"/>
      <c r="M42" s="10" t="n"/>
      <c r="N42" s="11" t="n"/>
      <c r="O42" s="13" t="n"/>
      <c r="P42" s="10" t="n"/>
      <c r="Q42" s="11" t="inlineStr">
        <is>
          <t>타불라 디지털 광고 상품</t>
        </is>
      </c>
      <c r="R42" s="9" t="n">
        <v>0.0278</v>
      </c>
      <c r="S42" s="10" t="inlineStr">
        <is>
          <t>Media</t>
        </is>
      </c>
      <c r="T42" s="11" t="n"/>
      <c r="U42" s="13" t="n"/>
      <c r="V42" s="10" t="n"/>
    </row>
    <row r="43" ht="15.75" customHeight="1" s="1">
      <c r="B43" s="11" t="n"/>
      <c r="C43" s="9" t="n"/>
      <c r="D43" s="10" t="n"/>
      <c r="E43" s="11" t="n"/>
      <c r="F43" s="13" t="n"/>
      <c r="G43" s="10" t="n"/>
      <c r="H43" s="11" t="n"/>
      <c r="I43" s="13" t="n"/>
      <c r="J43" s="10" t="n"/>
      <c r="K43" s="11" t="n"/>
      <c r="L43" s="13" t="n"/>
      <c r="M43" s="10" t="n"/>
      <c r="N43" s="11" t="n"/>
      <c r="O43" s="13" t="n"/>
      <c r="P43" s="10" t="n"/>
      <c r="Q43" s="11" t="inlineStr">
        <is>
          <t>토스애즈</t>
        </is>
      </c>
      <c r="R43" s="9" t="n">
        <v>0.0278</v>
      </c>
      <c r="S43" s="10" t="inlineStr">
        <is>
          <t>Media</t>
        </is>
      </c>
      <c r="T43" s="11" t="n"/>
      <c r="U43" s="13" t="n"/>
      <c r="V43" s="10" t="n"/>
    </row>
    <row r="44" ht="15.75" customHeight="1" s="1">
      <c r="B44" s="11" t="n"/>
      <c r="C44" s="9" t="n"/>
      <c r="D44" s="10" t="n"/>
      <c r="E44" s="11" t="n"/>
      <c r="F44" s="13" t="n"/>
      <c r="G44" s="10" t="n"/>
      <c r="H44" s="11" t="n"/>
      <c r="I44" s="13" t="n"/>
      <c r="J44" s="10" t="n"/>
      <c r="K44" s="11" t="n"/>
      <c r="L44" s="13" t="n"/>
      <c r="M44" s="10" t="n"/>
      <c r="N44" s="11" t="n"/>
      <c r="O44" s="13" t="n"/>
      <c r="P44" s="10" t="n"/>
      <c r="Q44" s="11" t="inlineStr">
        <is>
          <t>하이네켄 대화 캠페인</t>
        </is>
      </c>
      <c r="R44" s="9" t="n">
        <v>0.0278</v>
      </c>
      <c r="S44" s="10" t="inlineStr">
        <is>
          <t>Trend</t>
        </is>
      </c>
      <c r="T44" s="11" t="n"/>
      <c r="U44" s="13" t="n"/>
      <c r="V44" s="10" t="n"/>
    </row>
    <row r="45" ht="15.75" customHeight="1" s="1">
      <c r="B45" s="11" t="n"/>
      <c r="C45" s="13" t="n"/>
      <c r="D45" s="10" t="n"/>
      <c r="E45" s="11" t="n"/>
      <c r="F45" s="13" t="n"/>
      <c r="G45" s="10" t="n"/>
      <c r="H45" s="11" t="n"/>
      <c r="I45" s="13" t="n"/>
      <c r="J45" s="10" t="n"/>
      <c r="K45" s="11" t="n"/>
      <c r="L45" s="13" t="n"/>
      <c r="M45" s="10" t="n"/>
      <c r="N45" s="11" t="n"/>
      <c r="O45" s="13" t="n"/>
      <c r="P45" s="10" t="n"/>
      <c r="Q45" s="11" t="inlineStr">
        <is>
          <t>셀퍼 메타광고</t>
        </is>
      </c>
      <c r="R45" s="9" t="n">
        <v>0.0278</v>
      </c>
      <c r="S45" s="10" t="inlineStr">
        <is>
          <t>Selper</t>
        </is>
      </c>
      <c r="T45" s="11" t="n"/>
      <c r="U45" s="13" t="n"/>
      <c r="V45" s="10" t="n"/>
    </row>
    <row r="46" ht="15.75" customHeight="1" s="1">
      <c r="B46" s="14" t="n"/>
      <c r="C46" s="15" t="n"/>
      <c r="D46" s="16" t="n"/>
      <c r="E46" s="14" t="n"/>
      <c r="F46" s="15" t="n"/>
      <c r="G46" s="16" t="n"/>
      <c r="H46" s="14" t="n"/>
      <c r="I46" s="15" t="n"/>
      <c r="J46" s="16" t="n"/>
      <c r="K46" s="14" t="n"/>
      <c r="L46" s="15" t="n"/>
      <c r="M46" s="16" t="n"/>
      <c r="N46" s="14" t="n"/>
      <c r="O46" s="15" t="n"/>
      <c r="P46" s="16" t="n"/>
      <c r="Q46" s="14" t="n"/>
      <c r="R46" s="15" t="n"/>
      <c r="S46" s="16" t="n"/>
      <c r="T46" s="14" t="n"/>
      <c r="U46" s="15" t="n"/>
      <c r="V46" s="16" t="n"/>
    </row>
    <row r="47" ht="15.75" customHeight="1" s="1">
      <c r="B47" s="5">
        <f>IF(15&lt;=DAY(EOMONTH(DATE(2026,$C$1,1),0)),$C$1&amp;"월 15일","")</f>
        <v/>
      </c>
      <c r="C47" s="6" t="n"/>
      <c r="D47" s="7" t="n"/>
      <c r="E47" s="5">
        <f>IF(16&lt;=DAY(EOMONTH(DATE(2026,$C$1,1),0)),$C$1&amp;"월 16일","")</f>
        <v/>
      </c>
      <c r="F47" s="6" t="n"/>
      <c r="G47" s="7" t="n"/>
      <c r="H47" s="5">
        <f>IF(17&lt;=DAY(EOMONTH(DATE(2026,$C$1,1),0)),$C$1&amp;"월 17일","")</f>
        <v/>
      </c>
      <c r="I47" s="6" t="n"/>
      <c r="J47" s="7" t="n"/>
      <c r="K47" s="5">
        <f>IF(18&lt;=DAY(EOMONTH(DATE(2026,$C$1,1),0)),$C$1&amp;"월 18일","")</f>
        <v/>
      </c>
      <c r="L47" s="6" t="n"/>
      <c r="M47" s="7" t="n"/>
      <c r="N47" s="5">
        <f>IF(19&lt;=DAY(EOMONTH(DATE(2026,$C$1,1),0)),$C$1&amp;"월 19일","")</f>
        <v/>
      </c>
      <c r="O47" s="6" t="n"/>
      <c r="P47" s="7" t="n"/>
      <c r="Q47" s="5">
        <f>IF(20&lt;=DAY(EOMONTH(DATE(2026,$C$1,1),0)),$C$1&amp;"월 20일","")</f>
        <v/>
      </c>
      <c r="R47" s="6" t="n"/>
      <c r="S47" s="7" t="n"/>
      <c r="T47" s="5">
        <f>IF(21&lt;=DAY(EOMONTH(DATE(2026,$C$1,1),0)),$C$1&amp;"월 21일","")</f>
        <v/>
      </c>
      <c r="U47" s="6" t="n"/>
      <c r="V47" s="7" t="n"/>
    </row>
    <row r="48" ht="15.75" customHeight="1" s="1">
      <c r="B48" s="11" t="inlineStr">
        <is>
          <t>FIFA 월드컵 스티커</t>
        </is>
      </c>
      <c r="C48" s="9" t="n">
        <v>0.0123</v>
      </c>
      <c r="D48" s="10" t="inlineStr">
        <is>
          <t>Trend</t>
        </is>
      </c>
      <c r="E48" s="11" t="inlineStr">
        <is>
          <t>디엠씨미디어</t>
        </is>
      </c>
      <c r="F48" s="9" t="n">
        <v>0.0222</v>
      </c>
      <c r="G48" s="10" t="inlineStr">
        <is>
          <t>About</t>
        </is>
      </c>
      <c r="H48" s="11" t="inlineStr">
        <is>
          <t>2026 월드컵 스티커</t>
        </is>
      </c>
      <c r="I48" s="9" t="n">
        <v>0.05</v>
      </c>
      <c r="J48" s="10" t="inlineStr">
        <is>
          <t>Trend</t>
        </is>
      </c>
      <c r="K48" s="11" t="inlineStr">
        <is>
          <t>디엠씨미디어 인턴</t>
        </is>
      </c>
      <c r="L48" s="9" t="n">
        <v>0.0536</v>
      </c>
      <c r="M48" s="10" t="inlineStr">
        <is>
          <t>About</t>
        </is>
      </c>
      <c r="N48" s="11" t="inlineStr">
        <is>
          <t>dmc미디어 이준희</t>
        </is>
      </c>
      <c r="O48" s="9" t="n">
        <v>0.04</v>
      </c>
      <c r="P48" s="10" t="inlineStr">
        <is>
          <t>About</t>
        </is>
      </c>
      <c r="Q48" s="11" t="inlineStr">
        <is>
          <t>디엠씨미디어</t>
        </is>
      </c>
      <c r="R48" s="9" t="n">
        <v>0.0408</v>
      </c>
      <c r="S48" s="10" t="inlineStr">
        <is>
          <t>About</t>
        </is>
      </c>
      <c r="T48" s="11" t="inlineStr">
        <is>
          <t>타불라 광고</t>
        </is>
      </c>
      <c r="U48" s="9" t="n">
        <v>0.0146</v>
      </c>
      <c r="V48" s="10" t="inlineStr">
        <is>
          <t>Media</t>
        </is>
      </c>
    </row>
    <row r="49" ht="15.75" customHeight="1" s="1">
      <c r="B49" s="11" t="inlineStr">
        <is>
          <t>열품타 dau</t>
        </is>
      </c>
      <c r="C49" s="9" t="n">
        <v>0.0123</v>
      </c>
      <c r="D49" s="10" t="inlineStr">
        <is>
          <t>About</t>
        </is>
      </c>
      <c r="E49" s="11" t="inlineStr">
        <is>
          <t>오늘의집 유저들의스타일링샷</t>
        </is>
      </c>
      <c r="F49" s="9" t="n">
        <v>0.0222</v>
      </c>
      <c r="G49" s="10" t="inlineStr">
        <is>
          <t>Media</t>
        </is>
      </c>
      <c r="H49" s="11" t="inlineStr">
        <is>
          <t>jy.dmc</t>
        </is>
      </c>
      <c r="I49" s="9" t="n">
        <v>0.025</v>
      </c>
      <c r="J49" s="10" t="inlineStr">
        <is>
          <t>About</t>
        </is>
      </c>
      <c r="K49" s="11" t="inlineStr">
        <is>
          <t>taboola</t>
        </is>
      </c>
      <c r="L49" s="9" t="n">
        <v>0.0179</v>
      </c>
      <c r="M49" s="10" t="inlineStr">
        <is>
          <t>Media</t>
        </is>
      </c>
      <c r="N49" s="11" t="inlineStr">
        <is>
          <t>뉴멀 뜻</t>
        </is>
      </c>
      <c r="O49" s="9" t="n">
        <v>0.04</v>
      </c>
      <c r="P49" s="10" t="inlineStr">
        <is>
          <t>Trend</t>
        </is>
      </c>
      <c r="Q49" s="11" t="inlineStr">
        <is>
          <t>Doubleverify 연동 매체</t>
        </is>
      </c>
      <c r="R49" s="9" t="n">
        <v>0.0102</v>
      </c>
      <c r="S49" s="10" t="inlineStr">
        <is>
          <t>Media</t>
        </is>
      </c>
      <c r="T49" s="11" t="inlineStr">
        <is>
          <t>Taboola Ai</t>
        </is>
      </c>
      <c r="U49" s="9" t="n">
        <v>0.0073</v>
      </c>
      <c r="V49" s="10" t="inlineStr">
        <is>
          <t>Media</t>
        </is>
      </c>
    </row>
    <row r="50" ht="15.75" customHeight="1" s="1">
      <c r="B50" s="11" t="inlineStr">
        <is>
          <t>코카콜라 월드컵</t>
        </is>
      </c>
      <c r="C50" s="9" t="n">
        <v>0.0123</v>
      </c>
      <c r="D50" s="10" t="inlineStr">
        <is>
          <t>Trend</t>
        </is>
      </c>
      <c r="E50" s="11" t="inlineStr">
        <is>
          <t>온드미디어</t>
        </is>
      </c>
      <c r="F50" s="9" t="n">
        <v>0.0222</v>
      </c>
      <c r="G50" s="10" t="inlineStr">
        <is>
          <t>Media</t>
        </is>
      </c>
      <c r="H50" s="11" t="inlineStr">
        <is>
          <t>only on youtube package</t>
        </is>
      </c>
      <c r="I50" s="9" t="n">
        <v>0.025</v>
      </c>
      <c r="J50" s="10" t="inlineStr">
        <is>
          <t>About</t>
        </is>
      </c>
      <c r="K50" s="11" t="inlineStr">
        <is>
          <t>디엠씨미디어</t>
        </is>
      </c>
      <c r="L50" s="9" t="n">
        <v>0.0179</v>
      </c>
      <c r="M50" s="10" t="inlineStr">
        <is>
          <t>About</t>
        </is>
      </c>
      <c r="N50" s="11" t="inlineStr">
        <is>
          <t>더블크라운 홈 우측 지면</t>
        </is>
      </c>
      <c r="O50" s="9" t="n">
        <v>0.04</v>
      </c>
      <c r="P50" s="10" t="inlineStr">
        <is>
          <t>About</t>
        </is>
      </c>
      <c r="Q50" s="11" t="inlineStr">
        <is>
          <t>디엠씨미디어 인턴</t>
        </is>
      </c>
      <c r="R50" s="9" t="n">
        <v>0.0102</v>
      </c>
      <c r="S50" s="10" t="inlineStr">
        <is>
          <t>About</t>
        </is>
      </c>
      <c r="T50" s="11" t="inlineStr">
        <is>
          <t>dmc 태풍상사</t>
        </is>
      </c>
      <c r="U50" s="9" t="n">
        <v>0.0073</v>
      </c>
      <c r="V50" s="10" t="inlineStr">
        <is>
          <t>Trend</t>
        </is>
      </c>
    </row>
    <row r="51" ht="15.75" customHeight="1" s="1">
      <c r="B51" s="11" t="inlineStr">
        <is>
          <t>코카콜라 월드컵 스티커</t>
        </is>
      </c>
      <c r="C51" s="9" t="n">
        <v>0.0123</v>
      </c>
      <c r="D51" s="10" t="inlineStr">
        <is>
          <t>Trend</t>
        </is>
      </c>
      <c r="E51" s="11" t="inlineStr">
        <is>
          <t>월드컵 스티커 북</t>
        </is>
      </c>
      <c r="F51" s="9" t="n">
        <v>0.0222</v>
      </c>
      <c r="G51" s="10" t="inlineStr">
        <is>
          <t>Trend</t>
        </is>
      </c>
      <c r="H51" s="11" t="inlineStr">
        <is>
          <t>네이버비지니스광고 키워드변경</t>
        </is>
      </c>
      <c r="I51" s="9" t="n">
        <v>0.025</v>
      </c>
      <c r="J51" s="10" t="inlineStr">
        <is>
          <t>Media</t>
        </is>
      </c>
      <c r="K51" s="11" t="inlineStr">
        <is>
          <t>디엠씨미디어 복지</t>
        </is>
      </c>
      <c r="L51" s="9" t="n">
        <v>0.0179</v>
      </c>
      <c r="M51" s="10" t="inlineStr">
        <is>
          <t>People</t>
        </is>
      </c>
      <c r="N51" s="11" t="inlineStr">
        <is>
          <t>어드민나이트</t>
        </is>
      </c>
      <c r="O51" s="9" t="n">
        <v>0.04</v>
      </c>
      <c r="P51" s="10" t="inlineStr">
        <is>
          <t>Trend</t>
        </is>
      </c>
      <c r="Q51" s="11" t="inlineStr">
        <is>
          <t>디엠씨미디어 채용전환</t>
        </is>
      </c>
      <c r="R51" s="9" t="n">
        <v>0.0102</v>
      </c>
      <c r="S51" s="10" t="inlineStr">
        <is>
          <t>People</t>
        </is>
      </c>
      <c r="T51" s="11" t="inlineStr">
        <is>
          <t>구글애즈 광고의 자금 출처</t>
        </is>
      </c>
      <c r="U51" s="9" t="n">
        <v>0.0073</v>
      </c>
      <c r="V51" s="10" t="inlineStr">
        <is>
          <t>About</t>
        </is>
      </c>
    </row>
    <row r="52" ht="15.75" customHeight="1" s="1">
      <c r="B52" s="11" t="inlineStr">
        <is>
          <t>콜라 월드컵 씰</t>
        </is>
      </c>
      <c r="C52" s="9" t="n">
        <v>0.0123</v>
      </c>
      <c r="D52" s="10" t="inlineStr">
        <is>
          <t>Trend</t>
        </is>
      </c>
      <c r="E52" s="11" t="inlineStr">
        <is>
          <t>코카콜라 파니니 스티커</t>
        </is>
      </c>
      <c r="F52" s="9" t="n">
        <v>0.0222</v>
      </c>
      <c r="G52" s="10" t="inlineStr">
        <is>
          <t>Trend</t>
        </is>
      </c>
      <c r="H52" s="11" t="inlineStr">
        <is>
          <t>디엠씨미디어</t>
        </is>
      </c>
      <c r="I52" s="9" t="n">
        <v>0.025</v>
      </c>
      <c r="J52" s="10" t="inlineStr">
        <is>
          <t>About</t>
        </is>
      </c>
      <c r="K52" s="11" t="inlineStr">
        <is>
          <t>온드미디어</t>
        </is>
      </c>
      <c r="L52" s="9" t="n">
        <v>0.0179</v>
      </c>
      <c r="M52" s="10" t="inlineStr">
        <is>
          <t>Media</t>
        </is>
      </c>
      <c r="N52" s="11" t="inlineStr">
        <is>
          <t>코카콜라 축구카드</t>
        </is>
      </c>
      <c r="O52" s="9" t="n">
        <v>0.04</v>
      </c>
      <c r="P52" s="10" t="inlineStr">
        <is>
          <t>Trend</t>
        </is>
      </c>
      <c r="Q52" s="11" t="inlineStr">
        <is>
          <t>스페셜 DA 이미지 확장형</t>
        </is>
      </c>
      <c r="R52" s="9" t="n">
        <v>0.0102</v>
      </c>
      <c r="S52" s="10" t="inlineStr">
        <is>
          <t>About</t>
        </is>
      </c>
      <c r="T52" s="11" t="inlineStr">
        <is>
          <t>네이티브 광고</t>
        </is>
      </c>
      <c r="U52" s="9" t="n">
        <v>0.0073</v>
      </c>
      <c r="V52" s="10" t="inlineStr">
        <is>
          <t>Media</t>
        </is>
      </c>
    </row>
    <row r="53" ht="15.75" customHeight="1" s="1">
      <c r="B53" s="11" t="inlineStr">
        <is>
          <t>타불라</t>
        </is>
      </c>
      <c r="C53" s="9" t="n">
        <v>0.0123</v>
      </c>
      <c r="D53" s="10" t="inlineStr">
        <is>
          <t>Media</t>
        </is>
      </c>
      <c r="E53" s="11" t="inlineStr">
        <is>
          <t>파니니 월드컵 스티커 2026</t>
        </is>
      </c>
      <c r="F53" s="9" t="n">
        <v>0.0222</v>
      </c>
      <c r="G53" s="10" t="inlineStr">
        <is>
          <t>Trend</t>
        </is>
      </c>
      <c r="H53" s="11" t="inlineStr">
        <is>
          <t>월드컵 파니니 스티커</t>
        </is>
      </c>
      <c r="I53" s="9" t="n">
        <v>0.025</v>
      </c>
      <c r="J53" s="10" t="inlineStr">
        <is>
          <t>Trend</t>
        </is>
      </c>
      <c r="K53" s="11" t="inlineStr">
        <is>
          <t>타불라 코리아</t>
        </is>
      </c>
      <c r="L53" s="9" t="n">
        <v>0.0179</v>
      </c>
      <c r="M53" s="10" t="inlineStr">
        <is>
          <t>Media</t>
        </is>
      </c>
      <c r="N53" s="11" t="inlineStr">
        <is>
          <t>타불라</t>
        </is>
      </c>
      <c r="O53" s="9" t="n">
        <v>0.08</v>
      </c>
      <c r="P53" s="10" t="inlineStr">
        <is>
          <t>Media</t>
        </is>
      </c>
      <c r="Q53" s="11" t="inlineStr">
        <is>
          <t>에스파 핀터레스트 홍보</t>
        </is>
      </c>
      <c r="R53" s="9" t="n">
        <v>0.0102</v>
      </c>
      <c r="S53" s="10" t="inlineStr">
        <is>
          <t>Trend</t>
        </is>
      </c>
      <c r="T53" s="11" t="inlineStr">
        <is>
          <t>디엠씨미디어</t>
        </is>
      </c>
      <c r="U53" s="9" t="n">
        <v>0.0073</v>
      </c>
      <c r="V53" s="10" t="inlineStr">
        <is>
          <t>About</t>
        </is>
      </c>
    </row>
    <row r="54" ht="15.75" customHeight="1" s="1">
      <c r="B54" s="11" t="inlineStr">
        <is>
          <t>피파월드컵 스티커</t>
        </is>
      </c>
      <c r="C54" s="9" t="n">
        <v>0.0123</v>
      </c>
      <c r="D54" s="10" t="inlineStr">
        <is>
          <t>Trend</t>
        </is>
      </c>
      <c r="E54" s="11" t="inlineStr">
        <is>
          <t>디엠씨미디어</t>
        </is>
      </c>
      <c r="F54" s="9" t="n">
        <v>0.0222</v>
      </c>
      <c r="G54" s="10" t="inlineStr">
        <is>
          <t>About</t>
        </is>
      </c>
      <c r="H54" s="11" t="inlineStr">
        <is>
          <t>코카콜라 파니니 스티커</t>
        </is>
      </c>
      <c r="I54" s="9" t="n">
        <v>0.025</v>
      </c>
      <c r="J54" s="10" t="inlineStr">
        <is>
          <t>Trend</t>
        </is>
      </c>
      <c r="K54" s="11" t="inlineStr">
        <is>
          <t>웬디스 콜라보</t>
        </is>
      </c>
      <c r="L54" s="9" t="n">
        <v>0.0179</v>
      </c>
      <c r="M54" s="10" t="inlineStr">
        <is>
          <t>Trend</t>
        </is>
      </c>
      <c r="N54" s="11" t="n"/>
      <c r="O54" s="9" t="n"/>
      <c r="P54" s="10" t="n"/>
      <c r="Q54" s="11" t="inlineStr">
        <is>
          <t>창림기념일 현수막</t>
        </is>
      </c>
      <c r="R54" s="9" t="n">
        <v>0.0102</v>
      </c>
      <c r="S54" s="10" t="inlineStr">
        <is>
          <t>About</t>
        </is>
      </c>
      <c r="T54" s="11" t="inlineStr">
        <is>
          <t>어드민나이트</t>
        </is>
      </c>
      <c r="U54" s="9" t="n">
        <v>0.0073</v>
      </c>
      <c r="V54" s="10" t="inlineStr">
        <is>
          <t>Trend</t>
        </is>
      </c>
    </row>
    <row r="55" ht="15.75" customHeight="1" s="1">
      <c r="B55" s="11" t="inlineStr">
        <is>
          <t>codex 대회</t>
        </is>
      </c>
      <c r="C55" s="9" t="n">
        <v>0.0123</v>
      </c>
      <c r="D55" s="10" t="inlineStr">
        <is>
          <t>People</t>
        </is>
      </c>
      <c r="E55" s="11" t="inlineStr">
        <is>
          <t>카카오 비즈보드 광고</t>
        </is>
      </c>
      <c r="F55" s="9" t="n">
        <v>0.0222</v>
      </c>
      <c r="G55" s="10" t="inlineStr">
        <is>
          <t>About</t>
        </is>
      </c>
      <c r="H55" s="11" t="inlineStr">
        <is>
          <t>콜라 피파스티커</t>
        </is>
      </c>
      <c r="I55" s="9" t="n">
        <v>0.025</v>
      </c>
      <c r="J55" s="10" t="inlineStr">
        <is>
          <t>Trend</t>
        </is>
      </c>
      <c r="K55" s="11" t="inlineStr">
        <is>
          <t>웬디스데이</t>
        </is>
      </c>
      <c r="L55" s="9" t="n">
        <v>0.0179</v>
      </c>
      <c r="M55" s="10" t="inlineStr">
        <is>
          <t>Trend</t>
        </is>
      </c>
      <c r="N55" s="11" t="n"/>
      <c r="O55" s="9" t="n"/>
      <c r="P55" s="10" t="n"/>
      <c r="Q55" s="11" t="inlineStr">
        <is>
          <t>창립기념 현수막</t>
        </is>
      </c>
      <c r="R55" s="9" t="n">
        <v>0.0102</v>
      </c>
      <c r="S55" s="10" t="inlineStr">
        <is>
          <t>About</t>
        </is>
      </c>
      <c r="T55" s="11" t="inlineStr">
        <is>
          <t>창립기념일 현수막</t>
        </is>
      </c>
      <c r="U55" s="9" t="n">
        <v>0.0073</v>
      </c>
      <c r="V55" s="10" t="inlineStr">
        <is>
          <t>About</t>
        </is>
      </c>
    </row>
    <row r="56" ht="15.75" customHeight="1" s="1">
      <c r="B56" s="11" t="inlineStr">
        <is>
          <t>cta 버튼명</t>
        </is>
      </c>
      <c r="C56" s="9" t="n">
        <v>0.0123</v>
      </c>
      <c r="D56" s="10" t="inlineStr">
        <is>
          <t>Media</t>
        </is>
      </c>
      <c r="E56" s="11" t="inlineStr">
        <is>
          <t>중저가 의류 브랜드</t>
        </is>
      </c>
      <c r="F56" s="9" t="n">
        <v>0.0222</v>
      </c>
      <c r="G56" s="10" t="inlineStr">
        <is>
          <t>Trend</t>
        </is>
      </c>
      <c r="H56" s="11" t="inlineStr">
        <is>
          <t>디엠씨미디어</t>
        </is>
      </c>
      <c r="I56" s="9" t="n">
        <v>0.025</v>
      </c>
      <c r="J56" s="10" t="inlineStr">
        <is>
          <t>About</t>
        </is>
      </c>
      <c r="K56" s="11" t="inlineStr">
        <is>
          <t>타불라</t>
        </is>
      </c>
      <c r="L56" s="9" t="n">
        <v>0.0179</v>
      </c>
      <c r="M56" s="10" t="inlineStr">
        <is>
          <t>Media</t>
        </is>
      </c>
      <c r="N56" s="11" t="n"/>
      <c r="O56" s="9" t="n"/>
      <c r="P56" s="10" t="n"/>
      <c r="Q56" s="11" t="inlineStr">
        <is>
          <t>2026 월드컵 코카콜라</t>
        </is>
      </c>
      <c r="R56" s="9" t="n">
        <v>0.0102</v>
      </c>
      <c r="S56" s="10" t="inlineStr">
        <is>
          <t>Trend</t>
        </is>
      </c>
      <c r="T56" s="11" t="inlineStr">
        <is>
          <t>창립기념현수막</t>
        </is>
      </c>
      <c r="U56" s="9" t="n">
        <v>0.0073</v>
      </c>
      <c r="V56" s="10" t="inlineStr">
        <is>
          <t>About</t>
        </is>
      </c>
    </row>
    <row r="57" ht="15.75" customHeight="1" s="1">
      <c r="B57" s="11" t="inlineStr">
        <is>
          <t>taboola 광고</t>
        </is>
      </c>
      <c r="C57" s="9" t="n">
        <v>0.0123</v>
      </c>
      <c r="D57" s="10" t="inlineStr">
        <is>
          <t>Media</t>
        </is>
      </c>
      <c r="E57" s="11" t="inlineStr">
        <is>
          <t>디엠씨미디어 인턴</t>
        </is>
      </c>
      <c r="F57" s="9" t="n">
        <v>0.0222</v>
      </c>
      <c r="G57" s="10" t="inlineStr">
        <is>
          <t>People</t>
        </is>
      </c>
      <c r="H57" s="11" t="inlineStr">
        <is>
          <t>어드민나이트</t>
        </is>
      </c>
      <c r="I57" s="9" t="n">
        <v>0.025</v>
      </c>
      <c r="J57" s="10" t="inlineStr">
        <is>
          <t>Trend</t>
        </is>
      </c>
      <c r="K57" s="11" t="inlineStr">
        <is>
          <t>dmc 미디어</t>
        </is>
      </c>
      <c r="L57" s="9" t="n">
        <v>0.0179</v>
      </c>
      <c r="M57" s="10" t="inlineStr">
        <is>
          <t>About</t>
        </is>
      </c>
      <c r="N57" s="11" t="n"/>
      <c r="O57" s="13" t="n"/>
      <c r="P57" s="10" t="n"/>
      <c r="Q57" s="11" t="inlineStr">
        <is>
          <t>어드민 나이트</t>
        </is>
      </c>
      <c r="R57" s="9" t="n">
        <v>0.0102</v>
      </c>
      <c r="S57" s="10" t="inlineStr">
        <is>
          <t>Trend</t>
        </is>
      </c>
      <c r="T57" s="11" t="inlineStr">
        <is>
          <t>타불라코리아</t>
        </is>
      </c>
      <c r="U57" s="9" t="n">
        <v>0.0073</v>
      </c>
      <c r="V57" s="10" t="inlineStr">
        <is>
          <t>Media</t>
        </is>
      </c>
    </row>
    <row r="58" ht="15.75" customHeight="1" s="1">
      <c r="B58" s="11" t="inlineStr">
        <is>
          <t>디엠씨미디어</t>
        </is>
      </c>
      <c r="C58" s="9" t="n">
        <v>0.0123</v>
      </c>
      <c r="D58" s="10" t="inlineStr">
        <is>
          <t>About</t>
        </is>
      </c>
      <c r="E58" s="11" t="inlineStr">
        <is>
          <t>타불라</t>
        </is>
      </c>
      <c r="F58" s="9" t="n">
        <v>0.0222</v>
      </c>
      <c r="G58" s="10" t="inlineStr">
        <is>
          <t>Media</t>
        </is>
      </c>
      <c r="H58" s="11" t="inlineStr">
        <is>
          <t>뜬뜬 마케팅</t>
        </is>
      </c>
      <c r="I58" s="9" t="n">
        <v>0.025</v>
      </c>
      <c r="J58" s="10" t="inlineStr">
        <is>
          <t>About</t>
        </is>
      </c>
      <c r="K58" s="11" t="inlineStr">
        <is>
          <t>디엠씨미디어</t>
        </is>
      </c>
      <c r="L58" s="9" t="n">
        <v>0.0179</v>
      </c>
      <c r="M58" s="10" t="inlineStr">
        <is>
          <t>About</t>
        </is>
      </c>
      <c r="N58" s="11" t="n"/>
      <c r="O58" s="13" t="n"/>
      <c r="P58" s="10" t="n"/>
      <c r="Q58" s="11" t="inlineStr">
        <is>
          <t>코카콜라 피파 스티커</t>
        </is>
      </c>
      <c r="R58" s="9" t="n">
        <v>0.0102</v>
      </c>
      <c r="S58" s="10" t="inlineStr">
        <is>
          <t>Trend</t>
        </is>
      </c>
      <c r="T58" s="11" t="inlineStr">
        <is>
          <t>토스애즈</t>
        </is>
      </c>
      <c r="U58" s="9" t="n">
        <v>0.0073</v>
      </c>
      <c r="V58" s="10" t="inlineStr">
        <is>
          <t>Media</t>
        </is>
      </c>
    </row>
    <row r="59" ht="15.75" customHeight="1" s="1">
      <c r="B59" s="11" t="n"/>
      <c r="C59" s="9" t="n"/>
      <c r="D59" s="10" t="n"/>
      <c r="E59" s="11" t="n"/>
      <c r="F59" s="9" t="n"/>
      <c r="G59" s="10" t="n"/>
      <c r="H59" s="11" t="n"/>
      <c r="I59" s="13" t="n"/>
      <c r="J59" s="10" t="n"/>
      <c r="K59" s="11" t="n"/>
      <c r="L59" s="13" t="n"/>
      <c r="M59" s="10" t="n"/>
      <c r="N59" s="11" t="n"/>
      <c r="O59" s="13" t="n"/>
      <c r="P59" s="10" t="n"/>
      <c r="Q59" s="11" t="inlineStr">
        <is>
          <t>코카콜라안에 스티커</t>
        </is>
      </c>
      <c r="R59" s="9" t="n">
        <v>0.0102</v>
      </c>
      <c r="S59" s="10" t="inlineStr">
        <is>
          <t>Trend</t>
        </is>
      </c>
      <c r="T59" s="11" t="inlineStr">
        <is>
          <t>파니니 스티커 2026</t>
        </is>
      </c>
      <c r="U59" s="9" t="n">
        <v>0.0073</v>
      </c>
      <c r="V59" s="10" t="inlineStr">
        <is>
          <t>Trend</t>
        </is>
      </c>
    </row>
    <row r="60" ht="15.75" customHeight="1" s="1">
      <c r="B60" s="11" t="n"/>
      <c r="C60" s="9" t="n"/>
      <c r="D60" s="10" t="n"/>
      <c r="E60" s="11" t="n"/>
      <c r="F60" s="9" t="n"/>
      <c r="G60" s="10" t="n"/>
      <c r="H60" s="11" t="n"/>
      <c r="I60" s="13" t="n"/>
      <c r="J60" s="10" t="n"/>
      <c r="K60" s="11" t="n"/>
      <c r="L60" s="13" t="n"/>
      <c r="M60" s="10" t="n"/>
      <c r="N60" s="11" t="n"/>
      <c r="O60" s="13" t="n"/>
      <c r="P60" s="10" t="n"/>
      <c r="Q60" s="11" t="inlineStr">
        <is>
          <t>콜라 월드컵 스티커</t>
        </is>
      </c>
      <c r="R60" s="9" t="n">
        <v>0.0102</v>
      </c>
      <c r="S60" s="10" t="inlineStr">
        <is>
          <t>Trend</t>
        </is>
      </c>
      <c r="T60" s="11" t="inlineStr">
        <is>
          <t>2026년 파니니 월드컵</t>
        </is>
      </c>
      <c r="U60" s="9" t="n">
        <v>0.0073</v>
      </c>
      <c r="V60" s="10" t="inlineStr">
        <is>
          <t>Trend</t>
        </is>
      </c>
    </row>
    <row r="61" ht="15.75" customHeight="1" s="1">
      <c r="B61" s="11" t="n"/>
      <c r="C61" s="9" t="n"/>
      <c r="D61" s="10" t="n"/>
      <c r="E61" s="11" t="n"/>
      <c r="F61" s="9" t="n"/>
      <c r="G61" s="10" t="n"/>
      <c r="H61" s="11" t="n"/>
      <c r="I61" s="13" t="n"/>
      <c r="J61" s="10" t="n"/>
      <c r="K61" s="11" t="n"/>
      <c r="L61" s="13" t="n"/>
      <c r="M61" s="10" t="n"/>
      <c r="N61" s="11" t="n"/>
      <c r="O61" s="13" t="n"/>
      <c r="P61" s="10" t="n"/>
      <c r="Q61" s="11" t="n"/>
      <c r="R61" s="13" t="n"/>
      <c r="S61" s="10" t="n"/>
      <c r="T61" s="11" t="inlineStr">
        <is>
          <t>네이티브광고</t>
        </is>
      </c>
      <c r="U61" s="9" t="n">
        <v>0.0073</v>
      </c>
      <c r="V61" s="10" t="inlineStr">
        <is>
          <t>Media</t>
        </is>
      </c>
    </row>
    <row r="62" ht="15.75" customHeight="1" s="1">
      <c r="B62" s="11" t="n"/>
      <c r="C62" s="9" t="n"/>
      <c r="D62" s="10" t="n"/>
      <c r="E62" s="11" t="n"/>
      <c r="F62" s="9" t="n"/>
      <c r="G62" s="10" t="n"/>
      <c r="H62" s="11" t="n"/>
      <c r="I62" s="13" t="n"/>
      <c r="J62" s="10" t="n"/>
      <c r="K62" s="11" t="n"/>
      <c r="L62" s="13" t="n"/>
      <c r="M62" s="10" t="n"/>
      <c r="N62" s="11" t="n"/>
      <c r="O62" s="13" t="n"/>
      <c r="P62" s="10" t="n"/>
      <c r="Q62" s="11" t="n"/>
      <c r="R62" s="13" t="n"/>
      <c r="S62" s="10" t="n"/>
      <c r="T62" s="11" t="inlineStr">
        <is>
          <t>넷플릭스 일시정지 qr코드 광고</t>
        </is>
      </c>
      <c r="U62" s="9" t="n">
        <v>0.0073</v>
      </c>
      <c r="V62" s="10" t="inlineStr">
        <is>
          <t>Media</t>
        </is>
      </c>
    </row>
    <row r="63" ht="15.75" customHeight="1" s="1">
      <c r="B63" s="11" t="n"/>
      <c r="C63" s="9" t="n"/>
      <c r="D63" s="10" t="n"/>
      <c r="E63" s="11" t="n"/>
      <c r="F63" s="9" t="n"/>
      <c r="G63" s="10" t="n"/>
      <c r="H63" s="11" t="n"/>
      <c r="I63" s="13" t="n"/>
      <c r="J63" s="10" t="n"/>
      <c r="K63" s="11" t="n"/>
      <c r="L63" s="13" t="n"/>
      <c r="M63" s="10" t="n"/>
      <c r="N63" s="11" t="n"/>
      <c r="O63" s="13" t="n"/>
      <c r="P63" s="10" t="n"/>
      <c r="Q63" s="11" t="n"/>
      <c r="R63" s="13" t="n"/>
      <c r="S63" s="10" t="n"/>
      <c r="T63" s="11" t="inlineStr">
        <is>
          <t>마운드미디어</t>
        </is>
      </c>
      <c r="U63" s="9" t="n">
        <v>0.0073</v>
      </c>
      <c r="V63" s="10" t="n"/>
    </row>
    <row r="64" ht="15.75" customHeight="1" s="1">
      <c r="B64" s="11" t="n"/>
      <c r="C64" s="9" t="n"/>
      <c r="D64" s="10" t="n"/>
      <c r="E64" s="11" t="n"/>
      <c r="F64" s="9" t="n"/>
      <c r="G64" s="10" t="n"/>
      <c r="H64" s="11" t="n"/>
      <c r="I64" s="13" t="n"/>
      <c r="J64" s="10" t="n"/>
      <c r="K64" s="11" t="n"/>
      <c r="L64" s="13" t="n"/>
      <c r="M64" s="10" t="n"/>
      <c r="N64" s="11" t="n"/>
      <c r="O64" s="13" t="n"/>
      <c r="P64" s="10" t="n"/>
      <c r="Q64" s="11" t="n"/>
      <c r="R64" s="13" t="n"/>
      <c r="S64" s="10" t="n"/>
      <c r="T64" s="11" t="inlineStr">
        <is>
          <t>어드민 나이트</t>
        </is>
      </c>
      <c r="U64" s="9" t="n">
        <v>0.0073</v>
      </c>
      <c r="V64" s="10" t="inlineStr">
        <is>
          <t>Trend</t>
        </is>
      </c>
    </row>
    <row r="65" ht="15.75" customHeight="1" s="1">
      <c r="B65" s="11" t="n"/>
      <c r="C65" s="9" t="n"/>
      <c r="D65" s="10" t="n"/>
      <c r="E65" s="11" t="n"/>
      <c r="F65" s="9" t="n"/>
      <c r="G65" s="10" t="n"/>
      <c r="H65" s="11" t="n"/>
      <c r="I65" s="13" t="n"/>
      <c r="J65" s="10" t="n"/>
      <c r="K65" s="11" t="n"/>
      <c r="L65" s="13" t="n"/>
      <c r="M65" s="10" t="n"/>
      <c r="N65" s="11" t="n"/>
      <c r="O65" s="13" t="n"/>
      <c r="P65" s="10" t="n"/>
      <c r="Q65" s="11" t="n"/>
      <c r="R65" s="13" t="n"/>
      <c r="S65" s="10" t="n"/>
      <c r="T65" s="11" t="inlineStr">
        <is>
          <t>코카콜라 피파 스티커</t>
        </is>
      </c>
      <c r="U65" s="9" t="n">
        <v>0.0073</v>
      </c>
      <c r="V65" s="10" t="inlineStr">
        <is>
          <t>Trend</t>
        </is>
      </c>
    </row>
    <row r="66" ht="15.75" customHeight="1" s="1">
      <c r="B66" s="11" t="n"/>
      <c r="C66" s="9" t="n"/>
      <c r="D66" s="10" t="n"/>
      <c r="E66" s="11" t="n"/>
      <c r="F66" s="9" t="n"/>
      <c r="G66" s="10" t="n"/>
      <c r="H66" s="11" t="n"/>
      <c r="I66" s="13" t="n"/>
      <c r="J66" s="10" t="n"/>
      <c r="K66" s="11" t="n"/>
      <c r="L66" s="13" t="n"/>
      <c r="M66" s="10" t="n"/>
      <c r="N66" s="11" t="n"/>
      <c r="O66" s="13" t="n"/>
      <c r="P66" s="10" t="n"/>
      <c r="Q66" s="11" t="n"/>
      <c r="R66" s="13" t="n"/>
      <c r="S66" s="10" t="n"/>
      <c r="T66" s="11" t="inlineStr">
        <is>
          <t>타불라 앱광고</t>
        </is>
      </c>
      <c r="U66" s="9" t="n">
        <v>0.0073</v>
      </c>
      <c r="V66" s="10" t="inlineStr">
        <is>
          <t>Media</t>
        </is>
      </c>
    </row>
    <row r="67" ht="15.75" customHeight="1" s="1">
      <c r="B67" s="11" t="n"/>
      <c r="C67" s="9" t="n"/>
      <c r="D67" s="10" t="n"/>
      <c r="E67" s="11" t="n"/>
      <c r="F67" s="9" t="n"/>
      <c r="G67" s="10" t="n"/>
      <c r="H67" s="11" t="n"/>
      <c r="I67" s="13" t="n"/>
      <c r="J67" s="10" t="n"/>
      <c r="K67" s="11" t="n"/>
      <c r="L67" s="13" t="n"/>
      <c r="M67" s="10" t="n"/>
      <c r="N67" s="11" t="n"/>
      <c r="O67" s="13" t="n"/>
      <c r="P67" s="10" t="n"/>
      <c r="Q67" s="11" t="n"/>
      <c r="R67" s="13" t="n"/>
      <c r="S67" s="10" t="n"/>
      <c r="T67" s="11" t="inlineStr">
        <is>
          <t>피그마 활용 경진대회</t>
        </is>
      </c>
      <c r="U67" s="9" t="n">
        <v>0.0073</v>
      </c>
      <c r="V67" s="10" t="inlineStr">
        <is>
          <t>People</t>
        </is>
      </c>
    </row>
    <row r="68" ht="15.75" customHeight="1" s="1">
      <c r="B68" s="11" t="n"/>
      <c r="C68" s="9" t="n"/>
      <c r="D68" s="10" t="n"/>
      <c r="E68" s="11" t="n"/>
      <c r="F68" s="9" t="n"/>
      <c r="G68" s="10" t="n"/>
      <c r="H68" s="11" t="n"/>
      <c r="I68" s="13" t="n"/>
      <c r="J68" s="10" t="n"/>
      <c r="K68" s="11" t="n"/>
      <c r="L68" s="13" t="n"/>
      <c r="M68" s="10" t="n"/>
      <c r="N68" s="11" t="n"/>
      <c r="O68" s="13" t="n"/>
      <c r="P68" s="10" t="n"/>
      <c r="Q68" s="11" t="n"/>
      <c r="R68" s="13" t="n"/>
      <c r="S68" s="10" t="n"/>
      <c r="T68" s="11" t="inlineStr">
        <is>
          <t>디엠씨미디어 인턴 면접</t>
        </is>
      </c>
      <c r="U68" s="9" t="n">
        <v>0.0219</v>
      </c>
      <c r="V68" s="10" t="inlineStr">
        <is>
          <t>People</t>
        </is>
      </c>
    </row>
    <row r="69" ht="15.75" customHeight="1" s="1">
      <c r="B69" s="11" t="n"/>
      <c r="C69" s="9" t="n"/>
      <c r="D69" s="10" t="n"/>
      <c r="E69" s="11" t="n"/>
      <c r="F69" s="9" t="n"/>
      <c r="G69" s="10" t="n"/>
      <c r="H69" s="11" t="n"/>
      <c r="I69" s="13" t="n"/>
      <c r="J69" s="10" t="n"/>
      <c r="K69" s="11" t="n"/>
      <c r="L69" s="13" t="n"/>
      <c r="M69" s="10" t="n"/>
      <c r="N69" s="11" t="n"/>
      <c r="O69" s="13" t="n"/>
      <c r="P69" s="10" t="n"/>
      <c r="Q69" s="11" t="n"/>
      <c r="R69" s="13" t="n"/>
      <c r="S69" s="10" t="n"/>
      <c r="T69" s="11" t="inlineStr">
        <is>
          <t>중저가 의류 브랜드</t>
        </is>
      </c>
      <c r="U69" s="9" t="n">
        <v>0.0073</v>
      </c>
      <c r="V69" s="10" t="inlineStr">
        <is>
          <t>Trend</t>
        </is>
      </c>
    </row>
    <row r="70" ht="15.75" customHeight="1" s="1">
      <c r="B70" s="11" t="n"/>
      <c r="C70" s="9" t="n"/>
      <c r="D70" s="10" t="n"/>
      <c r="E70" s="11" t="n"/>
      <c r="F70" s="9" t="n"/>
      <c r="G70" s="10" t="n"/>
      <c r="H70" s="11" t="n"/>
      <c r="I70" s="13" t="n"/>
      <c r="J70" s="10" t="n"/>
      <c r="K70" s="11" t="n"/>
      <c r="L70" s="13" t="n"/>
      <c r="M70" s="10" t="n"/>
      <c r="N70" s="11" t="n"/>
      <c r="O70" s="13" t="n"/>
      <c r="P70" s="10" t="n"/>
      <c r="Q70" s="11" t="n"/>
      <c r="R70" s="13" t="n"/>
      <c r="S70" s="10" t="n"/>
      <c r="T70" s="11" t="inlineStr">
        <is>
          <t>응원하는 사자성어</t>
        </is>
      </c>
      <c r="U70" s="9" t="n">
        <v>0.0073</v>
      </c>
      <c r="V70" s="10" t="n"/>
    </row>
    <row r="71" ht="15.75" customHeight="1" s="1">
      <c r="B71" s="11" t="n"/>
      <c r="C71" s="13" t="n"/>
      <c r="D71" s="10" t="n"/>
      <c r="E71" s="11" t="n"/>
      <c r="F71" s="13" t="n"/>
      <c r="G71" s="10" t="n"/>
      <c r="H71" s="11" t="n"/>
      <c r="I71" s="13" t="n"/>
      <c r="J71" s="10" t="n"/>
      <c r="K71" s="11" t="n"/>
      <c r="L71" s="13" t="n"/>
      <c r="M71" s="10" t="n"/>
      <c r="N71" s="11" t="n"/>
      <c r="O71" s="13" t="n"/>
      <c r="P71" s="10" t="n"/>
      <c r="Q71" s="11" t="n"/>
      <c r="R71" s="13" t="n"/>
      <c r="S71" s="10" t="n"/>
      <c r="T71" s="11" t="n"/>
      <c r="U71" s="13" t="n"/>
      <c r="V71" s="10" t="n"/>
    </row>
    <row r="72" ht="15.75" customHeight="1" s="1">
      <c r="B72" s="14" t="n"/>
      <c r="C72" s="15" t="n"/>
      <c r="D72" s="16" t="n"/>
      <c r="E72" s="14" t="n"/>
      <c r="F72" s="15" t="n"/>
      <c r="G72" s="16" t="n"/>
      <c r="H72" s="14" t="n"/>
      <c r="I72" s="15" t="n"/>
      <c r="J72" s="16" t="n"/>
      <c r="K72" s="14" t="n"/>
      <c r="L72" s="15" t="n"/>
      <c r="M72" s="16" t="n"/>
      <c r="N72" s="14" t="n"/>
      <c r="O72" s="15" t="n"/>
      <c r="P72" s="16" t="n"/>
      <c r="Q72" s="14" t="n"/>
      <c r="R72" s="15" t="n"/>
      <c r="S72" s="16" t="n"/>
      <c r="T72" s="14" t="n"/>
      <c r="U72" s="15" t="n"/>
      <c r="V72" s="16" t="n"/>
    </row>
    <row r="73" ht="15.75" customHeight="1" s="1">
      <c r="B73" s="5">
        <f>IF(22&lt;=DAY(EOMONTH(DATE(2026,$C$1,1),0)),$C$1&amp;"월 22일","")</f>
        <v/>
      </c>
      <c r="C73" s="6" t="n"/>
      <c r="D73" s="7" t="n"/>
      <c r="E73" s="5">
        <f>IF(23&lt;=DAY(EOMONTH(DATE(2026,$C$1,1),0)),$C$1&amp;"월 23일","")</f>
        <v/>
      </c>
      <c r="F73" s="6" t="n"/>
      <c r="G73" s="7" t="n"/>
      <c r="H73" s="5">
        <f>IF(24&lt;=DAY(EOMONTH(DATE(2026,$C$1,1),0)),$C$1&amp;"월 24일","")</f>
        <v/>
      </c>
      <c r="I73" s="6" t="n"/>
      <c r="J73" s="7" t="n"/>
      <c r="K73" s="5">
        <f>IF(25&lt;=DAY(EOMONTH(DATE(2026,$C$1,1),0)),$C$1&amp;"월 25일","")</f>
        <v/>
      </c>
      <c r="L73" s="6" t="n"/>
      <c r="M73" s="7" t="n"/>
      <c r="N73" s="5">
        <f>IF(26&lt;=DAY(EOMONTH(DATE(2026,$C$1,1),0)),$C$1&amp;"월 26일","")</f>
        <v/>
      </c>
      <c r="O73" s="6" t="n"/>
      <c r="P73" s="7" t="n"/>
      <c r="Q73" s="5">
        <f>IF(27&lt;=DAY(EOMONTH(DATE(2026,$C$1,1),0)),$C$1&amp;"월 27일","")</f>
        <v/>
      </c>
      <c r="R73" s="6" t="n"/>
      <c r="S73" s="7" t="n"/>
      <c r="T73" s="5">
        <f>IF(28&lt;=DAY(EOMONTH(DATE(2026,$C$1,1),0)),$C$1&amp;"월 28일","")</f>
        <v/>
      </c>
      <c r="U73" s="6" t="n"/>
      <c r="V73" s="7" t="n"/>
    </row>
    <row r="74" ht="15.75" customHeight="1" s="1">
      <c r="B74" s="11" t="inlineStr">
        <is>
          <t>jydmc</t>
        </is>
      </c>
      <c r="C74" s="9" t="n">
        <v>0.022</v>
      </c>
      <c r="D74" s="10" t="inlineStr">
        <is>
          <t>About</t>
        </is>
      </c>
      <c r="E74" s="11" t="inlineStr">
        <is>
          <t>디엠씨미디어</t>
        </is>
      </c>
      <c r="F74" s="9" t="n">
        <v>0.0388</v>
      </c>
      <c r="G74" s="10" t="inlineStr">
        <is>
          <t>About</t>
        </is>
      </c>
      <c r="H74" s="11" t="inlineStr">
        <is>
          <t>디엠씨미디어</t>
        </is>
      </c>
      <c r="I74" s="9" t="n">
        <v>0.0667</v>
      </c>
      <c r="J74" s="10" t="inlineStr">
        <is>
          <t>About</t>
        </is>
      </c>
      <c r="K74" s="11" t="inlineStr">
        <is>
          <t>jy.dmc</t>
        </is>
      </c>
      <c r="L74" s="9" t="n">
        <v>0.2</v>
      </c>
      <c r="M74" s="10" t="inlineStr">
        <is>
          <t>About</t>
        </is>
      </c>
      <c r="N74" s="11" t="inlineStr">
        <is>
          <t>제이와이디엠씨</t>
        </is>
      </c>
      <c r="O74" s="9" t="n">
        <v>0.1333</v>
      </c>
      <c r="P74" s="10" t="inlineStr">
        <is>
          <t>About</t>
        </is>
      </c>
      <c r="Q74" s="11" t="inlineStr">
        <is>
          <t>디엠씨미디어 블로그</t>
        </is>
      </c>
      <c r="R74" s="9" t="n">
        <v>0.0333</v>
      </c>
      <c r="S74" s="10" t="inlineStr">
        <is>
          <t>About</t>
        </is>
      </c>
      <c r="T74" s="11" t="inlineStr">
        <is>
          <t>adid 타겟팅</t>
        </is>
      </c>
      <c r="U74" s="9" t="n">
        <v>0.0435</v>
      </c>
      <c r="V74" s="10" t="inlineStr">
        <is>
          <t>Media</t>
        </is>
      </c>
    </row>
    <row r="75" ht="15.75" customHeight="1" s="1">
      <c r="B75" s="11" t="inlineStr">
        <is>
          <t>디엠씨미디어</t>
        </is>
      </c>
      <c r="C75" s="9" t="n">
        <v>0.022</v>
      </c>
      <c r="D75" s="10" t="inlineStr">
        <is>
          <t>About</t>
        </is>
      </c>
      <c r="E75" s="11" t="inlineStr">
        <is>
          <t>dmc 쿠팡플레이</t>
        </is>
      </c>
      <c r="F75" s="9" t="n">
        <v>0.0097</v>
      </c>
      <c r="G75" s="10" t="inlineStr">
        <is>
          <t>About</t>
        </is>
      </c>
      <c r="H75" s="11" t="inlineStr">
        <is>
          <t>광고 네이티브</t>
        </is>
      </c>
      <c r="I75" s="9" t="n">
        <v>0.0333</v>
      </c>
      <c r="J75" s="10" t="inlineStr">
        <is>
          <t>Media</t>
        </is>
      </c>
      <c r="K75" s="11" t="inlineStr">
        <is>
          <t>코카콜라 파니니라벨 스티커</t>
        </is>
      </c>
      <c r="L75" s="9" t="n">
        <v>0.2</v>
      </c>
      <c r="M75" s="10" t="inlineStr">
        <is>
          <t>Trend</t>
        </is>
      </c>
      <c r="N75" s="11" t="inlineStr">
        <is>
          <t>미국 코카콜라 월드컵스티커</t>
        </is>
      </c>
      <c r="O75" s="9" t="n">
        <v>0.0667</v>
      </c>
      <c r="P75" s="10" t="inlineStr">
        <is>
          <t>Trend</t>
        </is>
      </c>
      <c r="Q75" s="11" t="inlineStr">
        <is>
          <t>토스애즈 touch:able</t>
        </is>
      </c>
      <c r="R75" s="9" t="n">
        <v>0.0333</v>
      </c>
      <c r="S75" s="10" t="inlineStr">
        <is>
          <t>Media</t>
        </is>
      </c>
      <c r="T75" s="11" t="inlineStr">
        <is>
          <t>디지털디바이스뜻</t>
        </is>
      </c>
      <c r="U75" s="12" t="n">
        <v>0.0435</v>
      </c>
      <c r="V75" s="10" t="inlineStr">
        <is>
          <t>Trend</t>
        </is>
      </c>
    </row>
    <row r="76" ht="15.75" customHeight="1" s="1">
      <c r="B76" s="11" t="inlineStr">
        <is>
          <t>디엠씨미디어 the dap</t>
        </is>
      </c>
      <c r="C76" s="9" t="n">
        <v>0.022</v>
      </c>
      <c r="D76" s="10" t="inlineStr">
        <is>
          <t>About</t>
        </is>
      </c>
      <c r="E76" s="11" t="inlineStr">
        <is>
          <t>앰플리튜드 활용방법</t>
        </is>
      </c>
      <c r="F76" s="9" t="n">
        <v>0.0097</v>
      </c>
      <c r="G76" s="10" t="inlineStr">
        <is>
          <t>Data</t>
        </is>
      </c>
      <c r="H76" s="11" t="inlineStr">
        <is>
          <t>디엠씨미디어 인턴</t>
        </is>
      </c>
      <c r="I76" s="9" t="n">
        <v>0.0333</v>
      </c>
      <c r="J76" s="10" t="inlineStr">
        <is>
          <t>About</t>
        </is>
      </c>
      <c r="K76" s="11" t="inlineStr">
        <is>
          <t>DMC미디어 리포트 자기관리 루틴</t>
        </is>
      </c>
      <c r="L76" s="9" t="n">
        <v>0.2</v>
      </c>
      <c r="M76" s="10" t="inlineStr">
        <is>
          <t>Trend</t>
        </is>
      </c>
      <c r="N76" s="11" t="inlineStr">
        <is>
          <t>웬디스 콜라보</t>
        </is>
      </c>
      <c r="O76" s="9" t="n">
        <v>0.0667</v>
      </c>
      <c r="P76" s="10" t="inlineStr">
        <is>
          <t>Trend</t>
        </is>
      </c>
      <c r="Q76" s="11" t="inlineStr">
        <is>
          <t>그로스 마케팅</t>
        </is>
      </c>
      <c r="R76" s="9" t="n">
        <v>0.0333</v>
      </c>
      <c r="S76" s="10" t="inlineStr">
        <is>
          <t>About</t>
        </is>
      </c>
      <c r="T76" s="11" t="inlineStr">
        <is>
          <t>파니니 스티커북</t>
        </is>
      </c>
      <c r="U76" s="12" t="n">
        <v>0.0435</v>
      </c>
      <c r="V76" s="10" t="inlineStr">
        <is>
          <t>Trend</t>
        </is>
      </c>
    </row>
    <row r="77" ht="15.75" customHeight="1" s="1">
      <c r="B77" s="11" t="inlineStr">
        <is>
          <t>50대 여자 소구</t>
        </is>
      </c>
      <c r="C77" s="9" t="n">
        <v>0.011</v>
      </c>
      <c r="D77" s="10" t="inlineStr">
        <is>
          <t>Trend</t>
        </is>
      </c>
      <c r="E77" s="11" t="inlineStr">
        <is>
          <t>카카오톡 채널 표시할 수 없는 메시지입니다</t>
        </is>
      </c>
      <c r="F77" s="9" t="n">
        <v>0.0097</v>
      </c>
      <c r="G77" s="10" t="n"/>
      <c r="H77" s="11" t="inlineStr">
        <is>
          <t>리테일 미디어 뜻</t>
        </is>
      </c>
      <c r="I77" s="9" t="n">
        <v>0.0333</v>
      </c>
      <c r="J77" s="10" t="inlineStr">
        <is>
          <t>Media</t>
        </is>
      </c>
      <c r="K77" s="11" t="n"/>
      <c r="L77" s="9" t="n"/>
      <c r="M77" s="10" t="n"/>
      <c r="N77" s="11" t="inlineStr">
        <is>
          <t>타뷸라 광고</t>
        </is>
      </c>
      <c r="O77" s="9" t="n">
        <v>0.0667</v>
      </c>
      <c r="P77" s="10" t="inlineStr">
        <is>
          <t>Media</t>
        </is>
      </c>
      <c r="Q77" s="11" t="inlineStr">
        <is>
          <t>기업ai 팀명</t>
        </is>
      </c>
      <c r="R77" s="9" t="n">
        <v>0.0333</v>
      </c>
      <c r="S77" s="10" t="inlineStr">
        <is>
          <t>People</t>
        </is>
      </c>
      <c r="T77" s="11" t="inlineStr">
        <is>
          <t>파니니 코카콜라 스티커</t>
        </is>
      </c>
      <c r="U77" s="9" t="n">
        <v>0.0435</v>
      </c>
      <c r="V77" s="10" t="inlineStr">
        <is>
          <t>Trend</t>
        </is>
      </c>
    </row>
    <row r="78" ht="15.75" customHeight="1" s="1">
      <c r="B78" s="11" t="inlineStr">
        <is>
          <t>jy.dmc</t>
        </is>
      </c>
      <c r="C78" s="9" t="n">
        <v>0.011</v>
      </c>
      <c r="D78" s="10" t="inlineStr">
        <is>
          <t>About</t>
        </is>
      </c>
      <c r="E78" s="11" t="inlineStr">
        <is>
          <t>타불라</t>
        </is>
      </c>
      <c r="F78" s="9" t="n">
        <v>0.0097</v>
      </c>
      <c r="G78" s="10" t="inlineStr">
        <is>
          <t>Media</t>
        </is>
      </c>
      <c r="H78" s="11" t="inlineStr">
        <is>
          <t>조직문화 창립기념행사</t>
        </is>
      </c>
      <c r="I78" s="9" t="n">
        <v>0.0333</v>
      </c>
      <c r="J78" s="10" t="inlineStr">
        <is>
          <t>About</t>
        </is>
      </c>
      <c r="K78" s="11" t="n"/>
      <c r="L78" s="9" t="n"/>
      <c r="M78" s="10" t="n"/>
      <c r="N78" s="11" t="inlineStr">
        <is>
          <t>네이버 광고 AD BOOST MAX 기능</t>
        </is>
      </c>
      <c r="O78" s="9" t="n">
        <v>0.0667</v>
      </c>
      <c r="P78" s="10" t="inlineStr">
        <is>
          <t>Media</t>
        </is>
      </c>
      <c r="Q78" s="11" t="inlineStr">
        <is>
          <t>디엠씨미디어</t>
        </is>
      </c>
      <c r="R78" s="9" t="n">
        <v>0.0333</v>
      </c>
      <c r="S78" s="10" t="inlineStr">
        <is>
          <t>About</t>
        </is>
      </c>
      <c r="T78" s="11" t="inlineStr">
        <is>
          <t>네이버에서 종목 검색 시 주가 정보 영역 하단에 노출되는 광고 상품</t>
        </is>
      </c>
      <c r="U78" s="9" t="n">
        <v>0.0435</v>
      </c>
      <c r="V78" s="10" t="inlineStr">
        <is>
          <t>About</t>
        </is>
      </c>
    </row>
    <row r="79" ht="15.75" customHeight="1" s="1">
      <c r="B79" s="11" t="inlineStr">
        <is>
          <t>제이와이디엠씨</t>
        </is>
      </c>
      <c r="C79" s="9" t="n">
        <v>0.011</v>
      </c>
      <c r="D79" s="10" t="inlineStr">
        <is>
          <t>About</t>
        </is>
      </c>
      <c r="E79" s="11" t="inlineStr">
        <is>
          <t>파니니 2026 월드컵</t>
        </is>
      </c>
      <c r="F79" s="9" t="n">
        <v>0.0097</v>
      </c>
      <c r="G79" s="10" t="inlineStr">
        <is>
          <t>Trend</t>
        </is>
      </c>
      <c r="H79" s="11" t="inlineStr">
        <is>
          <t>디엠씨미디어 광고</t>
        </is>
      </c>
      <c r="I79" s="9" t="n">
        <v>0.0333</v>
      </c>
      <c r="J79" s="10" t="inlineStr">
        <is>
          <t>People</t>
        </is>
      </c>
      <c r="K79" s="11" t="n"/>
      <c r="L79" s="9" t="n"/>
      <c r="M79" s="10" t="n"/>
      <c r="N79" s="11" t="n"/>
      <c r="O79" s="9" t="n"/>
      <c r="P79" s="10" t="n"/>
      <c r="Q79" s="11" t="inlineStr">
        <is>
          <t>코카콜라 파니니 스티커</t>
        </is>
      </c>
      <c r="R79" s="9" t="n">
        <v>0.0333</v>
      </c>
      <c r="S79" s="10" t="inlineStr">
        <is>
          <t>Trend</t>
        </is>
      </c>
      <c r="T79" s="11" t="inlineStr">
        <is>
          <t>더마 코스메틱 동향</t>
        </is>
      </c>
      <c r="U79" s="9" t="n">
        <v>0.0435</v>
      </c>
      <c r="V79" s="10" t="inlineStr">
        <is>
          <t>Trend</t>
        </is>
      </c>
    </row>
    <row r="80" ht="15.75" customHeight="1" s="1">
      <c r="B80" s="11" t="inlineStr">
        <is>
          <t>코키콜라 월드컵 스티커</t>
        </is>
      </c>
      <c r="C80" s="9" t="n">
        <v>0.011</v>
      </c>
      <c r="D80" s="10" t="inlineStr">
        <is>
          <t>Trend</t>
        </is>
      </c>
      <c r="E80" s="11" t="inlineStr">
        <is>
          <t>하이네켄 소셜 캠페인</t>
        </is>
      </c>
      <c r="F80" s="9" t="n">
        <v>0.0097</v>
      </c>
      <c r="G80" s="10" t="inlineStr">
        <is>
          <t>Trend</t>
        </is>
      </c>
      <c r="H80" s="11" t="inlineStr">
        <is>
          <t>피파 콜라 라벨</t>
        </is>
      </c>
      <c r="I80" s="9" t="n">
        <v>0.0333</v>
      </c>
      <c r="J80" s="10" t="inlineStr">
        <is>
          <t>Trend</t>
        </is>
      </c>
      <c r="K80" s="11" t="n"/>
      <c r="L80" s="13" t="n"/>
      <c r="M80" s="10" t="n"/>
      <c r="N80" s="11" t="n"/>
      <c r="O80" s="9" t="n"/>
      <c r="P80" s="10" t="n"/>
      <c r="Q80" s="11" t="n"/>
      <c r="R80" s="9" t="n"/>
      <c r="S80" s="10" t="n"/>
      <c r="T80" s="11" t="inlineStr">
        <is>
          <t>디엠씨미디어</t>
        </is>
      </c>
      <c r="U80" s="9" t="n">
        <v>0.0435</v>
      </c>
      <c r="V80" s="10" t="inlineStr">
        <is>
          <t>About</t>
        </is>
      </c>
    </row>
    <row r="81" ht="15.75" customHeight="1" s="1">
      <c r="B81" s="11" t="inlineStr">
        <is>
          <t>피파 코카콜라 스티커</t>
        </is>
      </c>
      <c r="C81" s="9" t="n">
        <v>0.011</v>
      </c>
      <c r="D81" s="10" t="inlineStr">
        <is>
          <t>Trend</t>
        </is>
      </c>
      <c r="E81" s="11" t="inlineStr">
        <is>
          <t>디엠씨미디어</t>
        </is>
      </c>
      <c r="F81" s="9" t="n">
        <v>0.0194</v>
      </c>
      <c r="G81" s="10" t="inlineStr">
        <is>
          <t>About</t>
        </is>
      </c>
      <c r="H81" s="11" t="inlineStr">
        <is>
          <t>한국야쿠르트 견학 나이</t>
        </is>
      </c>
      <c r="I81" s="9" t="n">
        <v>0.0333</v>
      </c>
      <c r="J81" s="10" t="inlineStr">
        <is>
          <t>Trend</t>
        </is>
      </c>
      <c r="K81" s="11" t="n"/>
      <c r="L81" s="13" t="n"/>
      <c r="M81" s="10" t="n"/>
      <c r="N81" s="11" t="n"/>
      <c r="O81" s="9" t="n"/>
      <c r="P81" s="10" t="n"/>
      <c r="Q81" s="11" t="n"/>
      <c r="R81" s="9" t="n"/>
      <c r="S81" s="10" t="n"/>
      <c r="T81" s="11" t="n"/>
      <c r="U81" s="9" t="n"/>
      <c r="V81" s="10" t="n"/>
    </row>
    <row r="82" ht="15.75" customHeight="1" s="1">
      <c r="B82" s="11" t="inlineStr">
        <is>
          <t>디엠씨미디어</t>
        </is>
      </c>
      <c r="C82" s="9" t="n">
        <v>0.033</v>
      </c>
      <c r="D82" s="10" t="inlineStr">
        <is>
          <t>About</t>
        </is>
      </c>
      <c r="E82" s="11" t="inlineStr">
        <is>
          <t>디엠씨미디어 인턴면접</t>
        </is>
      </c>
      <c r="F82" s="9" t="n">
        <v>0.0194</v>
      </c>
      <c r="G82" s="10" t="inlineStr">
        <is>
          <t>People</t>
        </is>
      </c>
      <c r="H82" s="11" t="inlineStr">
        <is>
          <t>디엠씨미디어연봉</t>
        </is>
      </c>
      <c r="I82" s="9" t="n">
        <v>0.0333</v>
      </c>
      <c r="J82" s="10" t="inlineStr">
        <is>
          <t>People</t>
        </is>
      </c>
      <c r="K82" s="11" t="n"/>
      <c r="L82" s="13" t="n"/>
      <c r="M82" s="10" t="n"/>
      <c r="N82" s="11" t="n"/>
      <c r="O82" s="9" t="n"/>
      <c r="P82" s="10" t="n"/>
      <c r="Q82" s="11" t="n"/>
      <c r="R82" s="9" t="n"/>
      <c r="S82" s="10" t="n"/>
      <c r="T82" s="11" t="n"/>
      <c r="U82" s="9" t="n"/>
      <c r="V82" s="10" t="n"/>
    </row>
    <row r="83" ht="15.75" customHeight="1" s="1">
      <c r="B83" s="11" t="inlineStr">
        <is>
          <t>공무원 농촌일손돕기‧수해복구․산불진화 참여로</t>
        </is>
      </c>
      <c r="C83" s="9" t="n">
        <v>0.011</v>
      </c>
      <c r="D83" s="10" t="n"/>
      <c r="E83" s="11" t="inlineStr">
        <is>
          <t>가전 삼신기</t>
        </is>
      </c>
      <c r="F83" s="9" t="n">
        <v>0.0097</v>
      </c>
      <c r="G83" s="10" t="inlineStr">
        <is>
          <t>Trend</t>
        </is>
      </c>
      <c r="H83" s="11" t="inlineStr">
        <is>
          <t>디엠씨미디어</t>
        </is>
      </c>
      <c r="I83" s="9" t="n">
        <v>0.0333</v>
      </c>
      <c r="J83" s="10" t="inlineStr">
        <is>
          <t>About</t>
        </is>
      </c>
      <c r="K83" s="11" t="n"/>
      <c r="L83" s="13" t="n"/>
      <c r="M83" s="10" t="n"/>
      <c r="N83" s="11" t="n"/>
      <c r="O83" s="9" t="n"/>
      <c r="P83" s="10" t="n"/>
      <c r="Q83" s="11" t="n"/>
      <c r="R83" s="13" t="n"/>
      <c r="S83" s="10" t="n"/>
      <c r="T83" s="11" t="n"/>
      <c r="U83" s="13" t="n"/>
      <c r="V83" s="10" t="n"/>
    </row>
    <row r="84" ht="15.75" customHeight="1" s="1">
      <c r="B84" s="11" t="inlineStr">
        <is>
          <t>당근 전문가모드 네이티브 카탈로그</t>
        </is>
      </c>
      <c r="C84" s="9" t="n">
        <v>0.011</v>
      </c>
      <c r="D84" s="10" t="inlineStr">
        <is>
          <t>Media</t>
        </is>
      </c>
      <c r="E84" s="11" t="inlineStr">
        <is>
          <t>북중미 월드컵 코카콜라 캠페인</t>
        </is>
      </c>
      <c r="F84" s="9" t="n">
        <v>0.0097</v>
      </c>
      <c r="G84" s="10" t="inlineStr">
        <is>
          <t>Trend</t>
        </is>
      </c>
      <c r="H84" s="11" t="n"/>
      <c r="I84" s="9" t="n"/>
      <c r="J84" s="10" t="n"/>
      <c r="K84" s="11" t="n"/>
      <c r="L84" s="13" t="n"/>
      <c r="M84" s="10" t="n"/>
      <c r="N84" s="11" t="n"/>
      <c r="O84" s="9" t="n"/>
      <c r="P84" s="10" t="n"/>
      <c r="Q84" s="11" t="n"/>
      <c r="R84" s="13" t="n"/>
      <c r="S84" s="10" t="n"/>
      <c r="T84" s="11" t="n"/>
      <c r="U84" s="13" t="n"/>
      <c r="V84" s="10" t="n"/>
    </row>
    <row r="85" ht="15.75" customHeight="1" s="1">
      <c r="B85" s="11" t="inlineStr">
        <is>
          <t>더마 설문조사</t>
        </is>
      </c>
      <c r="C85" s="9" t="n">
        <v>0.011</v>
      </c>
      <c r="D85" s="10" t="inlineStr">
        <is>
          <t>Trend</t>
        </is>
      </c>
      <c r="E85" s="11" t="inlineStr">
        <is>
          <t>어드민나이트</t>
        </is>
      </c>
      <c r="F85" s="9" t="n">
        <v>0.0097</v>
      </c>
      <c r="G85" s="10" t="inlineStr">
        <is>
          <t>Trend</t>
        </is>
      </c>
      <c r="H85" s="11" t="n"/>
      <c r="I85" s="9" t="n"/>
      <c r="J85" s="10" t="n"/>
      <c r="K85" s="11" t="n"/>
      <c r="L85" s="13" t="n"/>
      <c r="M85" s="10" t="n"/>
      <c r="N85" s="11" t="n"/>
      <c r="O85" s="9" t="n"/>
      <c r="P85" s="10" t="n"/>
      <c r="Q85" s="11" t="n"/>
      <c r="R85" s="13" t="n"/>
      <c r="S85" s="10" t="n"/>
      <c r="T85" s="11" t="n"/>
      <c r="U85" s="13" t="n"/>
      <c r="V85" s="10" t="n"/>
    </row>
    <row r="86" ht="15.75" customHeight="1" s="1">
      <c r="B86" s="11" t="inlineStr">
        <is>
          <t>월드컵 코카콜라 파니니</t>
        </is>
      </c>
      <c r="C86" s="9" t="n">
        <v>0.011</v>
      </c>
      <c r="D86" s="10" t="inlineStr">
        <is>
          <t>Trend</t>
        </is>
      </c>
      <c r="E86" s="11" t="inlineStr">
        <is>
          <t>토스 애즈 광고</t>
        </is>
      </c>
      <c r="F86" s="9" t="n">
        <v>0.0097</v>
      </c>
      <c r="G86" s="10" t="inlineStr">
        <is>
          <t>Media</t>
        </is>
      </c>
      <c r="H86" s="11" t="n"/>
      <c r="I86" s="9" t="n"/>
      <c r="J86" s="10" t="n"/>
      <c r="K86" s="11" t="n"/>
      <c r="L86" s="13" t="n"/>
      <c r="M86" s="10" t="n"/>
      <c r="N86" s="11" t="n"/>
      <c r="O86" s="9" t="n"/>
      <c r="P86" s="10" t="n"/>
      <c r="Q86" s="11" t="n"/>
      <c r="R86" s="13" t="n"/>
      <c r="S86" s="10" t="n"/>
      <c r="T86" s="11" t="n"/>
      <c r="U86" s="13" t="n"/>
      <c r="V86" s="10" t="n"/>
    </row>
    <row r="87" ht="15.75" customHeight="1" s="1">
      <c r="B87" s="11" t="inlineStr">
        <is>
          <t>타불라 광고</t>
        </is>
      </c>
      <c r="C87" s="9" t="n">
        <v>0.011</v>
      </c>
      <c r="D87" s="10" t="inlineStr">
        <is>
          <t>Media</t>
        </is>
      </c>
      <c r="E87" s="11" t="inlineStr">
        <is>
          <t>디엠씨미디어 허재우</t>
        </is>
      </c>
      <c r="F87" s="9" t="n">
        <v>0.0388</v>
      </c>
      <c r="G87" s="10" t="inlineStr">
        <is>
          <t>About</t>
        </is>
      </c>
      <c r="H87" s="11" t="n"/>
      <c r="I87" s="9" t="n"/>
      <c r="J87" s="10" t="n"/>
      <c r="K87" s="11" t="n"/>
      <c r="L87" s="13" t="n"/>
      <c r="M87" s="10" t="n"/>
      <c r="N87" s="11" t="n"/>
      <c r="O87" s="9" t="n"/>
      <c r="P87" s="10" t="n"/>
      <c r="Q87" s="11" t="n"/>
      <c r="R87" s="13" t="n"/>
      <c r="S87" s="10" t="n"/>
      <c r="T87" s="11" t="n"/>
      <c r="U87" s="13" t="n"/>
      <c r="V87" s="10" t="n"/>
    </row>
    <row r="88" ht="15.75" customHeight="1" s="1">
      <c r="B88" s="11" t="inlineStr">
        <is>
          <t>디엠씨미디어 인턴 면접</t>
        </is>
      </c>
      <c r="C88" s="9" t="n">
        <v>0.033</v>
      </c>
      <c r="D88" s="10" t="inlineStr">
        <is>
          <t>People</t>
        </is>
      </c>
      <c r="E88" s="11" t="n"/>
      <c r="F88" s="9" t="n"/>
      <c r="G88" s="10" t="n"/>
      <c r="H88" s="11" t="n"/>
      <c r="I88" s="9" t="n"/>
      <c r="J88" s="10" t="n"/>
      <c r="K88" s="11" t="n"/>
      <c r="L88" s="13" t="n"/>
      <c r="M88" s="10" t="n"/>
      <c r="N88" s="11" t="n"/>
      <c r="O88" s="9" t="n"/>
      <c r="P88" s="10" t="n"/>
      <c r="Q88" s="11" t="n"/>
      <c r="R88" s="13" t="n"/>
      <c r="S88" s="10" t="n"/>
      <c r="T88" s="11" t="n"/>
      <c r="U88" s="13" t="n"/>
      <c r="V88" s="10" t="n"/>
    </row>
    <row r="89" ht="15.75" customHeight="1" s="1">
      <c r="B89" s="11" t="inlineStr">
        <is>
          <t>(주)디엠씨미디어 면접</t>
        </is>
      </c>
      <c r="C89" s="9" t="n">
        <v>0.011</v>
      </c>
      <c r="D89" s="10" t="inlineStr">
        <is>
          <t>People</t>
        </is>
      </c>
      <c r="E89" s="11" t="n"/>
      <c r="F89" s="9" t="n"/>
      <c r="G89" s="10" t="n"/>
      <c r="H89" s="11" t="n"/>
      <c r="I89" s="13" t="n"/>
      <c r="J89" s="10" t="n"/>
      <c r="K89" s="11" t="n"/>
      <c r="L89" s="13" t="n"/>
      <c r="M89" s="10" t="n"/>
      <c r="N89" s="11" t="n"/>
      <c r="O89" s="9" t="n"/>
      <c r="P89" s="10" t="n"/>
      <c r="Q89" s="11" t="n"/>
      <c r="R89" s="13" t="n"/>
      <c r="S89" s="10" t="n"/>
      <c r="T89" s="11" t="n"/>
      <c r="U89" s="13" t="n"/>
      <c r="V89" s="10" t="n"/>
    </row>
    <row r="90" ht="15.75" customHeight="1" s="1">
      <c r="B90" s="11" t="inlineStr">
        <is>
          <t>디엠씨미디어 서류</t>
        </is>
      </c>
      <c r="C90" s="9" t="n">
        <v>0.011</v>
      </c>
      <c r="D90" s="10" t="inlineStr">
        <is>
          <t>People</t>
        </is>
      </c>
      <c r="E90" s="11" t="n"/>
      <c r="F90" s="9" t="n"/>
      <c r="G90" s="10" t="n"/>
      <c r="H90" s="11" t="n"/>
      <c r="I90" s="13" t="n"/>
      <c r="J90" s="10" t="n"/>
      <c r="K90" s="11" t="n"/>
      <c r="L90" s="13" t="n"/>
      <c r="M90" s="10" t="n"/>
      <c r="N90" s="11" t="n"/>
      <c r="O90" s="9" t="n"/>
      <c r="P90" s="10" t="n"/>
      <c r="Q90" s="11" t="n"/>
      <c r="R90" s="13" t="n"/>
      <c r="S90" s="10" t="n"/>
      <c r="T90" s="11" t="n"/>
      <c r="U90" s="13" t="n"/>
      <c r="V90" s="10" t="n"/>
    </row>
    <row r="91" ht="15.75" customHeight="1" s="1">
      <c r="B91" s="11" t="n"/>
      <c r="C91" s="13" t="n"/>
      <c r="D91" s="10" t="n"/>
      <c r="E91" s="11" t="n"/>
      <c r="F91" s="9" t="n"/>
      <c r="G91" s="10" t="n"/>
      <c r="H91" s="11" t="n"/>
      <c r="I91" s="13" t="n"/>
      <c r="J91" s="10" t="n"/>
      <c r="K91" s="11" t="n"/>
      <c r="L91" s="13" t="n"/>
      <c r="M91" s="10" t="n"/>
      <c r="N91" s="11" t="n"/>
      <c r="O91" s="13" t="n"/>
      <c r="P91" s="10" t="n"/>
      <c r="Q91" s="11" t="n"/>
      <c r="R91" s="13" t="n"/>
      <c r="S91" s="10" t="n"/>
      <c r="T91" s="11" t="n"/>
      <c r="U91" s="13" t="n"/>
      <c r="V91" s="10" t="n"/>
    </row>
    <row r="92" ht="15.75" customHeight="1" s="1">
      <c r="B92" s="11" t="n"/>
      <c r="C92" s="13" t="n"/>
      <c r="D92" s="10" t="n"/>
      <c r="E92" s="11" t="n"/>
      <c r="F92" s="9" t="n"/>
      <c r="G92" s="10" t="n"/>
      <c r="H92" s="11" t="n"/>
      <c r="I92" s="13" t="n"/>
      <c r="J92" s="10" t="n"/>
      <c r="K92" s="11" t="n"/>
      <c r="L92" s="13" t="n"/>
      <c r="M92" s="10" t="n"/>
      <c r="N92" s="11" t="n"/>
      <c r="O92" s="13" t="n"/>
      <c r="P92" s="10" t="n"/>
      <c r="Q92" s="11" t="n"/>
      <c r="R92" s="13" t="n"/>
      <c r="S92" s="10" t="n"/>
      <c r="T92" s="11" t="n"/>
      <c r="U92" s="13" t="n"/>
      <c r="V92" s="10" t="n"/>
    </row>
    <row r="93" ht="15.75" customHeight="1" s="1">
      <c r="B93" s="17" t="n"/>
      <c r="C93" s="18" t="n"/>
      <c r="D93" s="19" t="n"/>
      <c r="E93" s="17" t="n"/>
      <c r="F93" s="20" t="n"/>
      <c r="G93" s="19" t="n"/>
      <c r="H93" s="17" t="n"/>
      <c r="I93" s="18" t="n"/>
      <c r="J93" s="19" t="n"/>
      <c r="K93" s="17" t="n"/>
      <c r="L93" s="18" t="n"/>
      <c r="M93" s="19" t="n"/>
      <c r="N93" s="17" t="n"/>
      <c r="O93" s="18" t="n"/>
      <c r="P93" s="19" t="n"/>
      <c r="Q93" s="17" t="n"/>
      <c r="R93" s="18" t="n"/>
      <c r="S93" s="19" t="n"/>
      <c r="T93" s="17" t="n"/>
      <c r="U93" s="18" t="n"/>
      <c r="V93" s="19" t="n"/>
    </row>
    <row r="94" ht="15.75" customHeight="1" s="1">
      <c r="B94" s="14" t="n"/>
      <c r="C94" s="15" t="n"/>
      <c r="D94" s="16" t="n"/>
      <c r="E94" s="14" t="n"/>
      <c r="F94" s="15" t="n"/>
      <c r="G94" s="16" t="n"/>
      <c r="H94" s="14" t="n"/>
      <c r="I94" s="15" t="n"/>
      <c r="J94" s="16" t="n"/>
      <c r="K94" s="14" t="n"/>
      <c r="L94" s="15" t="n"/>
      <c r="M94" s="16" t="n"/>
      <c r="N94" s="14" t="n"/>
      <c r="O94" s="15" t="n"/>
      <c r="P94" s="16" t="n"/>
      <c r="Q94" s="14" t="n"/>
      <c r="R94" s="15" t="n"/>
      <c r="S94" s="16" t="n"/>
      <c r="T94" s="14" t="n"/>
      <c r="U94" s="15" t="n"/>
      <c r="V94" s="16" t="n"/>
    </row>
    <row r="95" ht="15.75" customHeight="1" s="1">
      <c r="B95" s="5">
        <f>IF(29&lt;=DAY(EOMONTH(DATE(2026,$C$1,1),0)),$C$1&amp;"월 29일","")</f>
        <v/>
      </c>
      <c r="C95" s="6" t="n"/>
      <c r="D95" s="7" t="n"/>
      <c r="E95" s="5">
        <f>IF(30&lt;=DAY(EOMONTH(DATE(2026,$C$1,1),0)),$C$1&amp;"월 30일","")</f>
        <v/>
      </c>
      <c r="F95" s="6" t="n"/>
      <c r="G95" s="7" t="n"/>
      <c r="H95" s="5">
        <f>IF(31&lt;=DAY(EOMONTH(DATE(2026,$C$1,1),0)),$C$1&amp;"월 31일","")</f>
        <v/>
      </c>
      <c r="I95" s="6" t="n"/>
      <c r="J95" s="7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.75" customHeight="1" s="1">
      <c r="B96" s="11" t="inlineStr">
        <is>
          <t>‘ADVoost Max’ 병의원</t>
        </is>
      </c>
      <c r="C96" s="9" t="n">
        <v>0.0141</v>
      </c>
      <c r="D96" s="10" t="inlineStr">
        <is>
          <t>About</t>
        </is>
      </c>
      <c r="E96" s="11" t="inlineStr">
        <is>
          <t>코카콜라 월드컵 캐인 라벨</t>
        </is>
      </c>
      <c r="F96" s="9" t="n">
        <v>0.0256</v>
      </c>
      <c r="G96" s="10" t="inlineStr">
        <is>
          <t>Trend</t>
        </is>
      </c>
      <c r="H96" s="11" t="inlineStr">
        <is>
          <t>디엠씨미디어</t>
        </is>
      </c>
      <c r="I96" s="9" t="n">
        <v>0.0769</v>
      </c>
      <c r="J96" s="10" t="inlineStr">
        <is>
          <t>About</t>
        </is>
      </c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</row>
    <row r="97" ht="15.75" customHeight="1" s="1">
      <c r="B97" s="11" t="inlineStr">
        <is>
          <t>디엠씨미디어</t>
        </is>
      </c>
      <c r="C97" s="9" t="n">
        <v>0.0141</v>
      </c>
      <c r="D97" s="10" t="inlineStr">
        <is>
          <t>About</t>
        </is>
      </c>
      <c r="E97" s="11" t="inlineStr">
        <is>
          <t>디엠씨미디어</t>
        </is>
      </c>
      <c r="F97" s="9" t="n">
        <v>0.0128</v>
      </c>
      <c r="G97" s="10" t="inlineStr">
        <is>
          <t>About</t>
        </is>
      </c>
      <c r="H97" s="11" t="inlineStr">
        <is>
          <t>카카오채널로 메시지 커머스와 피드의 차이점은?</t>
        </is>
      </c>
      <c r="I97" s="9" t="n">
        <v>0.0385</v>
      </c>
      <c r="J97" s="10" t="inlineStr">
        <is>
          <t>Media</t>
        </is>
      </c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</row>
    <row r="98" ht="15.75" customHeight="1" s="1">
      <c r="B98" s="11" t="inlineStr">
        <is>
          <t>타불라</t>
        </is>
      </c>
      <c r="C98" s="9" t="n">
        <v>0.0141</v>
      </c>
      <c r="D98" s="10" t="inlineStr">
        <is>
          <t>Media</t>
        </is>
      </c>
      <c r="E98" s="11" t="inlineStr">
        <is>
          <t>디엠씨미디어 인턴</t>
        </is>
      </c>
      <c r="F98" s="9" t="n">
        <v>0.0128</v>
      </c>
      <c r="G98" s="10" t="inlineStr">
        <is>
          <t>People</t>
        </is>
      </c>
      <c r="H98" s="11" t="inlineStr">
        <is>
          <t>타불라</t>
        </is>
      </c>
      <c r="I98" s="9" t="n">
        <v>0.0385</v>
      </c>
      <c r="J98" s="10" t="inlineStr">
        <is>
          <t>Media</t>
        </is>
      </c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</row>
    <row r="99" ht="15.75" customHeight="1" s="1">
      <c r="B99" s="11" t="inlineStr">
        <is>
          <t>타불라광고</t>
        </is>
      </c>
      <c r="C99" s="9" t="n">
        <v>0.0141</v>
      </c>
      <c r="D99" s="10" t="inlineStr">
        <is>
          <t>Media</t>
        </is>
      </c>
      <c r="E99" s="11" t="inlineStr">
        <is>
          <t>미미미누 광고단가</t>
        </is>
      </c>
      <c r="F99" s="9" t="n">
        <v>0.0128</v>
      </c>
      <c r="G99" s="10" t="inlineStr">
        <is>
          <t>About</t>
        </is>
      </c>
      <c r="H99" s="11" t="inlineStr">
        <is>
          <t>타불라 뉴스</t>
        </is>
      </c>
      <c r="I99" s="9" t="n">
        <v>0.0385</v>
      </c>
      <c r="J99" s="10" t="inlineStr">
        <is>
          <t>Media</t>
        </is>
      </c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</row>
    <row r="100" ht="15.75" customHeight="1" s="1">
      <c r="B100" s="11" t="inlineStr">
        <is>
          <t>토스애즈 비용</t>
        </is>
      </c>
      <c r="C100" s="9" t="n">
        <v>0.0141</v>
      </c>
      <c r="D100" s="10" t="inlineStr">
        <is>
          <t>Media</t>
        </is>
      </c>
      <c r="E100" s="11" t="inlineStr">
        <is>
          <t>네이티브 광고</t>
        </is>
      </c>
      <c r="F100" s="9" t="n">
        <v>0.0128</v>
      </c>
      <c r="G100" s="10" t="inlineStr">
        <is>
          <t>Media</t>
        </is>
      </c>
      <c r="H100" s="11" t="inlineStr">
        <is>
          <t>토스 애즈</t>
        </is>
      </c>
      <c r="I100" s="9" t="n">
        <v>0.0385</v>
      </c>
      <c r="J100" s="10" t="inlineStr">
        <is>
          <t>Media</t>
        </is>
      </c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</row>
    <row r="101" ht="15.75" customHeight="1" s="1">
      <c r="B101" s="11" t="inlineStr">
        <is>
          <t>디엠씨미디어</t>
        </is>
      </c>
      <c r="C101" s="9" t="n">
        <v>0.0141</v>
      </c>
      <c r="D101" s="10" t="inlineStr">
        <is>
          <t>About</t>
        </is>
      </c>
      <c r="E101" s="11" t="inlineStr">
        <is>
          <t>디엠씨미디어</t>
        </is>
      </c>
      <c r="F101" s="9" t="n">
        <v>0.0128</v>
      </c>
      <c r="G101" s="10" t="inlineStr">
        <is>
          <t>About</t>
        </is>
      </c>
      <c r="H101" s="11" t="inlineStr">
        <is>
          <t>네이티브 광고</t>
        </is>
      </c>
      <c r="I101" s="9" t="n">
        <v>0.0385</v>
      </c>
      <c r="J101" s="10" t="inlineStr">
        <is>
          <t>Media</t>
        </is>
      </c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</row>
    <row r="102" ht="15.75" customHeight="1" s="1">
      <c r="B102" s="11" t="inlineStr">
        <is>
          <t>제이와이디엠씨</t>
        </is>
      </c>
      <c r="C102" s="9" t="n">
        <v>0.0141</v>
      </c>
      <c r="D102" s="10" t="inlineStr">
        <is>
          <t>About</t>
        </is>
      </c>
      <c r="E102" s="11" t="inlineStr">
        <is>
          <t>디엠씨미디어 IPO 철회</t>
        </is>
      </c>
      <c r="F102" s="9" t="n">
        <v>0.0128</v>
      </c>
      <c r="G102" s="10" t="inlineStr">
        <is>
          <t>About</t>
        </is>
      </c>
      <c r="H102" s="11" t="inlineStr">
        <is>
          <t>미각보이즈 배우</t>
        </is>
      </c>
      <c r="I102" s="9" t="n">
        <v>0.0385</v>
      </c>
      <c r="J102" s="10" t="inlineStr">
        <is>
          <t>Trend</t>
        </is>
      </c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</row>
    <row r="103" ht="15.75" customHeight="1" s="1">
      <c r="B103" s="11" t="inlineStr">
        <is>
          <t>타뷸라 광고</t>
        </is>
      </c>
      <c r="C103" s="9" t="n">
        <v>0.0141</v>
      </c>
      <c r="D103" s="10" t="inlineStr">
        <is>
          <t>Media</t>
        </is>
      </c>
      <c r="E103" s="11" t="inlineStr">
        <is>
          <t>디엠씨미디어</t>
        </is>
      </c>
      <c r="F103" s="9" t="n">
        <v>0.0128</v>
      </c>
      <c r="G103" s="10" t="inlineStr">
        <is>
          <t>About</t>
        </is>
      </c>
      <c r="H103" s="11" t="inlineStr">
        <is>
          <t>미각보이즈 청룡</t>
        </is>
      </c>
      <c r="I103" s="9" t="n">
        <v>0.0385</v>
      </c>
      <c r="J103" s="10" t="inlineStr">
        <is>
          <t>Trend</t>
        </is>
      </c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</row>
    <row r="104" ht="15.75" customHeight="1" s="1">
      <c r="B104" s="11" t="n"/>
      <c r="C104" s="9" t="n"/>
      <c r="D104" s="10" t="n"/>
      <c r="E104" s="11" t="n"/>
      <c r="F104" s="9" t="n"/>
      <c r="G104" s="10" t="n"/>
      <c r="H104" s="11" t="inlineStr">
        <is>
          <t>타불라 광고</t>
        </is>
      </c>
      <c r="I104" s="9" t="n">
        <v>0.0385</v>
      </c>
      <c r="J104" s="10" t="inlineStr">
        <is>
          <t>Media</t>
        </is>
      </c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</row>
    <row r="105" ht="15.75" customHeight="1" s="1">
      <c r="B105" s="11" t="n"/>
      <c r="C105" s="9" t="n"/>
      <c r="D105" s="10" t="n"/>
      <c r="E105" s="11" t="n"/>
      <c r="F105" s="9" t="n"/>
      <c r="G105" s="10" t="n"/>
      <c r="H105" s="11" t="inlineStr">
        <is>
          <t>코르티스 redred 파트별 가사</t>
        </is>
      </c>
      <c r="I105" s="9" t="n">
        <v>0.0385</v>
      </c>
      <c r="J105" s="10" t="inlineStr">
        <is>
          <t>People</t>
        </is>
      </c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</row>
    <row r="106" ht="15.75" customHeight="1" s="1">
      <c r="B106" s="11" t="n"/>
      <c r="C106" s="9" t="n"/>
      <c r="D106" s="10" t="n"/>
      <c r="E106" s="11" t="n"/>
      <c r="F106" s="9" t="n"/>
      <c r="G106" s="10" t="n"/>
      <c r="H106" s="11" t="n"/>
      <c r="I106" s="13" t="n"/>
      <c r="J106" s="10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</row>
    <row r="107" ht="15.75" customHeight="1" s="1">
      <c r="B107" s="11" t="n"/>
      <c r="C107" s="9" t="n"/>
      <c r="D107" s="10" t="n"/>
      <c r="E107" s="11" t="n"/>
      <c r="F107" s="9" t="n"/>
      <c r="G107" s="10" t="n"/>
      <c r="H107" s="11" t="n"/>
      <c r="I107" s="13" t="n"/>
      <c r="J107" s="10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</row>
    <row r="108" ht="15.75" customHeight="1" s="1">
      <c r="B108" s="11" t="n"/>
      <c r="C108" s="9" t="n"/>
      <c r="D108" s="10" t="n"/>
      <c r="E108" s="11" t="n"/>
      <c r="F108" s="9" t="n"/>
      <c r="G108" s="10" t="n"/>
      <c r="H108" s="11" t="n"/>
      <c r="I108" s="13" t="n"/>
      <c r="J108" s="10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</row>
    <row r="109" ht="15.75" customHeight="1" s="1">
      <c r="B109" s="11" t="n"/>
      <c r="C109" s="9" t="n"/>
      <c r="D109" s="10" t="n"/>
      <c r="E109" s="11" t="n"/>
      <c r="F109" s="9" t="n"/>
      <c r="G109" s="10" t="n"/>
      <c r="H109" s="11" t="n"/>
      <c r="I109" s="13" t="n"/>
      <c r="J109" s="10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</row>
    <row r="110" ht="15.75" customHeight="1" s="1">
      <c r="B110" s="11" t="n"/>
      <c r="C110" s="9" t="n"/>
      <c r="D110" s="10" t="n"/>
      <c r="E110" s="11" t="n"/>
      <c r="F110" s="9" t="n"/>
      <c r="G110" s="10" t="n"/>
      <c r="H110" s="11" t="n"/>
      <c r="I110" s="13" t="n"/>
      <c r="J110" s="10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</row>
    <row r="111" ht="15.75" customHeight="1" s="1">
      <c r="B111" s="11" t="n"/>
      <c r="C111" s="13" t="n"/>
      <c r="D111" s="10" t="n"/>
      <c r="E111" s="11" t="n"/>
      <c r="F111" s="9" t="n"/>
      <c r="G111" s="10" t="n"/>
      <c r="H111" s="11" t="n"/>
      <c r="I111" s="13" t="n"/>
      <c r="J111" s="10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</row>
    <row r="112" ht="15.75" customHeight="1" s="1">
      <c r="B112" s="11" t="n"/>
      <c r="C112" s="13" t="n"/>
      <c r="D112" s="10" t="n"/>
      <c r="E112" s="11" t="n"/>
      <c r="F112" s="9" t="n"/>
      <c r="G112" s="10" t="n"/>
      <c r="H112" s="11" t="n"/>
      <c r="I112" s="13" t="n"/>
      <c r="J112" s="10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</row>
    <row r="113" ht="15.75" customHeight="1" s="1">
      <c r="B113" s="11" t="n"/>
      <c r="C113" s="13" t="n"/>
      <c r="D113" s="10" t="n"/>
      <c r="E113" s="11" t="n"/>
      <c r="F113" s="9" t="n"/>
      <c r="G113" s="10" t="n"/>
      <c r="H113" s="11" t="n"/>
      <c r="I113" s="13" t="n"/>
      <c r="J113" s="10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</row>
    <row r="114" ht="15.75" customHeight="1" s="1">
      <c r="B114" s="11" t="n"/>
      <c r="C114" s="13" t="n"/>
      <c r="D114" s="10" t="n"/>
      <c r="E114" s="11" t="n"/>
      <c r="F114" s="9" t="n"/>
      <c r="G114" s="10" t="n"/>
      <c r="H114" s="11" t="n"/>
      <c r="I114" s="13" t="n"/>
      <c r="J114" s="10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</row>
    <row r="115" ht="15.75" customHeight="1" s="1">
      <c r="B115" s="11" t="n"/>
      <c r="C115" s="13" t="n"/>
      <c r="D115" s="10" t="n"/>
      <c r="E115" s="11" t="n"/>
      <c r="F115" s="9" t="n"/>
      <c r="G115" s="10" t="n"/>
      <c r="H115" s="11" t="n"/>
      <c r="I115" s="13" t="n"/>
      <c r="J115" s="10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</row>
    <row r="116" ht="15.75" customHeight="1" s="1">
      <c r="B116" s="14" t="n"/>
      <c r="C116" s="15" t="n"/>
      <c r="D116" s="16" t="n"/>
      <c r="E116" s="14" t="n"/>
      <c r="F116" s="15" t="n"/>
      <c r="G116" s="16" t="n"/>
      <c r="H116" s="14" t="n"/>
      <c r="I116" s="15" t="n"/>
      <c r="J116" s="16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</row>
  </sheetData>
  <mergeCells count="1">
    <mergeCell ref="D1:V1"/>
  </mergeCells>
  <dataValidations count="2">
    <dataValidation sqref="C1" showDropDown="0" showInputMessage="0" showErrorMessage="0" allowBlank="0" type="list">
      <formula1>"1,2,3,4,5,6,7,8,9,10,11,12"</formula1>
      <formula2>0</formula2>
    </dataValidation>
    <dataValidation sqref="D3:D136 G3:G136 J3:J136 M3:M136 P3:P136 S3:S136 V3:V136" showDropDown="0" showInputMessage="0" showErrorMessage="0" allowBlank="1" type="list">
      <formula1>"Trend,Media,About,Data,People"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27"/>
  <sheetViews>
    <sheetView showGridLines="0" zoomScaleNormal="100" workbookViewId="0">
      <selection activeCell="F23" sqref="F23"/>
    </sheetView>
  </sheetViews>
  <sheetFormatPr baseColWidth="8" defaultColWidth="8.6640625" defaultRowHeight="14.4"/>
  <cols>
    <col width="1.5546875" customWidth="1" style="1" min="1" max="1"/>
    <col width="16" customWidth="1" style="1" min="2" max="2"/>
    <col width="12" customWidth="1" style="1" min="3" max="3"/>
    <col width="3.33203125" customWidth="1" style="1" min="4" max="4"/>
    <col width="20" customWidth="1" style="1" min="5" max="5"/>
    <col width="10" customWidth="1" style="1" min="6" max="6"/>
    <col width="3" customWidth="1" style="1" min="7" max="7"/>
    <col width="11.77734375" customWidth="1" style="1" min="8" max="8"/>
    <col width="52.5546875" customWidth="1" style="1" min="11" max="11"/>
  </cols>
  <sheetData>
    <row r="1" ht="27.75" customHeight="1" s="1">
      <c r="B1" s="128" t="inlineStr">
        <is>
          <t>7월 데이터</t>
        </is>
      </c>
    </row>
    <row r="2" ht="18.6" customHeight="1" s="1" thickBot="1"/>
    <row r="3" ht="19.5" customHeight="1" s="1">
      <c r="B3" s="127" t="inlineStr">
        <is>
          <t>월간 방문 분석</t>
        </is>
      </c>
      <c r="C3" s="151" t="n"/>
      <c r="E3" s="127" t="inlineStr">
        <is>
          <t>유입분석</t>
        </is>
      </c>
      <c r="F3" s="151" t="n"/>
      <c r="H3" s="144" t="inlineStr">
        <is>
          <t>순위</t>
        </is>
      </c>
      <c r="I3" s="133" t="inlineStr">
        <is>
          <t>인기게시물 Top 10</t>
        </is>
      </c>
      <c r="J3" s="152" t="n"/>
      <c r="K3" s="152" t="n"/>
      <c r="L3" s="45" t="inlineStr">
        <is>
          <t>조회수</t>
        </is>
      </c>
    </row>
    <row r="4" ht="16.5" customHeight="1" s="1">
      <c r="B4" s="22" t="inlineStr">
        <is>
          <t>조회수</t>
        </is>
      </c>
      <c r="C4" s="33" t="n">
        <v>1815</v>
      </c>
      <c r="E4" s="24" t="inlineStr">
        <is>
          <t>네이버 블로그_PC</t>
        </is>
      </c>
      <c r="F4" s="34" t="n">
        <v>0.4033</v>
      </c>
      <c r="H4" s="30" t="n">
        <v>1</v>
      </c>
      <c r="I4" s="134" t="inlineStr">
        <is>
          <t xml:space="preserve">격주 DMCian l AI 활용 경진대회 'D.match 2026' 비공식 상품 = 수상팀·수상자 인터뷰 </t>
        </is>
      </c>
      <c r="J4" s="150" t="n"/>
      <c r="K4" s="153" t="n"/>
      <c r="L4" s="145" t="n">
        <v>120</v>
      </c>
    </row>
    <row r="5" ht="16.5" customHeight="1" s="1">
      <c r="B5" s="8" t="inlineStr">
        <is>
          <t>순방문자수</t>
        </is>
      </c>
      <c r="C5" s="25" t="n">
        <v>787</v>
      </c>
      <c r="E5" s="11" t="inlineStr">
        <is>
          <t>네이버 통합검색_모바일</t>
        </is>
      </c>
      <c r="F5" s="35" t="n">
        <v>0.1378</v>
      </c>
      <c r="H5" s="30" t="n">
        <v>2</v>
      </c>
      <c r="I5" s="135" t="inlineStr">
        <is>
          <t>스티커 1개가 만드는 반복구매의 비밀! 2026월드컵 앞둔 코카콜라 마케팅 전략 분석</t>
        </is>
      </c>
      <c r="J5" s="150" t="n"/>
      <c r="K5" s="153" t="n"/>
      <c r="L5" s="146" t="n">
        <v>113</v>
      </c>
    </row>
    <row r="6" ht="16.5" customHeight="1" s="1">
      <c r="B6" s="22" t="inlineStr">
        <is>
          <t>방문횟수</t>
        </is>
      </c>
      <c r="C6" s="33" t="n">
        <v>1015</v>
      </c>
      <c r="E6" s="24" t="inlineStr">
        <is>
          <t>gw.dmcmedia.co.kr</t>
        </is>
      </c>
      <c r="F6" s="34" t="n">
        <v>0.1359</v>
      </c>
      <c r="H6" s="30" t="n">
        <v>3</v>
      </c>
      <c r="I6" s="136" t="inlineStr">
        <is>
          <t>디엠씨미디어 창립 24주년 기념행사 현장 스케치 + D.match 2026 시상식</t>
        </is>
      </c>
      <c r="J6" s="150" t="n"/>
      <c r="K6" s="153" t="n"/>
      <c r="L6" s="145" t="n">
        <v>104</v>
      </c>
    </row>
    <row r="7" ht="16.5" customHeight="1" s="1">
      <c r="B7" s="8" t="inlineStr">
        <is>
          <t>재방문율</t>
        </is>
      </c>
      <c r="C7" s="35" t="n">
        <v>0.149</v>
      </c>
      <c r="E7" s="11" t="inlineStr">
        <is>
          <t>네이버 통합검색_PC</t>
        </is>
      </c>
      <c r="F7" s="35" t="n">
        <v>0.104</v>
      </c>
      <c r="H7" s="30" t="n">
        <v>4</v>
      </c>
      <c r="I7" s="135" t="inlineStr">
        <is>
          <t>격주 DMCian l 회사에서 AI 활용 경진대회를 연다면 이렇게 하면 되...'D.match 2026' 비하인드</t>
        </is>
      </c>
      <c r="J7" s="150" t="n"/>
      <c r="K7" s="153" t="n"/>
      <c r="L7" s="146" t="n">
        <v>90</v>
      </c>
    </row>
    <row r="8" ht="16.5" customHeight="1" s="1" thickBot="1">
      <c r="B8" s="26" t="inlineStr">
        <is>
          <t>평균사용시간</t>
        </is>
      </c>
      <c r="C8" s="27" t="inlineStr">
        <is>
          <t>4m 0s</t>
        </is>
      </c>
      <c r="E8" s="28" t="inlineStr">
        <is>
          <t>www.dmcmedia.co.kr</t>
        </is>
      </c>
      <c r="F8" s="37" t="n">
        <v>0.06</v>
      </c>
      <c r="H8" s="30" t="n">
        <v>5</v>
      </c>
      <c r="I8" s="136" t="inlineStr">
        <is>
          <t>격주 DMCian | 고민은 RED! 도전은 GREEN! 도가니 사리지 않고 디엠씨미디어에서 새롭게 시작한 세사람</t>
        </is>
      </c>
      <c r="J8" s="150" t="n"/>
      <c r="K8" s="153" t="n"/>
      <c r="L8" s="145" t="n">
        <v>83</v>
      </c>
    </row>
    <row r="9" ht="17.4" customHeight="1" s="1" thickBot="1">
      <c r="H9" s="30" t="n">
        <v>6</v>
      </c>
      <c r="I9" s="135" t="inlineStr">
        <is>
          <t>AI 기술로 진화한 네이티브 광고 플랫폼 '타불라' 핵심 요약</t>
        </is>
      </c>
      <c r="J9" s="150" t="n"/>
      <c r="K9" s="153" t="n"/>
      <c r="L9" s="146" t="n">
        <v>74</v>
      </c>
    </row>
    <row r="10" ht="19.5" customHeight="1" s="1">
      <c r="B10" s="127" t="inlineStr">
        <is>
          <t>월간조회수 추이</t>
        </is>
      </c>
      <c r="C10" s="151" t="n"/>
      <c r="E10" s="127" t="inlineStr">
        <is>
          <t>기기별 분포</t>
        </is>
      </c>
      <c r="F10" s="151" t="n"/>
      <c r="H10" s="30" t="n">
        <v>7</v>
      </c>
      <c r="I10" s="136" t="inlineStr">
        <is>
          <t>디엠씨미디어, 실행을 잇는 D.Frame으로 통합그로스 마케팅 전략 제시</t>
        </is>
      </c>
      <c r="J10" s="150" t="n"/>
      <c r="K10" s="153" t="n"/>
      <c r="L10" s="145" t="n">
        <v>50</v>
      </c>
    </row>
    <row r="11" ht="18" customHeight="1" s="1">
      <c r="B11" s="11" t="inlineStr">
        <is>
          <t>2026.03</t>
        </is>
      </c>
      <c r="C11" s="38" t="n">
        <v>2216</v>
      </c>
      <c r="E11" s="22" t="inlineStr">
        <is>
          <t>모바일</t>
        </is>
      </c>
      <c r="F11" s="23" t="n">
        <v>25.4</v>
      </c>
      <c r="H11" s="30" t="n">
        <v>8</v>
      </c>
      <c r="I11" s="135" t="inlineStr">
        <is>
          <t>스크린을 뚫고 나온 아이돌?! '트라이앵글'과 '미각보이즈'로 보는 세계관 현실화 마케팅</t>
        </is>
      </c>
      <c r="J11" s="150" t="n"/>
      <c r="K11" s="153" t="n"/>
      <c r="L11" s="147" t="n">
        <v>36</v>
      </c>
    </row>
    <row r="12" ht="19.2" customHeight="1" s="1" thickBot="1">
      <c r="B12" s="40" t="inlineStr">
        <is>
          <t>2026.04</t>
        </is>
      </c>
      <c r="C12" s="41" t="n">
        <v>1835</v>
      </c>
      <c r="E12" s="14" t="inlineStr">
        <is>
          <t>PC</t>
        </is>
      </c>
      <c r="F12" s="29" t="n">
        <v>74.59999999999999</v>
      </c>
      <c r="H12" s="30" t="n">
        <v>9</v>
      </c>
      <c r="I12" s="136" t="inlineStr">
        <is>
          <t>격주 DMCian l "성장 야호~" 업무 적응 종료→폭풍 활약 준비가 한창인 디엠씨미디어의 루키들</t>
        </is>
      </c>
      <c r="J12" s="150" t="n"/>
      <c r="K12" s="153" t="n"/>
      <c r="L12" s="148" t="n">
        <v>35</v>
      </c>
    </row>
    <row r="13" ht="18" customHeight="1" s="1">
      <c r="B13" s="42" t="n">
        <v>2026.05</v>
      </c>
      <c r="C13" s="43" t="n">
        <v>1114</v>
      </c>
      <c r="E13" s="118" t="n"/>
      <c r="F13" s="119" t="n"/>
      <c r="H13" s="30" t="n">
        <v>10</v>
      </c>
      <c r="I13" s="137" t="inlineStr">
        <is>
          <t>디엠씨미디어의 사내 AI 활용 경진대회 'D.match 2026', 본선PT 현장 스케치</t>
        </is>
      </c>
      <c r="J13" s="154" t="n"/>
      <c r="K13" s="155" t="n"/>
      <c r="L13" s="149" t="n">
        <v>34</v>
      </c>
    </row>
    <row r="14" ht="19.5" customHeight="1" s="1" thickBot="1">
      <c r="B14" s="46" t="n">
        <v>2026.06</v>
      </c>
      <c r="C14" s="47" t="n">
        <v>1686</v>
      </c>
    </row>
    <row r="15" ht="16.5" customHeight="1" s="1" thickBot="1">
      <c r="B15" s="28" t="n">
        <v>2026.07</v>
      </c>
      <c r="C15" s="33" t="n">
        <v>1815</v>
      </c>
      <c r="E15" s="127" t="inlineStr">
        <is>
          <t>AI 브리핑 인용수</t>
        </is>
      </c>
      <c r="F15" s="151" t="n"/>
    </row>
    <row r="16" ht="16.5" customHeight="1" s="1" thickBot="1">
      <c r="E16" s="22" t="inlineStr">
        <is>
          <t>7월</t>
        </is>
      </c>
      <c r="F16" s="23" t="n"/>
    </row>
    <row r="17" ht="16.5" customHeight="1" s="1" thickBot="1">
      <c r="B17" s="127" t="inlineStr">
        <is>
          <t>유입 검색어</t>
        </is>
      </c>
      <c r="C17" s="151" t="n"/>
      <c r="E17" s="116" t="inlineStr">
        <is>
          <t>합계</t>
        </is>
      </c>
      <c r="F17" s="117" t="n"/>
    </row>
    <row r="18" ht="16.5" customHeight="1" s="1">
      <c r="B18" s="24" t="inlineStr">
        <is>
          <t>디엠씨미디어</t>
        </is>
      </c>
      <c r="C18" s="34" t="n">
        <v>0.1402</v>
      </c>
    </row>
    <row r="19" ht="16.5" customHeight="1" s="1">
      <c r="B19" s="11" t="inlineStr">
        <is>
          <t>타불라</t>
        </is>
      </c>
      <c r="C19" s="35" t="n">
        <v>0.0736</v>
      </c>
    </row>
    <row r="20" ht="16.5" customHeight="1" s="1">
      <c r="B20" s="24" t="inlineStr">
        <is>
          <t>타불라 광고</t>
        </is>
      </c>
      <c r="C20" s="34" t="n">
        <v>0.0207</v>
      </c>
    </row>
    <row r="21" ht="16.5" customHeight="1" s="1">
      <c r="B21" s="11" t="inlineStr">
        <is>
          <t>디엠씨미디어 면접</t>
        </is>
      </c>
      <c r="C21" s="35" t="n">
        <v>0.0184</v>
      </c>
    </row>
    <row r="22" ht="16.5" customHeight="1" s="1">
      <c r="B22" s="24" t="inlineStr">
        <is>
          <t>코카콜라 월드컵 스티커</t>
        </is>
      </c>
      <c r="C22" s="34" t="n">
        <v>0.0184</v>
      </c>
    </row>
    <row r="23" ht="16.5" customHeight="1" s="1">
      <c r="B23" s="11" t="inlineStr">
        <is>
          <t>디엠씨미디어 인턴</t>
        </is>
      </c>
      <c r="C23" s="35" t="n">
        <v>0.0161</v>
      </c>
    </row>
    <row r="24" ht="16.5" customHeight="1" s="1">
      <c r="B24" s="24" t="inlineStr">
        <is>
          <t>어드민나이트</t>
        </is>
      </c>
      <c r="C24" s="34" t="n">
        <v>0.0161</v>
      </c>
    </row>
    <row r="25" ht="16.5" customHeight="1" s="1">
      <c r="B25" s="11" t="inlineStr">
        <is>
          <t>코카콜라 파니니</t>
        </is>
      </c>
      <c r="C25" s="35" t="n">
        <v>0.0161</v>
      </c>
    </row>
    <row r="26" ht="16.5" customHeight="1" s="1">
      <c r="B26" s="24" t="inlineStr">
        <is>
          <t>jy.dmc</t>
        </is>
      </c>
      <c r="C26" s="34" t="n">
        <v>0.0138</v>
      </c>
    </row>
    <row r="27" ht="16.5" customHeight="1" s="1" thickBot="1">
      <c r="B27" s="14" t="inlineStr">
        <is>
          <t>디엠씨미디어 인턴 면접</t>
        </is>
      </c>
      <c r="C27" s="39" t="n">
        <v>0.0138</v>
      </c>
    </row>
  </sheetData>
  <mergeCells count="18">
    <mergeCell ref="I11:K11"/>
    <mergeCell ref="I10:K10"/>
    <mergeCell ref="I13:K13"/>
    <mergeCell ref="B1:N1"/>
    <mergeCell ref="B3:C3"/>
    <mergeCell ref="E10:F10"/>
    <mergeCell ref="I5:K5"/>
    <mergeCell ref="E15:F15"/>
    <mergeCell ref="I9:K9"/>
    <mergeCell ref="B10:C10"/>
    <mergeCell ref="I8:K8"/>
    <mergeCell ref="I12:K12"/>
    <mergeCell ref="I4:K4"/>
    <mergeCell ref="B17:C17"/>
    <mergeCell ref="I3:K3"/>
    <mergeCell ref="I7:K7"/>
    <mergeCell ref="E3:F3"/>
    <mergeCell ref="I6:K6"/>
  </mergeCells>
  <hyperlinks>
    <hyperlink xmlns:r="http://schemas.openxmlformats.org/officeDocument/2006/relationships" ref="I4" display="격주 DMCian l AI 활용 경진대회 'D.match 2026' 비공식 상품 = 수상팀·수상자 인터뷰 " r:id="rId1"/>
    <hyperlink xmlns:r="http://schemas.openxmlformats.org/officeDocument/2006/relationships" ref="I5" display="스티커 1개가 만드는 반복구매의 비밀! 2026월드컵 앞둔 코카콜라 마케팅 전략 분석" r:id="rId2"/>
    <hyperlink xmlns:r="http://schemas.openxmlformats.org/officeDocument/2006/relationships" ref="I6" display="디엠씨미디어 창립 24주년 기념행사 현장 스케치 + D.match 2026 시상식" r:id="rId3"/>
    <hyperlink xmlns:r="http://schemas.openxmlformats.org/officeDocument/2006/relationships" ref="I7" display="격주 DMCian l 회사에서 AI 활용 경진대회를 연다면 이렇게 하면 되...'D.match 2026' 비하인드" r:id="rId4"/>
    <hyperlink xmlns:r="http://schemas.openxmlformats.org/officeDocument/2006/relationships" ref="I8" display="격주 DMCian | 고민은 RED! 도전은 GREEN! 도가니 사리지 않고 디엠씨미디어에서 새롭게 시작한 세사람" r:id="rId5"/>
    <hyperlink xmlns:r="http://schemas.openxmlformats.org/officeDocument/2006/relationships" ref="I9" display="AI 기술로 진화한 네이티브 광고 플랫폼 '타불라' 핵심 요약" r:id="rId6"/>
    <hyperlink xmlns:r="http://schemas.openxmlformats.org/officeDocument/2006/relationships" ref="I10" display="디엠씨미디어, 실행을 잇는 D.Frame으로 통합그로스 마케팅 전략 제시" r:id="rId7"/>
    <hyperlink xmlns:r="http://schemas.openxmlformats.org/officeDocument/2006/relationships" ref="I11" display="스크린을 뚫고 나온 아이돌?! '트라이앵글'과 '미각보이즈'로 보는 세계관 현실화 마케팅" r:id="rId8"/>
    <hyperlink xmlns:r="http://schemas.openxmlformats.org/officeDocument/2006/relationships" ref="I12" display="격주 DMCian l &quot;성장 야호~&quot; 업무 적응 종료→폭풍 활약 준비가 한창인 디엠씨미디어의 루키들" r:id="rId9"/>
    <hyperlink xmlns:r="http://schemas.openxmlformats.org/officeDocument/2006/relationships" ref="I13" display="디엠씨미디어의 사내 AI 활용 경진대회 'D.match 2026', 본선PT 현장 스케치" r:id="rId10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5"/>
  <sheetViews>
    <sheetView zoomScaleNormal="100" workbookViewId="0">
      <selection activeCell="C28" sqref="C28"/>
    </sheetView>
  </sheetViews>
  <sheetFormatPr baseColWidth="8" defaultColWidth="8.6640625" defaultRowHeight="14.4"/>
  <cols>
    <col width="16" customWidth="1" style="1" min="1" max="1"/>
    <col width="10" customWidth="1" style="1" min="2" max="2"/>
    <col width="46" customWidth="1" style="1" min="3" max="3"/>
    <col width="10" customWidth="1" style="1" min="4" max="6"/>
  </cols>
  <sheetData>
    <row r="1" ht="19.5" customHeight="1" s="1">
      <c r="A1" s="2" t="inlineStr">
        <is>
          <t>카테고리</t>
        </is>
      </c>
      <c r="B1" s="2" t="inlineStr">
        <is>
          <t>날짜</t>
        </is>
      </c>
      <c r="C1" s="2" t="inlineStr">
        <is>
          <t>키워드</t>
        </is>
      </c>
      <c r="D1" s="2" t="inlineStr">
        <is>
          <t>비중(%)</t>
        </is>
      </c>
      <c r="E1" s="2" t="inlineStr">
        <is>
          <t>환산 횟수</t>
        </is>
      </c>
      <c r="F1" s="2" t="inlineStr">
        <is>
          <t>섹션</t>
        </is>
      </c>
    </row>
    <row r="2" ht="15.75" customHeight="1" s="1">
      <c r="A2" s="156" t="inlineStr">
        <is>
          <t>디엠씨미디어</t>
        </is>
      </c>
      <c r="B2" s="156" t="inlineStr">
        <is>
          <t>7월 1일</t>
        </is>
      </c>
      <c r="C2" s="156" t="inlineStr">
        <is>
          <t>디엠씨미디어 면접</t>
        </is>
      </c>
      <c r="D2" s="156" t="inlineStr">
        <is>
          <t>5.77%</t>
        </is>
      </c>
      <c r="E2" s="156" t="n">
        <v>3</v>
      </c>
      <c r="F2" s="157" t="inlineStr">
        <is>
          <t>People</t>
        </is>
      </c>
    </row>
    <row r="3" ht="15.75" customHeight="1" s="1">
      <c r="A3" s="156" t="inlineStr">
        <is>
          <t>디엠씨미디어</t>
        </is>
      </c>
      <c r="B3" s="156" t="inlineStr">
        <is>
          <t>7월 1일</t>
        </is>
      </c>
      <c r="C3" s="156" t="inlineStr">
        <is>
          <t>디엠씨미디어</t>
        </is>
      </c>
      <c r="D3" s="156" t="inlineStr">
        <is>
          <t>3.85%</t>
        </is>
      </c>
      <c r="E3" s="156" t="n">
        <v>2</v>
      </c>
      <c r="F3" s="158" t="inlineStr">
        <is>
          <t>About</t>
        </is>
      </c>
    </row>
    <row r="4" ht="15.75" customHeight="1" s="1">
      <c r="A4" s="156" t="inlineStr">
        <is>
          <t>디엠씨미디어</t>
        </is>
      </c>
      <c r="B4" s="156" t="inlineStr">
        <is>
          <t>7월 1일</t>
        </is>
      </c>
      <c r="C4" s="156" t="inlineStr">
        <is>
          <t>디엠씨미디어 창립</t>
        </is>
      </c>
      <c r="D4" s="156" t="inlineStr">
        <is>
          <t>1.92%</t>
        </is>
      </c>
      <c r="E4" s="156" t="n">
        <v>1</v>
      </c>
      <c r="F4" s="158" t="inlineStr">
        <is>
          <t>About</t>
        </is>
      </c>
    </row>
    <row r="5" ht="15.75" customHeight="1" s="1">
      <c r="A5" s="156" t="inlineStr">
        <is>
          <t>디엠씨미디어</t>
        </is>
      </c>
      <c r="B5" s="156" t="inlineStr">
        <is>
          <t>7월 1일</t>
        </is>
      </c>
      <c r="C5" s="156" t="inlineStr">
        <is>
          <t>창립기념일 행사 이벤트 아이디어</t>
        </is>
      </c>
      <c r="D5" s="156" t="inlineStr">
        <is>
          <t>1.92%</t>
        </is>
      </c>
      <c r="E5" s="156" t="n">
        <v>1</v>
      </c>
      <c r="F5" s="158" t="inlineStr">
        <is>
          <t>About</t>
        </is>
      </c>
    </row>
    <row r="6" ht="15.75" customHeight="1" s="1">
      <c r="A6" s="156" t="inlineStr">
        <is>
          <t>디엠씨미디어</t>
        </is>
      </c>
      <c r="B6" s="156" t="inlineStr">
        <is>
          <t>7월 1일</t>
        </is>
      </c>
      <c r="C6" s="156" t="inlineStr">
        <is>
          <t>디엠씨미디어</t>
        </is>
      </c>
      <c r="D6" s="156" t="inlineStr">
        <is>
          <t>1.92%</t>
        </is>
      </c>
      <c r="E6" s="156" t="n">
        <v>1</v>
      </c>
      <c r="F6" s="158" t="inlineStr">
        <is>
          <t>About</t>
        </is>
      </c>
    </row>
    <row r="7" ht="15.75" customHeight="1" s="1">
      <c r="A7" s="156" t="inlineStr">
        <is>
          <t>디엠씨미디어</t>
        </is>
      </c>
      <c r="B7" s="156" t="inlineStr">
        <is>
          <t>7월 2일</t>
        </is>
      </c>
      <c r="C7" s="156" t="inlineStr">
        <is>
          <t>디엠씨미디어 면접</t>
        </is>
      </c>
      <c r="D7" s="156" t="inlineStr">
        <is>
          <t>2.90%</t>
        </is>
      </c>
      <c r="E7" s="156" t="n">
        <v>2</v>
      </c>
      <c r="F7" s="157" t="inlineStr">
        <is>
          <t>People</t>
        </is>
      </c>
    </row>
    <row r="8" ht="15.75" customHeight="1" s="1">
      <c r="A8" s="156" t="inlineStr">
        <is>
          <t>디엠씨미디어</t>
        </is>
      </c>
      <c r="B8" s="156" t="inlineStr">
        <is>
          <t>7월 2일</t>
        </is>
      </c>
      <c r="C8" s="156" t="inlineStr">
        <is>
          <t>dmc 이준희</t>
        </is>
      </c>
      <c r="D8" s="156" t="inlineStr">
        <is>
          <t>1.45%</t>
        </is>
      </c>
      <c r="E8" s="156" t="n">
        <v>1</v>
      </c>
      <c r="F8" s="158" t="inlineStr">
        <is>
          <t>About</t>
        </is>
      </c>
    </row>
    <row r="9" ht="15.75" customHeight="1" s="1">
      <c r="A9" s="156" t="inlineStr">
        <is>
          <t>디엠씨미디어</t>
        </is>
      </c>
      <c r="B9" s="156" t="inlineStr">
        <is>
          <t>7월 2일</t>
        </is>
      </c>
      <c r="C9" s="156" t="inlineStr">
        <is>
          <t>디엠씨미디어 재무회계</t>
        </is>
      </c>
      <c r="D9" s="156" t="inlineStr">
        <is>
          <t>1.45%</t>
        </is>
      </c>
      <c r="E9" s="156" t="n">
        <v>1</v>
      </c>
      <c r="F9" s="158" t="inlineStr">
        <is>
          <t>About</t>
        </is>
      </c>
    </row>
    <row r="10" ht="15.75" customHeight="1" s="1">
      <c r="A10" s="156" t="inlineStr">
        <is>
          <t>디엠씨미디어</t>
        </is>
      </c>
      <c r="B10" s="156" t="inlineStr">
        <is>
          <t>7월 2일</t>
        </is>
      </c>
      <c r="C10" s="156" t="inlineStr">
        <is>
          <t>창립기념축사</t>
        </is>
      </c>
      <c r="D10" s="156" t="inlineStr">
        <is>
          <t>1.45%</t>
        </is>
      </c>
      <c r="E10" s="156" t="n">
        <v>1</v>
      </c>
      <c r="F10" s="158" t="inlineStr">
        <is>
          <t>About</t>
        </is>
      </c>
    </row>
    <row r="11" ht="15.75" customHeight="1" s="1">
      <c r="A11" s="156" t="inlineStr">
        <is>
          <t>디엠씨미디어</t>
        </is>
      </c>
      <c r="B11" s="156" t="inlineStr">
        <is>
          <t>7월 3일</t>
        </is>
      </c>
      <c r="C11" s="156" t="inlineStr">
        <is>
          <t>디엠씨미디어</t>
        </is>
      </c>
      <c r="D11" s="156" t="inlineStr">
        <is>
          <t>3.57%</t>
        </is>
      </c>
      <c r="E11" s="156" t="n">
        <v>1</v>
      </c>
      <c r="F11" s="158" t="inlineStr">
        <is>
          <t>About</t>
        </is>
      </c>
    </row>
    <row r="12" ht="15.75" customHeight="1" s="1">
      <c r="A12" s="156" t="inlineStr">
        <is>
          <t>디엠씨미디어</t>
        </is>
      </c>
      <c r="B12" s="156" t="inlineStr">
        <is>
          <t>7월 6일</t>
        </is>
      </c>
      <c r="C12" s="156" t="inlineStr">
        <is>
          <t>디엠씨미디어</t>
        </is>
      </c>
      <c r="D12" s="156" t="inlineStr">
        <is>
          <t>7.58%</t>
        </is>
      </c>
      <c r="E12" s="156" t="n">
        <v>5</v>
      </c>
      <c r="F12" s="158" t="inlineStr">
        <is>
          <t>About</t>
        </is>
      </c>
    </row>
    <row r="13" ht="15.75" customHeight="1" s="1">
      <c r="A13" s="156" t="inlineStr">
        <is>
          <t>디엠씨미디어</t>
        </is>
      </c>
      <c r="B13" s="156" t="inlineStr">
        <is>
          <t>7월 6일</t>
        </is>
      </c>
      <c r="C13" s="156" t="inlineStr">
        <is>
          <t>사내 AI 경진대회</t>
        </is>
      </c>
      <c r="D13" s="156" t="inlineStr">
        <is>
          <t>1.52%</t>
        </is>
      </c>
      <c r="E13" s="156" t="n">
        <v>1</v>
      </c>
      <c r="F13" s="157" t="inlineStr">
        <is>
          <t>People</t>
        </is>
      </c>
    </row>
    <row r="14" ht="15.75" customHeight="1" s="1">
      <c r="A14" s="156" t="inlineStr">
        <is>
          <t>디엠씨미디어</t>
        </is>
      </c>
      <c r="B14" s="156" t="inlineStr">
        <is>
          <t>7월 6일</t>
        </is>
      </c>
      <c r="C14" s="156" t="inlineStr">
        <is>
          <t>디엠씨미디어 커머스산업</t>
        </is>
      </c>
      <c r="D14" s="156" t="inlineStr">
        <is>
          <t>1.52%</t>
        </is>
      </c>
      <c r="E14" s="156" t="n">
        <v>1</v>
      </c>
      <c r="F14" s="158" t="inlineStr">
        <is>
          <t>About</t>
        </is>
      </c>
    </row>
    <row r="15" ht="15.75" customHeight="1" s="1">
      <c r="A15" s="156" t="inlineStr">
        <is>
          <t>디엠씨미디어</t>
        </is>
      </c>
      <c r="B15" s="156" t="inlineStr">
        <is>
          <t>7월 8일</t>
        </is>
      </c>
      <c r="C15" s="156" t="inlineStr">
        <is>
          <t>디엠씨미디어</t>
        </is>
      </c>
      <c r="D15" s="156" t="inlineStr">
        <is>
          <t>2.97%</t>
        </is>
      </c>
      <c r="E15" s="156" t="n">
        <v>3</v>
      </c>
      <c r="F15" s="158" t="inlineStr">
        <is>
          <t>About</t>
        </is>
      </c>
    </row>
    <row r="16" ht="15.75" customHeight="1" s="1">
      <c r="A16" s="156" t="inlineStr">
        <is>
          <t>디엠씨미디어</t>
        </is>
      </c>
      <c r="B16" s="156" t="inlineStr">
        <is>
          <t>7월 8일</t>
        </is>
      </c>
      <c r="C16" s="156" t="inlineStr">
        <is>
          <t>(주)디엠씨미디어</t>
        </is>
      </c>
      <c r="D16" s="156" t="inlineStr">
        <is>
          <t>0.99%</t>
        </is>
      </c>
      <c r="E16" s="156" t="n">
        <v>1</v>
      </c>
      <c r="F16" s="158" t="inlineStr">
        <is>
          <t>About</t>
        </is>
      </c>
    </row>
    <row r="17" ht="15.75" customHeight="1" s="1">
      <c r="A17" s="156" t="inlineStr">
        <is>
          <t>디엠씨미디어</t>
        </is>
      </c>
      <c r="B17" s="156" t="inlineStr">
        <is>
          <t>7월 8일</t>
        </is>
      </c>
      <c r="C17" s="156" t="inlineStr">
        <is>
          <t>디엠씨미디어</t>
        </is>
      </c>
      <c r="D17" s="156" t="inlineStr">
        <is>
          <t>0.99%</t>
        </is>
      </c>
      <c r="E17" s="156" t="n">
        <v>1</v>
      </c>
      <c r="F17" s="158" t="inlineStr">
        <is>
          <t>About</t>
        </is>
      </c>
    </row>
    <row r="18" ht="15.75" customHeight="1" s="1">
      <c r="A18" s="156" t="inlineStr">
        <is>
          <t>디엠씨미디어</t>
        </is>
      </c>
      <c r="B18" s="156" t="inlineStr">
        <is>
          <t>7월 8일</t>
        </is>
      </c>
      <c r="C18" s="156" t="inlineStr">
        <is>
          <t>디엠씨미디어 블로그</t>
        </is>
      </c>
      <c r="D18" s="156" t="inlineStr">
        <is>
          <t>0.99%</t>
        </is>
      </c>
      <c r="E18" s="156" t="n">
        <v>1</v>
      </c>
      <c r="F18" s="158" t="inlineStr">
        <is>
          <t>About</t>
        </is>
      </c>
    </row>
    <row r="19" ht="15.75" customHeight="1" s="1">
      <c r="A19" s="156" t="inlineStr">
        <is>
          <t>디엠씨미디어</t>
        </is>
      </c>
      <c r="B19" s="156" t="inlineStr">
        <is>
          <t>7월 8일</t>
        </is>
      </c>
      <c r="C19" s="156" t="inlineStr">
        <is>
          <t>디엠씨미디어</t>
        </is>
      </c>
      <c r="D19" s="156" t="inlineStr">
        <is>
          <t>1.98%</t>
        </is>
      </c>
      <c r="E19" s="156" t="n">
        <v>2</v>
      </c>
      <c r="F19" s="158" t="inlineStr">
        <is>
          <t>About</t>
        </is>
      </c>
    </row>
    <row r="20" ht="15.75" customHeight="1" s="1">
      <c r="A20" s="156" t="inlineStr">
        <is>
          <t>디엠씨미디어</t>
        </is>
      </c>
      <c r="B20" s="156" t="inlineStr">
        <is>
          <t>7월 8일</t>
        </is>
      </c>
      <c r="C20" s="156" t="inlineStr">
        <is>
          <t>디엠씨미디어</t>
        </is>
      </c>
      <c r="D20" s="156" t="inlineStr">
        <is>
          <t>1.98%</t>
        </is>
      </c>
      <c r="E20" s="156" t="n">
        <v>2</v>
      </c>
      <c r="F20" s="158" t="inlineStr">
        <is>
          <t>About</t>
        </is>
      </c>
    </row>
    <row r="21" ht="15.75" customHeight="1" s="1">
      <c r="A21" s="156" t="inlineStr">
        <is>
          <t>디엠씨미디어</t>
        </is>
      </c>
      <c r="B21" s="156" t="inlineStr">
        <is>
          <t>7월 9일</t>
        </is>
      </c>
      <c r="C21" s="156" t="inlineStr">
        <is>
          <t>jy.dmc</t>
        </is>
      </c>
      <c r="D21" s="156" t="inlineStr">
        <is>
          <t>2.70%</t>
        </is>
      </c>
      <c r="E21" s="156" t="n">
        <v>1</v>
      </c>
      <c r="F21" s="158" t="inlineStr">
        <is>
          <t>About</t>
        </is>
      </c>
    </row>
    <row r="22" ht="15.75" customHeight="1" s="1">
      <c r="A22" s="156" t="inlineStr">
        <is>
          <t>디엠씨미디어</t>
        </is>
      </c>
      <c r="B22" s="156" t="inlineStr">
        <is>
          <t>7월 9일</t>
        </is>
      </c>
      <c r="C22" s="156" t="inlineStr">
        <is>
          <t>사내 AI 경진대회</t>
        </is>
      </c>
      <c r="D22" s="156" t="inlineStr">
        <is>
          <t>2.70%</t>
        </is>
      </c>
      <c r="E22" s="156" t="n">
        <v>1</v>
      </c>
      <c r="F22" s="158" t="inlineStr">
        <is>
          <t>About</t>
        </is>
      </c>
    </row>
    <row r="23" ht="15.75" customHeight="1" s="1">
      <c r="A23" s="156" t="inlineStr">
        <is>
          <t>디엠씨미디어</t>
        </is>
      </c>
      <c r="B23" s="156" t="inlineStr">
        <is>
          <t>7월 9일</t>
        </is>
      </c>
      <c r="C23" s="156" t="inlineStr">
        <is>
          <t>창립기념 행사</t>
        </is>
      </c>
      <c r="D23" s="156" t="inlineStr">
        <is>
          <t>2.70%</t>
        </is>
      </c>
      <c r="E23" s="156" t="n">
        <v>1</v>
      </c>
      <c r="F23" s="158" t="inlineStr">
        <is>
          <t>About</t>
        </is>
      </c>
    </row>
    <row r="24" ht="15.75" customHeight="1" s="1">
      <c r="A24" s="156" t="inlineStr">
        <is>
          <t>디엠씨미디어</t>
        </is>
      </c>
      <c r="B24" s="156" t="inlineStr">
        <is>
          <t>7월 10일</t>
        </is>
      </c>
      <c r="C24" s="156" t="inlineStr">
        <is>
          <t>jy.dmc</t>
        </is>
      </c>
      <c r="D24" s="156" t="inlineStr">
        <is>
          <t>4.26%</t>
        </is>
      </c>
      <c r="E24" s="156" t="n">
        <v>2</v>
      </c>
      <c r="F24" s="158" t="inlineStr">
        <is>
          <t>About</t>
        </is>
      </c>
    </row>
    <row r="25" ht="15.75" customHeight="1" s="1">
      <c r="A25" s="156" t="inlineStr">
        <is>
          <t>디엠씨미디어</t>
        </is>
      </c>
      <c r="B25" s="156" t="inlineStr">
        <is>
          <t>7월 10일</t>
        </is>
      </c>
      <c r="C25" s="156" t="inlineStr">
        <is>
          <t>디엠씨미디어</t>
        </is>
      </c>
      <c r="D25" s="156" t="inlineStr">
        <is>
          <t>4.26%</t>
        </is>
      </c>
      <c r="E25" s="156" t="n">
        <v>2</v>
      </c>
      <c r="F25" s="158" t="inlineStr">
        <is>
          <t>About</t>
        </is>
      </c>
    </row>
    <row r="26" ht="15.75" customHeight="1" s="1">
      <c r="A26" s="156" t="inlineStr">
        <is>
          <t>디엠씨미디어</t>
        </is>
      </c>
      <c r="B26" s="156" t="inlineStr">
        <is>
          <t>7월 10일</t>
        </is>
      </c>
      <c r="C26" s="156" t="inlineStr">
        <is>
          <t>창립기념일 현수막</t>
        </is>
      </c>
      <c r="D26" s="156" t="inlineStr">
        <is>
          <t>2.13%</t>
        </is>
      </c>
      <c r="E26" s="156" t="n">
        <v>1</v>
      </c>
      <c r="F26" s="158" t="inlineStr">
        <is>
          <t>About</t>
        </is>
      </c>
    </row>
    <row r="27" ht="15.75" customHeight="1" s="1">
      <c r="A27" s="156" t="inlineStr">
        <is>
          <t>디엠씨미디어</t>
        </is>
      </c>
      <c r="B27" s="156" t="inlineStr">
        <is>
          <t>7월 10일</t>
        </is>
      </c>
      <c r="C27" s="156" t="inlineStr">
        <is>
          <t>프로젝트 종료 리프레시 휴가</t>
        </is>
      </c>
      <c r="D27" s="156" t="inlineStr">
        <is>
          <t>2.13%</t>
        </is>
      </c>
      <c r="E27" s="156" t="n">
        <v>1</v>
      </c>
      <c r="F27" s="158" t="inlineStr">
        <is>
          <t>About</t>
        </is>
      </c>
    </row>
    <row r="28" ht="15.75" customHeight="1" s="1">
      <c r="A28" s="156" t="inlineStr">
        <is>
          <t>디엠씨미디어</t>
        </is>
      </c>
      <c r="B28" s="156" t="inlineStr">
        <is>
          <t>7월 10일</t>
        </is>
      </c>
      <c r="C28" s="156" t="inlineStr">
        <is>
          <t>사내ai경진대회</t>
        </is>
      </c>
      <c r="D28" s="156" t="inlineStr">
        <is>
          <t>4.26%</t>
        </is>
      </c>
      <c r="E28" s="156" t="n">
        <v>2</v>
      </c>
      <c r="F28" s="158" t="inlineStr">
        <is>
          <t>About</t>
        </is>
      </c>
    </row>
    <row r="29" ht="15.75" customHeight="1" s="1">
      <c r="A29" s="156" t="inlineStr">
        <is>
          <t>디엠씨미디어</t>
        </is>
      </c>
      <c r="B29" s="156" t="inlineStr">
        <is>
          <t>7월 10일</t>
        </is>
      </c>
      <c r="C29" s="156" t="inlineStr">
        <is>
          <t>디엠씨미디어</t>
        </is>
      </c>
      <c r="D29" s="156" t="inlineStr">
        <is>
          <t>2.13%</t>
        </is>
      </c>
      <c r="E29" s="156" t="n">
        <v>1</v>
      </c>
      <c r="F29" s="158" t="inlineStr">
        <is>
          <t>About</t>
        </is>
      </c>
    </row>
    <row r="30" ht="15.75" customHeight="1" s="1">
      <c r="A30" s="156" t="inlineStr">
        <is>
          <t>디엠씨미디어</t>
        </is>
      </c>
      <c r="B30" s="156" t="inlineStr">
        <is>
          <t>7월 11일</t>
        </is>
      </c>
      <c r="C30" s="156" t="inlineStr">
        <is>
          <t>디엠씨미디어</t>
        </is>
      </c>
      <c r="D30" s="156" t="inlineStr">
        <is>
          <t>4.76%</t>
        </is>
      </c>
      <c r="E30" s="156" t="n">
        <v>1</v>
      </c>
      <c r="F30" s="158" t="inlineStr">
        <is>
          <t>About</t>
        </is>
      </c>
    </row>
    <row r="31" ht="15.75" customHeight="1" s="1">
      <c r="A31" s="156" t="inlineStr">
        <is>
          <t>디엠씨미디어</t>
        </is>
      </c>
      <c r="B31" s="156" t="inlineStr">
        <is>
          <t>7월 11일</t>
        </is>
      </c>
      <c r="C31" s="156" t="inlineStr">
        <is>
          <t>디엠씨미디어 채용</t>
        </is>
      </c>
      <c r="D31" s="156" t="inlineStr">
        <is>
          <t>4.76%</t>
        </is>
      </c>
      <c r="E31" s="156" t="n">
        <v>1</v>
      </c>
      <c r="F31" s="157" t="inlineStr">
        <is>
          <t>People</t>
        </is>
      </c>
    </row>
    <row r="32">
      <c r="A32" s="159" t="inlineStr">
        <is>
          <t>디엠씨미디어</t>
        </is>
      </c>
      <c r="B32" s="159" t="inlineStr">
        <is>
          <t>7월 12일</t>
        </is>
      </c>
      <c r="C32" s="159" t="inlineStr">
        <is>
          <t>디엠씨미디어</t>
        </is>
      </c>
      <c r="D32" s="159" t="inlineStr">
        <is>
          <t>5.00%</t>
        </is>
      </c>
      <c r="E32" s="159" t="n">
        <v>1</v>
      </c>
      <c r="F32" s="160" t="inlineStr">
        <is>
          <t>About</t>
        </is>
      </c>
    </row>
    <row r="33">
      <c r="A33" s="159" t="inlineStr">
        <is>
          <t>디엠씨미디어</t>
        </is>
      </c>
      <c r="B33" s="159" t="inlineStr">
        <is>
          <t>7월 12일</t>
        </is>
      </c>
      <c r="C33" s="159" t="inlineStr">
        <is>
          <t>디엠씨미디어 면접</t>
        </is>
      </c>
      <c r="D33" s="159" t="inlineStr">
        <is>
          <t>5.00%</t>
        </is>
      </c>
      <c r="E33" s="159" t="n">
        <v>1</v>
      </c>
      <c r="F33" s="161" t="inlineStr">
        <is>
          <t>People</t>
        </is>
      </c>
    </row>
    <row r="34">
      <c r="A34" s="159" t="inlineStr">
        <is>
          <t>디엠씨미디어</t>
        </is>
      </c>
      <c r="B34" s="159" t="inlineStr">
        <is>
          <t>7월 13일</t>
        </is>
      </c>
      <c r="C34" s="159" t="inlineStr">
        <is>
          <t>창립기념일 행사 아이디어</t>
        </is>
      </c>
      <c r="D34" s="159" t="inlineStr">
        <is>
          <t>2.78%</t>
        </is>
      </c>
      <c r="E34" s="159" t="n">
        <v>1</v>
      </c>
      <c r="F34" s="160" t="inlineStr">
        <is>
          <t>About</t>
        </is>
      </c>
    </row>
    <row r="35">
      <c r="A35" s="159" t="inlineStr">
        <is>
          <t>디엠씨미디어</t>
        </is>
      </c>
      <c r="B35" s="159" t="inlineStr">
        <is>
          <t>7월 14일</t>
        </is>
      </c>
      <c r="C35" s="159" t="inlineStr">
        <is>
          <t>디엠씨미디어</t>
        </is>
      </c>
      <c r="D35" s="159" t="inlineStr">
        <is>
          <t>4.65%</t>
        </is>
      </c>
      <c r="E35" s="159" t="n">
        <v>2</v>
      </c>
      <c r="F35" s="160" t="inlineStr">
        <is>
          <t>About</t>
        </is>
      </c>
    </row>
    <row r="36">
      <c r="A36" s="159" t="inlineStr">
        <is>
          <t>디엠씨미디어</t>
        </is>
      </c>
      <c r="B36" s="159" t="inlineStr">
        <is>
          <t>7월 14일</t>
        </is>
      </c>
      <c r="C36" s="159" t="inlineStr">
        <is>
          <t>디엠씨미디어 면접</t>
        </is>
      </c>
      <c r="D36" s="159" t="inlineStr">
        <is>
          <t>4.65%</t>
        </is>
      </c>
      <c r="E36" s="159" t="n">
        <v>2</v>
      </c>
      <c r="F36" s="161" t="inlineStr">
        <is>
          <t>People</t>
        </is>
      </c>
    </row>
    <row r="37">
      <c r="A37" s="159" t="inlineStr">
        <is>
          <t>디엠씨미디어</t>
        </is>
      </c>
      <c r="B37" s="159" t="inlineStr">
        <is>
          <t>7월 14일</t>
        </is>
      </c>
      <c r="C37" s="159" t="inlineStr">
        <is>
          <t>디엠씨미디어 상장</t>
        </is>
      </c>
      <c r="D37" s="159" t="inlineStr">
        <is>
          <t>2.33%</t>
        </is>
      </c>
      <c r="E37" s="159" t="n">
        <v>1</v>
      </c>
      <c r="F37" s="161" t="inlineStr">
        <is>
          <t>People</t>
        </is>
      </c>
    </row>
    <row r="38">
      <c r="A38" s="159" t="inlineStr">
        <is>
          <t>디엠씨미디어</t>
        </is>
      </c>
      <c r="B38" s="159" t="inlineStr">
        <is>
          <t>7월 14일</t>
        </is>
      </c>
      <c r="C38" s="159" t="inlineStr">
        <is>
          <t>dmc미디어</t>
        </is>
      </c>
      <c r="D38" s="159" t="inlineStr">
        <is>
          <t>2.33%</t>
        </is>
      </c>
      <c r="E38" s="159" t="n">
        <v>1</v>
      </c>
      <c r="F38" s="160" t="inlineStr">
        <is>
          <t>About</t>
        </is>
      </c>
    </row>
    <row r="39">
      <c r="A39" s="159" t="inlineStr">
        <is>
          <t>디엠씨미디어</t>
        </is>
      </c>
      <c r="B39" s="159" t="inlineStr">
        <is>
          <t>7월 14일</t>
        </is>
      </c>
      <c r="C39" s="159" t="inlineStr">
        <is>
          <t>디엠씨미디어</t>
        </is>
      </c>
      <c r="D39" s="159" t="inlineStr">
        <is>
          <t>2.33%</t>
        </is>
      </c>
      <c r="E39" s="159" t="n">
        <v>1</v>
      </c>
      <c r="F39" s="160" t="inlineStr">
        <is>
          <t>About</t>
        </is>
      </c>
    </row>
    <row r="40">
      <c r="A40" s="159" t="inlineStr">
        <is>
          <t>디엠씨미디어</t>
        </is>
      </c>
      <c r="B40" s="159" t="inlineStr">
        <is>
          <t>7월 14일</t>
        </is>
      </c>
      <c r="C40" s="159" t="inlineStr">
        <is>
          <t>사내 AI 대회</t>
        </is>
      </c>
      <c r="D40" s="159" t="inlineStr">
        <is>
          <t>2.33%</t>
        </is>
      </c>
      <c r="E40" s="159" t="n">
        <v>1</v>
      </c>
      <c r="F40" s="161" t="inlineStr">
        <is>
          <t>People</t>
        </is>
      </c>
    </row>
    <row r="41">
      <c r="A41" s="159" t="inlineStr">
        <is>
          <t>디엠씨미디어</t>
        </is>
      </c>
      <c r="B41" s="159" t="inlineStr">
        <is>
          <t>7월 14일</t>
        </is>
      </c>
      <c r="C41" s="159" t="inlineStr">
        <is>
          <t>디엠씨미디어</t>
        </is>
      </c>
      <c r="D41" s="159" t="inlineStr">
        <is>
          <t>2.33%</t>
        </is>
      </c>
      <c r="E41" s="159" t="n">
        <v>1</v>
      </c>
      <c r="F41" s="160" t="inlineStr">
        <is>
          <t>About</t>
        </is>
      </c>
    </row>
    <row r="42">
      <c r="A42" s="159" t="inlineStr">
        <is>
          <t>디엠씨미디어</t>
        </is>
      </c>
      <c r="B42" s="159" t="inlineStr">
        <is>
          <t>7월 15일</t>
        </is>
      </c>
      <c r="C42" s="159" t="inlineStr">
        <is>
          <t>codex 대회</t>
        </is>
      </c>
      <c r="D42" s="159" t="inlineStr">
        <is>
          <t>1.23%</t>
        </is>
      </c>
      <c r="E42" s="159" t="n">
        <v>1</v>
      </c>
      <c r="F42" s="161" t="inlineStr">
        <is>
          <t>People</t>
        </is>
      </c>
    </row>
    <row r="43">
      <c r="A43" s="159" t="inlineStr">
        <is>
          <t>디엠씨미디어</t>
        </is>
      </c>
      <c r="B43" s="159" t="inlineStr">
        <is>
          <t>7월 15일</t>
        </is>
      </c>
      <c r="C43" s="159" t="inlineStr">
        <is>
          <t>디엠씨미디어</t>
        </is>
      </c>
      <c r="D43" s="159" t="inlineStr">
        <is>
          <t>1.23%</t>
        </is>
      </c>
      <c r="E43" s="159" t="n">
        <v>1</v>
      </c>
      <c r="F43" s="160" t="inlineStr">
        <is>
          <t>About</t>
        </is>
      </c>
    </row>
    <row r="44">
      <c r="A44" s="159" t="inlineStr">
        <is>
          <t>디엠씨미디어</t>
        </is>
      </c>
      <c r="B44" s="159" t="inlineStr">
        <is>
          <t>7월 16일</t>
        </is>
      </c>
      <c r="C44" s="159" t="inlineStr">
        <is>
          <t>디엠씨미디어</t>
        </is>
      </c>
      <c r="D44" s="159" t="inlineStr">
        <is>
          <t>2.22%</t>
        </is>
      </c>
      <c r="E44" s="159" t="n">
        <v>1</v>
      </c>
      <c r="F44" s="160" t="inlineStr">
        <is>
          <t>About</t>
        </is>
      </c>
    </row>
    <row r="45">
      <c r="A45" s="159" t="inlineStr">
        <is>
          <t>디엠씨미디어</t>
        </is>
      </c>
      <c r="B45" s="159" t="inlineStr">
        <is>
          <t>7월 16일</t>
        </is>
      </c>
      <c r="C45" s="159" t="inlineStr">
        <is>
          <t>디엠씨미디어</t>
        </is>
      </c>
      <c r="D45" s="159" t="inlineStr">
        <is>
          <t>2.22%</t>
        </is>
      </c>
      <c r="E45" s="159" t="n">
        <v>1</v>
      </c>
      <c r="F45" s="160" t="inlineStr">
        <is>
          <t>About</t>
        </is>
      </c>
    </row>
    <row r="46">
      <c r="A46" s="159" t="inlineStr">
        <is>
          <t>디엠씨미디어</t>
        </is>
      </c>
      <c r="B46" s="159" t="inlineStr">
        <is>
          <t>7월 16일</t>
        </is>
      </c>
      <c r="C46" s="159" t="inlineStr">
        <is>
          <t>디엠씨미디어 인턴</t>
        </is>
      </c>
      <c r="D46" s="159" t="inlineStr">
        <is>
          <t>2.22%</t>
        </is>
      </c>
      <c r="E46" s="159" t="n">
        <v>1</v>
      </c>
      <c r="F46" s="161" t="inlineStr">
        <is>
          <t>People</t>
        </is>
      </c>
    </row>
    <row r="47">
      <c r="A47" s="159" t="inlineStr">
        <is>
          <t>디엠씨미디어</t>
        </is>
      </c>
      <c r="B47" s="159" t="inlineStr">
        <is>
          <t>7월 17일</t>
        </is>
      </c>
      <c r="C47" s="159" t="inlineStr">
        <is>
          <t>jy.dmc</t>
        </is>
      </c>
      <c r="D47" s="159" t="inlineStr">
        <is>
          <t>2.50%</t>
        </is>
      </c>
      <c r="E47" s="159" t="n">
        <v>1</v>
      </c>
      <c r="F47" s="160" t="inlineStr">
        <is>
          <t>About</t>
        </is>
      </c>
    </row>
    <row r="48">
      <c r="A48" s="159" t="inlineStr">
        <is>
          <t>디엠씨미디어</t>
        </is>
      </c>
      <c r="B48" s="159" t="inlineStr">
        <is>
          <t>7월 17일</t>
        </is>
      </c>
      <c r="C48" s="159" t="inlineStr">
        <is>
          <t>디엠씨미디어</t>
        </is>
      </c>
      <c r="D48" s="159" t="inlineStr">
        <is>
          <t>2.50%</t>
        </is>
      </c>
      <c r="E48" s="159" t="n">
        <v>1</v>
      </c>
      <c r="F48" s="160" t="inlineStr">
        <is>
          <t>About</t>
        </is>
      </c>
    </row>
    <row r="49">
      <c r="A49" s="159" t="inlineStr">
        <is>
          <t>디엠씨미디어</t>
        </is>
      </c>
      <c r="B49" s="159" t="inlineStr">
        <is>
          <t>7월 17일</t>
        </is>
      </c>
      <c r="C49" s="159" t="inlineStr">
        <is>
          <t>디엠씨미디어</t>
        </is>
      </c>
      <c r="D49" s="159" t="inlineStr">
        <is>
          <t>2.50%</t>
        </is>
      </c>
      <c r="E49" s="159" t="n">
        <v>1</v>
      </c>
      <c r="F49" s="160" t="inlineStr">
        <is>
          <t>About</t>
        </is>
      </c>
    </row>
    <row r="50">
      <c r="A50" s="159" t="inlineStr">
        <is>
          <t>디엠씨미디어</t>
        </is>
      </c>
      <c r="B50" s="159" t="inlineStr">
        <is>
          <t>7월 18일</t>
        </is>
      </c>
      <c r="C50" s="159" t="inlineStr">
        <is>
          <t>디엠씨미디어 인턴</t>
        </is>
      </c>
      <c r="D50" s="159" t="inlineStr">
        <is>
          <t>5.36%</t>
        </is>
      </c>
      <c r="E50" s="159" t="n">
        <v>3</v>
      </c>
      <c r="F50" s="160" t="inlineStr">
        <is>
          <t>About</t>
        </is>
      </c>
    </row>
    <row r="51">
      <c r="A51" s="159" t="inlineStr">
        <is>
          <t>디엠씨미디어</t>
        </is>
      </c>
      <c r="B51" s="159" t="inlineStr">
        <is>
          <t>7월 18일</t>
        </is>
      </c>
      <c r="C51" s="159" t="inlineStr">
        <is>
          <t>디엠씨미디어</t>
        </is>
      </c>
      <c r="D51" s="159" t="inlineStr">
        <is>
          <t>1.79%</t>
        </is>
      </c>
      <c r="E51" s="159" t="n">
        <v>1</v>
      </c>
      <c r="F51" s="160" t="inlineStr">
        <is>
          <t>About</t>
        </is>
      </c>
    </row>
    <row r="52">
      <c r="A52" s="159" t="inlineStr">
        <is>
          <t>디엠씨미디어</t>
        </is>
      </c>
      <c r="B52" s="159" t="inlineStr">
        <is>
          <t>7월 18일</t>
        </is>
      </c>
      <c r="C52" s="159" t="inlineStr">
        <is>
          <t>디엠씨미디어 복지</t>
        </is>
      </c>
      <c r="D52" s="159" t="inlineStr">
        <is>
          <t>1.79%</t>
        </is>
      </c>
      <c r="E52" s="159" t="n">
        <v>1</v>
      </c>
      <c r="F52" s="161" t="inlineStr">
        <is>
          <t>People</t>
        </is>
      </c>
    </row>
    <row r="53">
      <c r="A53" s="159" t="inlineStr">
        <is>
          <t>디엠씨미디어</t>
        </is>
      </c>
      <c r="B53" s="159" t="inlineStr">
        <is>
          <t>7월 18일</t>
        </is>
      </c>
      <c r="C53" s="159" t="inlineStr">
        <is>
          <t>dmc 미디어</t>
        </is>
      </c>
      <c r="D53" s="159" t="inlineStr">
        <is>
          <t>1.79%</t>
        </is>
      </c>
      <c r="E53" s="159" t="n">
        <v>1</v>
      </c>
      <c r="F53" s="160" t="inlineStr">
        <is>
          <t>About</t>
        </is>
      </c>
    </row>
    <row r="54">
      <c r="A54" s="159" t="inlineStr">
        <is>
          <t>디엠씨미디어</t>
        </is>
      </c>
      <c r="B54" s="159" t="inlineStr">
        <is>
          <t>7월 18일</t>
        </is>
      </c>
      <c r="C54" s="159" t="inlineStr">
        <is>
          <t>디엠씨미디어</t>
        </is>
      </c>
      <c r="D54" s="159" t="inlineStr">
        <is>
          <t>1.79%</t>
        </is>
      </c>
      <c r="E54" s="159" t="n">
        <v>1</v>
      </c>
      <c r="F54" s="160" t="inlineStr">
        <is>
          <t>About</t>
        </is>
      </c>
    </row>
    <row r="55">
      <c r="A55" s="159" t="inlineStr">
        <is>
          <t>디엠씨미디어</t>
        </is>
      </c>
      <c r="B55" s="159" t="inlineStr">
        <is>
          <t>7월 19일</t>
        </is>
      </c>
      <c r="C55" s="159" t="inlineStr">
        <is>
          <t>dmc미디어 이준희</t>
        </is>
      </c>
      <c r="D55" s="159" t="inlineStr">
        <is>
          <t>4.00%</t>
        </is>
      </c>
      <c r="E55" s="159" t="n">
        <v>1</v>
      </c>
      <c r="F55" s="160" t="inlineStr">
        <is>
          <t>About</t>
        </is>
      </c>
    </row>
    <row r="56">
      <c r="A56" s="159" t="inlineStr">
        <is>
          <t>디엠씨미디어</t>
        </is>
      </c>
      <c r="B56" s="159" t="inlineStr">
        <is>
          <t>7월 20일</t>
        </is>
      </c>
      <c r="C56" s="159" t="inlineStr">
        <is>
          <t>디엠씨미디어</t>
        </is>
      </c>
      <c r="D56" s="159" t="inlineStr">
        <is>
          <t>4.08%</t>
        </is>
      </c>
      <c r="E56" s="159" t="n">
        <v>4</v>
      </c>
      <c r="F56" s="160" t="inlineStr">
        <is>
          <t>About</t>
        </is>
      </c>
    </row>
    <row r="57">
      <c r="A57" s="159" t="inlineStr">
        <is>
          <t>디엠씨미디어</t>
        </is>
      </c>
      <c r="B57" s="159" t="inlineStr">
        <is>
          <t>7월 20일</t>
        </is>
      </c>
      <c r="C57" s="159" t="inlineStr">
        <is>
          <t>디엠씨미디어 인턴</t>
        </is>
      </c>
      <c r="D57" s="159" t="inlineStr">
        <is>
          <t>1.02%</t>
        </is>
      </c>
      <c r="E57" s="159" t="n">
        <v>1</v>
      </c>
      <c r="F57" s="160" t="inlineStr">
        <is>
          <t>About</t>
        </is>
      </c>
    </row>
    <row r="58">
      <c r="A58" s="159" t="inlineStr">
        <is>
          <t>디엠씨미디어</t>
        </is>
      </c>
      <c r="B58" s="159" t="inlineStr">
        <is>
          <t>7월 20일</t>
        </is>
      </c>
      <c r="C58" s="159" t="inlineStr">
        <is>
          <t>디엠씨미디어 채용전환</t>
        </is>
      </c>
      <c r="D58" s="159" t="inlineStr">
        <is>
          <t>1.02%</t>
        </is>
      </c>
      <c r="E58" s="159" t="n">
        <v>1</v>
      </c>
      <c r="F58" s="161" t="inlineStr">
        <is>
          <t>People</t>
        </is>
      </c>
    </row>
    <row r="59">
      <c r="A59" s="159" t="inlineStr">
        <is>
          <t>디엠씨미디어</t>
        </is>
      </c>
      <c r="B59" s="159" t="inlineStr">
        <is>
          <t>7월 20일</t>
        </is>
      </c>
      <c r="C59" s="159" t="inlineStr">
        <is>
          <t>창립기념 현수막</t>
        </is>
      </c>
      <c r="D59" s="159" t="inlineStr">
        <is>
          <t>1.02%</t>
        </is>
      </c>
      <c r="E59" s="159" t="n">
        <v>1</v>
      </c>
      <c r="F59" s="160" t="inlineStr">
        <is>
          <t>About</t>
        </is>
      </c>
    </row>
    <row r="60">
      <c r="A60" s="159" t="inlineStr">
        <is>
          <t>디엠씨미디어</t>
        </is>
      </c>
      <c r="B60" s="159" t="inlineStr">
        <is>
          <t>7월 21일</t>
        </is>
      </c>
      <c r="C60" s="159" t="inlineStr">
        <is>
          <t>dmc 태풍상사</t>
        </is>
      </c>
      <c r="D60" s="159" t="inlineStr">
        <is>
          <t>0.73%</t>
        </is>
      </c>
      <c r="E60" s="159" t="n">
        <v>1</v>
      </c>
      <c r="F60" s="162" t="inlineStr">
        <is>
          <t>Trend</t>
        </is>
      </c>
    </row>
    <row r="61">
      <c r="A61" s="159" t="inlineStr">
        <is>
          <t>디엠씨미디어</t>
        </is>
      </c>
      <c r="B61" s="159" t="inlineStr">
        <is>
          <t>7월 21일</t>
        </is>
      </c>
      <c r="C61" s="159" t="inlineStr">
        <is>
          <t>디엠씨미디어</t>
        </is>
      </c>
      <c r="D61" s="159" t="inlineStr">
        <is>
          <t>0.73%</t>
        </is>
      </c>
      <c r="E61" s="159" t="n">
        <v>1</v>
      </c>
      <c r="F61" s="160" t="inlineStr">
        <is>
          <t>About</t>
        </is>
      </c>
    </row>
    <row r="62">
      <c r="A62" s="159" t="inlineStr">
        <is>
          <t>디엠씨미디어</t>
        </is>
      </c>
      <c r="B62" s="159" t="inlineStr">
        <is>
          <t>7월 21일</t>
        </is>
      </c>
      <c r="C62" s="159" t="inlineStr">
        <is>
          <t>창립기념일 현수막</t>
        </is>
      </c>
      <c r="D62" s="159" t="inlineStr">
        <is>
          <t>0.73%</t>
        </is>
      </c>
      <c r="E62" s="159" t="n">
        <v>1</v>
      </c>
      <c r="F62" s="160" t="inlineStr">
        <is>
          <t>About</t>
        </is>
      </c>
    </row>
    <row r="63">
      <c r="A63" s="159" t="inlineStr">
        <is>
          <t>디엠씨미디어</t>
        </is>
      </c>
      <c r="B63" s="159" t="inlineStr">
        <is>
          <t>7월 21일</t>
        </is>
      </c>
      <c r="C63" s="159" t="inlineStr">
        <is>
          <t>창립기념현수막</t>
        </is>
      </c>
      <c r="D63" s="159" t="inlineStr">
        <is>
          <t>0.73%</t>
        </is>
      </c>
      <c r="E63" s="159" t="n">
        <v>1</v>
      </c>
      <c r="F63" s="160" t="inlineStr">
        <is>
          <t>About</t>
        </is>
      </c>
    </row>
    <row r="64">
      <c r="A64" s="159" t="inlineStr">
        <is>
          <t>디엠씨미디어</t>
        </is>
      </c>
      <c r="B64" s="159" t="inlineStr">
        <is>
          <t>7월 21일</t>
        </is>
      </c>
      <c r="C64" s="159" t="inlineStr">
        <is>
          <t>피그마 활용 경진대회</t>
        </is>
      </c>
      <c r="D64" s="159" t="inlineStr">
        <is>
          <t>0.73%</t>
        </is>
      </c>
      <c r="E64" s="159" t="n">
        <v>1</v>
      </c>
      <c r="F64" s="161" t="inlineStr">
        <is>
          <t>People</t>
        </is>
      </c>
    </row>
    <row r="65">
      <c r="A65" s="159" t="inlineStr">
        <is>
          <t>디엠씨미디어</t>
        </is>
      </c>
      <c r="B65" s="159" t="inlineStr">
        <is>
          <t>7월 21일</t>
        </is>
      </c>
      <c r="C65" s="159" t="inlineStr">
        <is>
          <t>디엠씨미디어 인턴 면접</t>
        </is>
      </c>
      <c r="D65" s="159" t="inlineStr">
        <is>
          <t>2.19%</t>
        </is>
      </c>
      <c r="E65" s="159" t="n">
        <v>3</v>
      </c>
      <c r="F65" s="161" t="inlineStr">
        <is>
          <t>People</t>
        </is>
      </c>
    </row>
    <row r="66">
      <c r="A66" s="159" t="inlineStr">
        <is>
          <t>디엠씨미디어</t>
        </is>
      </c>
      <c r="B66" s="159" t="inlineStr">
        <is>
          <t>7월 22일</t>
        </is>
      </c>
      <c r="C66" s="159" t="inlineStr">
        <is>
          <t>jydmc</t>
        </is>
      </c>
      <c r="D66" s="159" t="inlineStr">
        <is>
          <t>2.20%</t>
        </is>
      </c>
      <c r="E66" s="159" t="n">
        <v>2</v>
      </c>
      <c r="F66" s="160" t="inlineStr">
        <is>
          <t>About</t>
        </is>
      </c>
    </row>
    <row r="67">
      <c r="A67" s="159" t="inlineStr">
        <is>
          <t>디엠씨미디어</t>
        </is>
      </c>
      <c r="B67" s="159" t="inlineStr">
        <is>
          <t>7월 22일</t>
        </is>
      </c>
      <c r="C67" s="159" t="inlineStr">
        <is>
          <t>디엠씨미디어</t>
        </is>
      </c>
      <c r="D67" s="159" t="inlineStr">
        <is>
          <t>2.20%</t>
        </is>
      </c>
      <c r="E67" s="159" t="n">
        <v>2</v>
      </c>
      <c r="F67" s="160" t="inlineStr">
        <is>
          <t>About</t>
        </is>
      </c>
    </row>
    <row r="68">
      <c r="A68" s="159" t="inlineStr">
        <is>
          <t>디엠씨미디어</t>
        </is>
      </c>
      <c r="B68" s="159" t="inlineStr">
        <is>
          <t>7월 22일</t>
        </is>
      </c>
      <c r="C68" s="159" t="inlineStr">
        <is>
          <t>디엠씨미디어 the dap</t>
        </is>
      </c>
      <c r="D68" s="159" t="inlineStr">
        <is>
          <t>2.20%</t>
        </is>
      </c>
      <c r="E68" s="159" t="n">
        <v>2</v>
      </c>
      <c r="F68" s="160" t="inlineStr">
        <is>
          <t>About</t>
        </is>
      </c>
    </row>
    <row r="69">
      <c r="A69" s="159" t="inlineStr">
        <is>
          <t>디엠씨미디어</t>
        </is>
      </c>
      <c r="B69" s="159" t="inlineStr">
        <is>
          <t>7월 22일</t>
        </is>
      </c>
      <c r="C69" s="159" t="inlineStr">
        <is>
          <t>jy.dmc</t>
        </is>
      </c>
      <c r="D69" s="159" t="inlineStr">
        <is>
          <t>1.10%</t>
        </is>
      </c>
      <c r="E69" s="159" t="n">
        <v>1</v>
      </c>
      <c r="F69" s="160" t="inlineStr">
        <is>
          <t>About</t>
        </is>
      </c>
    </row>
    <row r="70">
      <c r="A70" s="159" t="inlineStr">
        <is>
          <t>디엠씨미디어</t>
        </is>
      </c>
      <c r="B70" s="159" t="inlineStr">
        <is>
          <t>7월 22일</t>
        </is>
      </c>
      <c r="C70" s="159" t="inlineStr">
        <is>
          <t>제이와이디엠씨</t>
        </is>
      </c>
      <c r="D70" s="159" t="inlineStr">
        <is>
          <t>1.10%</t>
        </is>
      </c>
      <c r="E70" s="159" t="n">
        <v>1</v>
      </c>
      <c r="F70" s="160" t="inlineStr">
        <is>
          <t>About</t>
        </is>
      </c>
    </row>
    <row r="71">
      <c r="A71" s="159" t="inlineStr">
        <is>
          <t>디엠씨미디어</t>
        </is>
      </c>
      <c r="B71" s="159" t="inlineStr">
        <is>
          <t>7월 22일</t>
        </is>
      </c>
      <c r="C71" s="159" t="inlineStr">
        <is>
          <t>디엠씨미디어</t>
        </is>
      </c>
      <c r="D71" s="159" t="inlineStr">
        <is>
          <t>3.30%</t>
        </is>
      </c>
      <c r="E71" s="159" t="n">
        <v>3</v>
      </c>
      <c r="F71" s="160" t="inlineStr">
        <is>
          <t>About</t>
        </is>
      </c>
    </row>
    <row r="72">
      <c r="A72" s="159" t="inlineStr">
        <is>
          <t>디엠씨미디어</t>
        </is>
      </c>
      <c r="B72" s="159" t="inlineStr">
        <is>
          <t>7월 22일</t>
        </is>
      </c>
      <c r="C72" s="159" t="inlineStr">
        <is>
          <t>디엠씨미디어 인턴 면접</t>
        </is>
      </c>
      <c r="D72" s="159" t="inlineStr">
        <is>
          <t>3.30%</t>
        </is>
      </c>
      <c r="E72" s="159" t="n">
        <v>3</v>
      </c>
      <c r="F72" s="161" t="inlineStr">
        <is>
          <t>People</t>
        </is>
      </c>
    </row>
    <row r="73">
      <c r="A73" s="159" t="inlineStr">
        <is>
          <t>디엠씨미디어</t>
        </is>
      </c>
      <c r="B73" s="159" t="inlineStr">
        <is>
          <t>7월 22일</t>
        </is>
      </c>
      <c r="C73" s="159" t="inlineStr">
        <is>
          <t>(주)디엠씨미디어 면접</t>
        </is>
      </c>
      <c r="D73" s="159" t="inlineStr">
        <is>
          <t>1.10%</t>
        </is>
      </c>
      <c r="E73" s="159" t="n">
        <v>1</v>
      </c>
      <c r="F73" s="161" t="inlineStr">
        <is>
          <t>People</t>
        </is>
      </c>
    </row>
    <row r="74">
      <c r="A74" s="159" t="inlineStr">
        <is>
          <t>디엠씨미디어</t>
        </is>
      </c>
      <c r="B74" s="159" t="inlineStr">
        <is>
          <t>7월 22일</t>
        </is>
      </c>
      <c r="C74" s="159" t="inlineStr">
        <is>
          <t>디엠씨미디어 서류</t>
        </is>
      </c>
      <c r="D74" s="159" t="inlineStr">
        <is>
          <t>1.10%</t>
        </is>
      </c>
      <c r="E74" s="159" t="n">
        <v>1</v>
      </c>
      <c r="F74" s="161" t="inlineStr">
        <is>
          <t>People</t>
        </is>
      </c>
    </row>
    <row r="75">
      <c r="A75" s="159" t="inlineStr">
        <is>
          <t>디엠씨미디어</t>
        </is>
      </c>
      <c r="B75" s="159" t="inlineStr">
        <is>
          <t>7월 23일</t>
        </is>
      </c>
      <c r="C75" s="159" t="inlineStr">
        <is>
          <t>디엠씨미디어</t>
        </is>
      </c>
      <c r="D75" s="159" t="inlineStr">
        <is>
          <t>3.88%</t>
        </is>
      </c>
      <c r="E75" s="159" t="n">
        <v>4</v>
      </c>
      <c r="F75" s="160" t="inlineStr">
        <is>
          <t>About</t>
        </is>
      </c>
    </row>
    <row r="76">
      <c r="A76" s="159" t="inlineStr">
        <is>
          <t>디엠씨미디어</t>
        </is>
      </c>
      <c r="B76" s="159" t="inlineStr">
        <is>
          <t>7월 23일</t>
        </is>
      </c>
      <c r="C76" s="159" t="inlineStr">
        <is>
          <t>디엠씨미디어</t>
        </is>
      </c>
      <c r="D76" s="159" t="inlineStr">
        <is>
          <t>1.94%</t>
        </is>
      </c>
      <c r="E76" s="159" t="n">
        <v>2</v>
      </c>
      <c r="F76" s="160" t="inlineStr">
        <is>
          <t>About</t>
        </is>
      </c>
    </row>
    <row r="77">
      <c r="A77" s="159" t="inlineStr">
        <is>
          <t>디엠씨미디어</t>
        </is>
      </c>
      <c r="B77" s="159" t="inlineStr">
        <is>
          <t>7월 23일</t>
        </is>
      </c>
      <c r="C77" s="159" t="inlineStr">
        <is>
          <t>디엠씨미디어 인턴면접</t>
        </is>
      </c>
      <c r="D77" s="159" t="inlineStr">
        <is>
          <t>1.94%</t>
        </is>
      </c>
      <c r="E77" s="159" t="n">
        <v>2</v>
      </c>
      <c r="F77" s="161" t="inlineStr">
        <is>
          <t>People</t>
        </is>
      </c>
    </row>
    <row r="78">
      <c r="A78" s="159" t="inlineStr">
        <is>
          <t>디엠씨미디어</t>
        </is>
      </c>
      <c r="B78" s="159" t="inlineStr">
        <is>
          <t>7월 23일</t>
        </is>
      </c>
      <c r="C78" s="159" t="inlineStr">
        <is>
          <t>디엠씨미디어 허재우</t>
        </is>
      </c>
      <c r="D78" s="159" t="inlineStr">
        <is>
          <t>3.88%</t>
        </is>
      </c>
      <c r="E78" s="159" t="n">
        <v>4</v>
      </c>
      <c r="F78" s="160" t="inlineStr">
        <is>
          <t>About</t>
        </is>
      </c>
    </row>
    <row r="79">
      <c r="A79" s="159" t="inlineStr">
        <is>
          <t>디엠씨미디어</t>
        </is>
      </c>
      <c r="B79" s="159" t="inlineStr">
        <is>
          <t>7월 24일</t>
        </is>
      </c>
      <c r="C79" s="159" t="inlineStr">
        <is>
          <t>디엠씨미디어</t>
        </is>
      </c>
      <c r="D79" s="159" t="inlineStr">
        <is>
          <t>6.67%</t>
        </is>
      </c>
      <c r="E79" s="159" t="n">
        <v>2</v>
      </c>
      <c r="F79" s="160" t="inlineStr">
        <is>
          <t>About</t>
        </is>
      </c>
    </row>
    <row r="80">
      <c r="A80" s="159" t="inlineStr">
        <is>
          <t>디엠씨미디어</t>
        </is>
      </c>
      <c r="B80" s="159" t="inlineStr">
        <is>
          <t>7월 24일</t>
        </is>
      </c>
      <c r="C80" s="159" t="inlineStr">
        <is>
          <t>디엠씨미디어 인턴</t>
        </is>
      </c>
      <c r="D80" s="159" t="inlineStr">
        <is>
          <t>3.33%</t>
        </is>
      </c>
      <c r="E80" s="159" t="n">
        <v>1</v>
      </c>
      <c r="F80" s="160" t="inlineStr">
        <is>
          <t>About</t>
        </is>
      </c>
    </row>
    <row r="81">
      <c r="A81" s="159" t="inlineStr">
        <is>
          <t>디엠씨미디어</t>
        </is>
      </c>
      <c r="B81" s="159" t="inlineStr">
        <is>
          <t>7월 24일</t>
        </is>
      </c>
      <c r="C81" s="159" t="inlineStr">
        <is>
          <t>조직문화 창립기념행사</t>
        </is>
      </c>
      <c r="D81" s="159" t="inlineStr">
        <is>
          <t>3.33%</t>
        </is>
      </c>
      <c r="E81" s="159" t="n">
        <v>1</v>
      </c>
      <c r="F81" s="160" t="inlineStr">
        <is>
          <t>About</t>
        </is>
      </c>
    </row>
    <row r="82">
      <c r="A82" s="159" t="inlineStr">
        <is>
          <t>디엠씨미디어</t>
        </is>
      </c>
      <c r="B82" s="159" t="inlineStr">
        <is>
          <t>7월 24일</t>
        </is>
      </c>
      <c r="C82" s="159" t="inlineStr">
        <is>
          <t>디엠씨미디어 광고</t>
        </is>
      </c>
      <c r="D82" s="159" t="inlineStr">
        <is>
          <t>3.33%</t>
        </is>
      </c>
      <c r="E82" s="159" t="n">
        <v>1</v>
      </c>
      <c r="F82" s="161" t="inlineStr">
        <is>
          <t>People</t>
        </is>
      </c>
    </row>
    <row r="83">
      <c r="A83" s="159" t="inlineStr">
        <is>
          <t>디엠씨미디어</t>
        </is>
      </c>
      <c r="B83" s="159" t="inlineStr">
        <is>
          <t>7월 24일</t>
        </is>
      </c>
      <c r="C83" s="159" t="inlineStr">
        <is>
          <t>디엠씨미디어연봉</t>
        </is>
      </c>
      <c r="D83" s="159" t="inlineStr">
        <is>
          <t>3.33%</t>
        </is>
      </c>
      <c r="E83" s="159" t="n">
        <v>1</v>
      </c>
      <c r="F83" s="161" t="inlineStr">
        <is>
          <t>People</t>
        </is>
      </c>
    </row>
    <row r="84">
      <c r="A84" s="159" t="inlineStr">
        <is>
          <t>디엠씨미디어</t>
        </is>
      </c>
      <c r="B84" s="159" t="inlineStr">
        <is>
          <t>7월 24일</t>
        </is>
      </c>
      <c r="C84" s="159" t="inlineStr">
        <is>
          <t>디엠씨미디어</t>
        </is>
      </c>
      <c r="D84" s="159" t="inlineStr">
        <is>
          <t>3.33%</t>
        </is>
      </c>
      <c r="E84" s="159" t="n">
        <v>1</v>
      </c>
      <c r="F84" s="160" t="inlineStr">
        <is>
          <t>About</t>
        </is>
      </c>
    </row>
    <row r="85">
      <c r="A85" s="159" t="inlineStr">
        <is>
          <t>디엠씨미디어</t>
        </is>
      </c>
      <c r="B85" s="159" t="inlineStr">
        <is>
          <t>7월 25일</t>
        </is>
      </c>
      <c r="C85" s="159" t="inlineStr">
        <is>
          <t>jy.dmc</t>
        </is>
      </c>
      <c r="D85" s="159" t="inlineStr">
        <is>
          <t>20.00%</t>
        </is>
      </c>
      <c r="E85" s="159" t="n">
        <v>1</v>
      </c>
      <c r="F85" s="160" t="inlineStr">
        <is>
          <t>About</t>
        </is>
      </c>
    </row>
    <row r="86">
      <c r="A86" s="159" t="inlineStr">
        <is>
          <t>디엠씨미디어</t>
        </is>
      </c>
      <c r="B86" s="159" t="inlineStr">
        <is>
          <t>7월 25일</t>
        </is>
      </c>
      <c r="C86" s="159" t="inlineStr">
        <is>
          <t>DMC미디어 리포트 자기관리 루틴</t>
        </is>
      </c>
      <c r="D86" s="159" t="inlineStr">
        <is>
          <t>20.00%</t>
        </is>
      </c>
      <c r="E86" s="159" t="n">
        <v>1</v>
      </c>
      <c r="F86" s="162" t="inlineStr">
        <is>
          <t>Trend</t>
        </is>
      </c>
    </row>
    <row r="87">
      <c r="A87" s="159" t="inlineStr">
        <is>
          <t>디엠씨미디어</t>
        </is>
      </c>
      <c r="B87" s="159" t="inlineStr">
        <is>
          <t>7월 26일</t>
        </is>
      </c>
      <c r="C87" s="159" t="inlineStr">
        <is>
          <t>제이와이디엠씨</t>
        </is>
      </c>
      <c r="D87" s="159" t="inlineStr">
        <is>
          <t>13.33%</t>
        </is>
      </c>
      <c r="E87" s="159" t="n">
        <v>2</v>
      </c>
      <c r="F87" s="160" t="inlineStr">
        <is>
          <t>About</t>
        </is>
      </c>
    </row>
    <row r="88">
      <c r="A88" s="159" t="inlineStr">
        <is>
          <t>디엠씨미디어</t>
        </is>
      </c>
      <c r="B88" s="159" t="inlineStr">
        <is>
          <t>7월 27일</t>
        </is>
      </c>
      <c r="C88" s="159" t="inlineStr">
        <is>
          <t>디엠씨미디어 블로그</t>
        </is>
      </c>
      <c r="D88" s="159" t="inlineStr">
        <is>
          <t>3.33%</t>
        </is>
      </c>
      <c r="E88" s="159" t="n">
        <v>1</v>
      </c>
      <c r="F88" s="160" t="inlineStr">
        <is>
          <t>About</t>
        </is>
      </c>
    </row>
    <row r="89">
      <c r="A89" s="159" t="inlineStr">
        <is>
          <t>디엠씨미디어</t>
        </is>
      </c>
      <c r="B89" s="159" t="inlineStr">
        <is>
          <t>7월 27일</t>
        </is>
      </c>
      <c r="C89" s="159" t="inlineStr">
        <is>
          <t>기업ai 팀명</t>
        </is>
      </c>
      <c r="D89" s="159" t="inlineStr">
        <is>
          <t>3.33%</t>
        </is>
      </c>
      <c r="E89" s="159" t="n">
        <v>1</v>
      </c>
      <c r="F89" s="161" t="inlineStr">
        <is>
          <t>People</t>
        </is>
      </c>
    </row>
    <row r="90">
      <c r="A90" s="159" t="inlineStr">
        <is>
          <t>디엠씨미디어</t>
        </is>
      </c>
      <c r="B90" s="159" t="inlineStr">
        <is>
          <t>7월 27일</t>
        </is>
      </c>
      <c r="C90" s="159" t="inlineStr">
        <is>
          <t>디엠씨미디어</t>
        </is>
      </c>
      <c r="D90" s="159" t="inlineStr">
        <is>
          <t>3.33%</t>
        </is>
      </c>
      <c r="E90" s="159" t="n">
        <v>1</v>
      </c>
      <c r="F90" s="160" t="inlineStr">
        <is>
          <t>About</t>
        </is>
      </c>
    </row>
    <row r="91">
      <c r="A91" s="159" t="inlineStr">
        <is>
          <t>디엠씨미디어</t>
        </is>
      </c>
      <c r="B91" s="159" t="inlineStr">
        <is>
          <t>7월 28일</t>
        </is>
      </c>
      <c r="C91" s="159" t="inlineStr">
        <is>
          <t>디엠씨미디어</t>
        </is>
      </c>
      <c r="D91" s="159" t="inlineStr">
        <is>
          <t>4.35%</t>
        </is>
      </c>
      <c r="E91" s="159" t="n">
        <v>1</v>
      </c>
      <c r="F91" s="160" t="inlineStr">
        <is>
          <t>About</t>
        </is>
      </c>
    </row>
    <row r="92">
      <c r="A92" s="159" t="inlineStr">
        <is>
          <t>디엠씨미디어</t>
        </is>
      </c>
      <c r="B92" s="159" t="inlineStr">
        <is>
          <t>7월 29일</t>
        </is>
      </c>
      <c r="C92" s="159" t="inlineStr">
        <is>
          <t>디엠씨미디어</t>
        </is>
      </c>
      <c r="D92" s="159" t="inlineStr">
        <is>
          <t>1.41%</t>
        </is>
      </c>
      <c r="E92" s="159" t="n">
        <v>1</v>
      </c>
      <c r="F92" s="160" t="inlineStr">
        <is>
          <t>About</t>
        </is>
      </c>
    </row>
    <row r="93">
      <c r="A93" s="159" t="inlineStr">
        <is>
          <t>디엠씨미디어</t>
        </is>
      </c>
      <c r="B93" s="159" t="inlineStr">
        <is>
          <t>7월 29일</t>
        </is>
      </c>
      <c r="C93" s="159" t="inlineStr">
        <is>
          <t>디엠씨미디어</t>
        </is>
      </c>
      <c r="D93" s="159" t="inlineStr">
        <is>
          <t>1.41%</t>
        </is>
      </c>
      <c r="E93" s="159" t="n">
        <v>1</v>
      </c>
      <c r="F93" s="160" t="inlineStr">
        <is>
          <t>About</t>
        </is>
      </c>
    </row>
    <row r="94">
      <c r="A94" s="159" t="inlineStr">
        <is>
          <t>디엠씨미디어</t>
        </is>
      </c>
      <c r="B94" s="159" t="inlineStr">
        <is>
          <t>7월 29일</t>
        </is>
      </c>
      <c r="C94" s="159" t="inlineStr">
        <is>
          <t>제이와이디엠씨</t>
        </is>
      </c>
      <c r="D94" s="159" t="inlineStr">
        <is>
          <t>1.41%</t>
        </is>
      </c>
      <c r="E94" s="159" t="n">
        <v>1</v>
      </c>
      <c r="F94" s="160" t="inlineStr">
        <is>
          <t>About</t>
        </is>
      </c>
    </row>
    <row r="95">
      <c r="A95" s="159" t="inlineStr">
        <is>
          <t>디엠씨미디어</t>
        </is>
      </c>
      <c r="B95" s="159" t="inlineStr">
        <is>
          <t>7월 30일</t>
        </is>
      </c>
      <c r="C95" s="159" t="inlineStr">
        <is>
          <t>디엠씨미디어</t>
        </is>
      </c>
      <c r="D95" s="159" t="inlineStr">
        <is>
          <t>1.28%</t>
        </is>
      </c>
      <c r="E95" s="159" t="n">
        <v>1</v>
      </c>
      <c r="F95" s="160" t="inlineStr">
        <is>
          <t>About</t>
        </is>
      </c>
    </row>
    <row r="96">
      <c r="A96" s="159" t="inlineStr">
        <is>
          <t>디엠씨미디어</t>
        </is>
      </c>
      <c r="B96" s="159" t="inlineStr">
        <is>
          <t>7월 30일</t>
        </is>
      </c>
      <c r="C96" s="159" t="inlineStr">
        <is>
          <t>디엠씨미디어 인턴</t>
        </is>
      </c>
      <c r="D96" s="159" t="inlineStr">
        <is>
          <t>1.28%</t>
        </is>
      </c>
      <c r="E96" s="159" t="n">
        <v>1</v>
      </c>
      <c r="F96" s="161" t="inlineStr">
        <is>
          <t>People</t>
        </is>
      </c>
    </row>
    <row r="97">
      <c r="A97" s="159" t="inlineStr">
        <is>
          <t>디엠씨미디어</t>
        </is>
      </c>
      <c r="B97" s="159" t="inlineStr">
        <is>
          <t>7월 30일</t>
        </is>
      </c>
      <c r="C97" s="159" t="inlineStr">
        <is>
          <t>디엠씨미디어</t>
        </is>
      </c>
      <c r="D97" s="159" t="inlineStr">
        <is>
          <t>1.28%</t>
        </is>
      </c>
      <c r="E97" s="159" t="n">
        <v>1</v>
      </c>
      <c r="F97" s="160" t="inlineStr">
        <is>
          <t>About</t>
        </is>
      </c>
    </row>
    <row r="98">
      <c r="A98" s="159" t="inlineStr">
        <is>
          <t>디엠씨미디어</t>
        </is>
      </c>
      <c r="B98" s="159" t="inlineStr">
        <is>
          <t>7월 30일</t>
        </is>
      </c>
      <c r="C98" s="159" t="inlineStr">
        <is>
          <t>디엠씨미디어 IPO 철회</t>
        </is>
      </c>
      <c r="D98" s="159" t="inlineStr">
        <is>
          <t>1.28%</t>
        </is>
      </c>
      <c r="E98" s="159" t="n">
        <v>1</v>
      </c>
      <c r="F98" s="160" t="inlineStr">
        <is>
          <t>About</t>
        </is>
      </c>
    </row>
    <row r="99">
      <c r="A99" s="159" t="inlineStr">
        <is>
          <t>디엠씨미디어</t>
        </is>
      </c>
      <c r="B99" s="159" t="inlineStr">
        <is>
          <t>7월 30일</t>
        </is>
      </c>
      <c r="C99" s="159" t="inlineStr">
        <is>
          <t>디엠씨미디어</t>
        </is>
      </c>
      <c r="D99" s="159" t="inlineStr">
        <is>
          <t>1.28%</t>
        </is>
      </c>
      <c r="E99" s="159" t="n">
        <v>1</v>
      </c>
      <c r="F99" s="160" t="inlineStr">
        <is>
          <t>About</t>
        </is>
      </c>
    </row>
    <row r="100">
      <c r="A100" s="159" t="inlineStr">
        <is>
          <t>디엠씨미디어</t>
        </is>
      </c>
      <c r="B100" s="159" t="inlineStr">
        <is>
          <t>7월 31일</t>
        </is>
      </c>
      <c r="C100" s="159" t="inlineStr">
        <is>
          <t>디엠씨미디어</t>
        </is>
      </c>
      <c r="D100" s="159" t="inlineStr">
        <is>
          <t>7.69%</t>
        </is>
      </c>
      <c r="E100" s="159" t="n">
        <v>2</v>
      </c>
      <c r="F100" s="160" t="inlineStr">
        <is>
          <t>About</t>
        </is>
      </c>
    </row>
    <row r="101">
      <c r="A101" s="159" t="inlineStr">
        <is>
          <t>코카콜라 월드컵 스티커</t>
        </is>
      </c>
      <c r="B101" s="159" t="inlineStr">
        <is>
          <t>7월 1일</t>
        </is>
      </c>
      <c r="C101" s="159" t="inlineStr">
        <is>
          <t>2026 북중미 월드컵 코카콜라 스티커</t>
        </is>
      </c>
      <c r="D101" s="159" t="inlineStr">
        <is>
          <t>1.92%</t>
        </is>
      </c>
      <c r="E101" s="159" t="n">
        <v>1</v>
      </c>
      <c r="F101" s="162" t="inlineStr">
        <is>
          <t>Trend</t>
        </is>
      </c>
    </row>
    <row r="102">
      <c r="A102" s="159" t="inlineStr">
        <is>
          <t>코카콜라 월드컵 스티커</t>
        </is>
      </c>
      <c r="B102" s="159" t="inlineStr">
        <is>
          <t>7월 1일</t>
        </is>
      </c>
      <c r="C102" s="159" t="inlineStr">
        <is>
          <t>월드컵 코카콜라</t>
        </is>
      </c>
      <c r="D102" s="159" t="inlineStr">
        <is>
          <t>1.92%</t>
        </is>
      </c>
      <c r="E102" s="159" t="n">
        <v>1</v>
      </c>
      <c r="F102" s="162" t="inlineStr">
        <is>
          <t>Trend</t>
        </is>
      </c>
    </row>
    <row r="103">
      <c r="A103" s="159" t="inlineStr">
        <is>
          <t>코카콜라 월드컵 스티커</t>
        </is>
      </c>
      <c r="B103" s="159" t="inlineStr">
        <is>
          <t>7월 1일</t>
        </is>
      </c>
      <c r="C103" s="159" t="inlineStr">
        <is>
          <t>코카콜라 월드컵 스티커</t>
        </is>
      </c>
      <c r="D103" s="159" t="inlineStr">
        <is>
          <t>1.92%</t>
        </is>
      </c>
      <c r="E103" s="159" t="n">
        <v>1</v>
      </c>
      <c r="F103" s="162" t="inlineStr">
        <is>
          <t>Trend</t>
        </is>
      </c>
    </row>
    <row r="104">
      <c r="A104" s="159" t="inlineStr">
        <is>
          <t>코카콜라 월드컵 스티커</t>
        </is>
      </c>
      <c r="B104" s="159" t="inlineStr">
        <is>
          <t>7월 1일</t>
        </is>
      </c>
      <c r="C104" s="159" t="inlineStr">
        <is>
          <t>코카콜라 월드컵 에디션</t>
        </is>
      </c>
      <c r="D104" s="159" t="inlineStr">
        <is>
          <t>1.92%</t>
        </is>
      </c>
      <c r="E104" s="159" t="n">
        <v>1</v>
      </c>
      <c r="F104" s="162" t="inlineStr">
        <is>
          <t>Trend</t>
        </is>
      </c>
    </row>
    <row r="105">
      <c r="A105" s="159" t="inlineStr">
        <is>
          <t>코카콜라 월드컵 스티커</t>
        </is>
      </c>
      <c r="B105" s="159" t="inlineStr">
        <is>
          <t>7월 2일</t>
        </is>
      </c>
      <c r="C105" s="159" t="inlineStr">
        <is>
          <t>코카콜라 월드컵 라벨</t>
        </is>
      </c>
      <c r="D105" s="159" t="inlineStr">
        <is>
          <t>2.90%</t>
        </is>
      </c>
      <c r="E105" s="159" t="n">
        <v>2</v>
      </c>
      <c r="F105" s="162" t="inlineStr">
        <is>
          <t>Trend</t>
        </is>
      </c>
    </row>
    <row r="106">
      <c r="A106" s="159" t="inlineStr">
        <is>
          <t>코카콜라 월드컵 스티커</t>
        </is>
      </c>
      <c r="B106" s="159" t="inlineStr">
        <is>
          <t>7월 2일</t>
        </is>
      </c>
      <c r="C106" s="159" t="inlineStr">
        <is>
          <t>코카콜라 북중미 스티커</t>
        </is>
      </c>
      <c r="D106" s="159" t="inlineStr">
        <is>
          <t>1.45%</t>
        </is>
      </c>
      <c r="E106" s="159" t="n">
        <v>1</v>
      </c>
      <c r="F106" s="162" t="inlineStr">
        <is>
          <t>Trend</t>
        </is>
      </c>
    </row>
    <row r="107">
      <c r="A107" s="159" t="inlineStr">
        <is>
          <t>코카콜라 월드컵 스티커</t>
        </is>
      </c>
      <c r="B107" s="159" t="inlineStr">
        <is>
          <t>7월 2일</t>
        </is>
      </c>
      <c r="C107" s="159" t="inlineStr">
        <is>
          <t>코카콜라 월드컵 스티커</t>
        </is>
      </c>
      <c r="D107" s="159" t="inlineStr">
        <is>
          <t>1.45%</t>
        </is>
      </c>
      <c r="E107" s="159" t="n">
        <v>1</v>
      </c>
      <c r="F107" s="162" t="inlineStr">
        <is>
          <t>Trend</t>
        </is>
      </c>
    </row>
    <row r="108">
      <c r="A108" s="159" t="inlineStr">
        <is>
          <t>코카콜라 월드컵 스티커</t>
        </is>
      </c>
      <c r="B108" s="159" t="inlineStr">
        <is>
          <t>7월 2일</t>
        </is>
      </c>
      <c r="C108" s="159" t="inlineStr">
        <is>
          <t>코카콜라 축구 스티커</t>
        </is>
      </c>
      <c r="D108" s="159" t="inlineStr">
        <is>
          <t>1.45%</t>
        </is>
      </c>
      <c r="E108" s="159" t="n">
        <v>1</v>
      </c>
      <c r="F108" s="162" t="inlineStr">
        <is>
          <t>Trend</t>
        </is>
      </c>
    </row>
    <row r="109">
      <c r="A109" s="159" t="inlineStr">
        <is>
          <t>코카콜라 월드컵 스티커</t>
        </is>
      </c>
      <c r="B109" s="159" t="inlineStr">
        <is>
          <t>7월 3일</t>
        </is>
      </c>
      <c r="C109" s="159" t="inlineStr">
        <is>
          <t>월드컵 스티커북</t>
        </is>
      </c>
      <c r="D109" s="159" t="inlineStr">
        <is>
          <t>3.57%</t>
        </is>
      </c>
      <c r="E109" s="159" t="n">
        <v>1</v>
      </c>
      <c r="F109" s="162" t="inlineStr">
        <is>
          <t>Trend</t>
        </is>
      </c>
    </row>
    <row r="110">
      <c r="A110" s="159" t="inlineStr">
        <is>
          <t>코카콜라 월드컵 스티커</t>
        </is>
      </c>
      <c r="B110" s="159" t="inlineStr">
        <is>
          <t>7월 4일</t>
        </is>
      </c>
      <c r="C110" s="159" t="inlineStr">
        <is>
          <t>2026 월드컵 코카콜라 스티커</t>
        </is>
      </c>
      <c r="D110" s="159" t="inlineStr">
        <is>
          <t>12.50%</t>
        </is>
      </c>
      <c r="E110" s="159" t="n">
        <v>1</v>
      </c>
      <c r="F110" s="162" t="inlineStr">
        <is>
          <t>Trend</t>
        </is>
      </c>
    </row>
    <row r="111">
      <c r="A111" s="159" t="inlineStr">
        <is>
          <t>코카콜라 월드컵 스티커</t>
        </is>
      </c>
      <c r="B111" s="159" t="inlineStr">
        <is>
          <t>7월 4일</t>
        </is>
      </c>
      <c r="C111" s="159" t="inlineStr">
        <is>
          <t>코카콜라 북중미</t>
        </is>
      </c>
      <c r="D111" s="159" t="inlineStr">
        <is>
          <t>12.50%</t>
        </is>
      </c>
      <c r="E111" s="159" t="n">
        <v>1</v>
      </c>
      <c r="F111" s="162" t="inlineStr">
        <is>
          <t>Trend</t>
        </is>
      </c>
    </row>
    <row r="112">
      <c r="A112" s="159" t="inlineStr">
        <is>
          <t>코카콜라 월드컵 스티커</t>
        </is>
      </c>
      <c r="B112" s="159" t="inlineStr">
        <is>
          <t>7월 5일</t>
        </is>
      </c>
      <c r="C112" s="159" t="inlineStr">
        <is>
          <t>코카콜라 2026월드컵</t>
        </is>
      </c>
      <c r="D112" s="159" t="inlineStr">
        <is>
          <t>16.67%</t>
        </is>
      </c>
      <c r="E112" s="159" t="n">
        <v>1</v>
      </c>
      <c r="F112" s="162" t="inlineStr">
        <is>
          <t>Trend</t>
        </is>
      </c>
    </row>
    <row r="113">
      <c r="A113" s="159" t="inlineStr">
        <is>
          <t>코카콜라 월드컵 스티커</t>
        </is>
      </c>
      <c r="B113" s="159" t="inlineStr">
        <is>
          <t>7월 5일</t>
        </is>
      </c>
      <c r="C113" s="159" t="inlineStr">
        <is>
          <t>코카콜라 월드컵 스티커</t>
        </is>
      </c>
      <c r="D113" s="159" t="inlineStr">
        <is>
          <t>16.67%</t>
        </is>
      </c>
      <c r="E113" s="159" t="n">
        <v>1</v>
      </c>
      <c r="F113" s="162" t="inlineStr">
        <is>
          <t>Trend</t>
        </is>
      </c>
    </row>
    <row r="114">
      <c r="A114" s="159" t="inlineStr">
        <is>
          <t>코카콜라 월드컵 스티커</t>
        </is>
      </c>
      <c r="B114" s="159" t="inlineStr">
        <is>
          <t>7월 5일</t>
        </is>
      </c>
      <c r="C114" s="159" t="inlineStr">
        <is>
          <t>콜라 월드컵 스티커</t>
        </is>
      </c>
      <c r="D114" s="159" t="inlineStr">
        <is>
          <t>16.67%</t>
        </is>
      </c>
      <c r="E114" s="159" t="n">
        <v>1</v>
      </c>
      <c r="F114" s="162" t="inlineStr">
        <is>
          <t>Trend</t>
        </is>
      </c>
    </row>
    <row r="115">
      <c r="A115" s="159" t="inlineStr">
        <is>
          <t>코카콜라 월드컵 스티커</t>
        </is>
      </c>
      <c r="B115" s="159" t="inlineStr">
        <is>
          <t>7월 5일</t>
        </is>
      </c>
      <c r="C115" s="159" t="inlineStr">
        <is>
          <t>코카콜라 파니니</t>
        </is>
      </c>
      <c r="D115" s="159" t="inlineStr">
        <is>
          <t>16.67%</t>
        </is>
      </c>
      <c r="E115" s="159" t="n">
        <v>1</v>
      </c>
      <c r="F115" s="162" t="inlineStr">
        <is>
          <t>Trend</t>
        </is>
      </c>
    </row>
    <row r="116">
      <c r="A116" s="159" t="inlineStr">
        <is>
          <t>코카콜라 월드컵 스티커</t>
        </is>
      </c>
      <c r="B116" s="159" t="inlineStr">
        <is>
          <t>7월 6일</t>
        </is>
      </c>
      <c r="C116" s="159" t="inlineStr">
        <is>
          <t>코카콜라 파니니</t>
        </is>
      </c>
      <c r="D116" s="159" t="inlineStr">
        <is>
          <t>3.03%</t>
        </is>
      </c>
      <c r="E116" s="159" t="n">
        <v>2</v>
      </c>
      <c r="F116" s="162" t="inlineStr">
        <is>
          <t>Trend</t>
        </is>
      </c>
    </row>
    <row r="117">
      <c r="A117" s="159" t="inlineStr">
        <is>
          <t>코카콜라 월드컵 스티커</t>
        </is>
      </c>
      <c r="B117" s="159" t="inlineStr">
        <is>
          <t>7월 6일</t>
        </is>
      </c>
      <c r="C117" s="159" t="inlineStr">
        <is>
          <t>코카콜라 월드컵 스티커</t>
        </is>
      </c>
      <c r="D117" s="159" t="inlineStr">
        <is>
          <t>3.03%</t>
        </is>
      </c>
      <c r="E117" s="159" t="n">
        <v>2</v>
      </c>
      <c r="F117" s="162" t="inlineStr">
        <is>
          <t>Trend</t>
        </is>
      </c>
    </row>
    <row r="118">
      <c r="A118" s="159" t="inlineStr">
        <is>
          <t>코카콜라 월드컵 스티커</t>
        </is>
      </c>
      <c r="B118" s="159" t="inlineStr">
        <is>
          <t>7월 6일</t>
        </is>
      </c>
      <c r="C118" s="159" t="inlineStr">
        <is>
          <t>월드컵2026 스티커북</t>
        </is>
      </c>
      <c r="D118" s="159" t="inlineStr">
        <is>
          <t>1.52%</t>
        </is>
      </c>
      <c r="E118" s="159" t="n">
        <v>1</v>
      </c>
      <c r="F118" s="162" t="inlineStr">
        <is>
          <t>Trend</t>
        </is>
      </c>
    </row>
    <row r="119">
      <c r="A119" s="159" t="inlineStr">
        <is>
          <t>코카콜라 월드컵 스티커</t>
        </is>
      </c>
      <c r="B119" s="159" t="inlineStr">
        <is>
          <t>7월 6일</t>
        </is>
      </c>
      <c r="C119" s="159" t="inlineStr">
        <is>
          <t>코카콜라 스티커</t>
        </is>
      </c>
      <c r="D119" s="159" t="inlineStr">
        <is>
          <t>1.52%</t>
        </is>
      </c>
      <c r="E119" s="159" t="n">
        <v>1</v>
      </c>
      <c r="F119" s="162" t="inlineStr">
        <is>
          <t>Trend</t>
        </is>
      </c>
    </row>
    <row r="120">
      <c r="A120" s="159" t="inlineStr">
        <is>
          <t>코카콜라 월드컵 스티커</t>
        </is>
      </c>
      <c r="B120" s="159" t="inlineStr">
        <is>
          <t>7월 6일</t>
        </is>
      </c>
      <c r="C120" s="159" t="inlineStr">
        <is>
          <t>코카콜라 스티커</t>
        </is>
      </c>
      <c r="D120" s="159" t="inlineStr">
        <is>
          <t>1.52%</t>
        </is>
      </c>
      <c r="E120" s="159" t="n">
        <v>1</v>
      </c>
      <c r="F120" s="162" t="inlineStr">
        <is>
          <t>Trend</t>
        </is>
      </c>
    </row>
    <row r="121">
      <c r="A121" s="159" t="inlineStr">
        <is>
          <t>코카콜라 월드컵 스티커</t>
        </is>
      </c>
      <c r="B121" s="159" t="inlineStr">
        <is>
          <t>7월 7일</t>
        </is>
      </c>
      <c r="C121" s="159" t="inlineStr">
        <is>
          <t>월드컵 선수 스티커북</t>
        </is>
      </c>
      <c r="D121" s="159" t="inlineStr">
        <is>
          <t>1.27%</t>
        </is>
      </c>
      <c r="E121" s="159" t="n">
        <v>1</v>
      </c>
      <c r="F121" s="162" t="inlineStr">
        <is>
          <t>Trend</t>
        </is>
      </c>
    </row>
    <row r="122">
      <c r="A122" s="159" t="inlineStr">
        <is>
          <t>코카콜라 월드컵 스티커</t>
        </is>
      </c>
      <c r="B122" s="159" t="inlineStr">
        <is>
          <t>7월 8일</t>
        </is>
      </c>
      <c r="C122" s="159" t="inlineStr">
        <is>
          <t>파니니 월드컵 북</t>
        </is>
      </c>
      <c r="D122" s="159" t="inlineStr">
        <is>
          <t>0.99%</t>
        </is>
      </c>
      <c r="E122" s="159" t="n">
        <v>1</v>
      </c>
      <c r="F122" s="162" t="inlineStr">
        <is>
          <t>Trend</t>
        </is>
      </c>
    </row>
    <row r="123">
      <c r="A123" s="159" t="inlineStr">
        <is>
          <t>코카콜라 월드컵 스티커</t>
        </is>
      </c>
      <c r="B123" s="159" t="inlineStr">
        <is>
          <t>7월 8일</t>
        </is>
      </c>
      <c r="C123" s="159" t="inlineStr">
        <is>
          <t>파니니 코카콜라</t>
        </is>
      </c>
      <c r="D123" s="159" t="inlineStr">
        <is>
          <t>0.99%</t>
        </is>
      </c>
      <c r="E123" s="159" t="n">
        <v>1</v>
      </c>
      <c r="F123" s="162" t="inlineStr">
        <is>
          <t>Trend</t>
        </is>
      </c>
    </row>
    <row r="124">
      <c r="A124" s="159" t="inlineStr">
        <is>
          <t>코카콜라 월드컵 스티커</t>
        </is>
      </c>
      <c r="B124" s="159" t="inlineStr">
        <is>
          <t>7월 8일</t>
        </is>
      </c>
      <c r="C124" s="159" t="inlineStr">
        <is>
          <t>2026 월드컵 파니니 스티커</t>
        </is>
      </c>
      <c r="D124" s="159" t="inlineStr">
        <is>
          <t>0.99%</t>
        </is>
      </c>
      <c r="E124" s="159" t="n">
        <v>1</v>
      </c>
      <c r="F124" s="162" t="inlineStr">
        <is>
          <t>Trend</t>
        </is>
      </c>
    </row>
    <row r="125">
      <c r="A125" s="159" t="inlineStr">
        <is>
          <t>코카콜라 월드컵 스티커</t>
        </is>
      </c>
      <c r="B125" s="159" t="inlineStr">
        <is>
          <t>7월 8일</t>
        </is>
      </c>
      <c r="C125" s="159" t="inlineStr">
        <is>
          <t>월드컵 코카콜라 스티커</t>
        </is>
      </c>
      <c r="D125" s="159" t="inlineStr">
        <is>
          <t>0.99%</t>
        </is>
      </c>
      <c r="E125" s="159" t="n">
        <v>1</v>
      </c>
      <c r="F125" s="162" t="inlineStr">
        <is>
          <t>Trend</t>
        </is>
      </c>
    </row>
    <row r="126">
      <c r="A126" s="159" t="inlineStr">
        <is>
          <t>코카콜라 월드컵 스티커</t>
        </is>
      </c>
      <c r="B126" s="159" t="inlineStr">
        <is>
          <t>7월 8일</t>
        </is>
      </c>
      <c r="C126" s="159" t="inlineStr">
        <is>
          <t>코카콜라 스티커모으기</t>
        </is>
      </c>
      <c r="D126" s="159" t="inlineStr">
        <is>
          <t>0.99%</t>
        </is>
      </c>
      <c r="E126" s="159" t="n">
        <v>1</v>
      </c>
      <c r="F126" s="162" t="inlineStr">
        <is>
          <t>Trend</t>
        </is>
      </c>
    </row>
    <row r="127">
      <c r="A127" s="159" t="inlineStr">
        <is>
          <t>코카콜라 월드컵 스티커</t>
        </is>
      </c>
      <c r="B127" s="159" t="inlineStr">
        <is>
          <t>7월 8일</t>
        </is>
      </c>
      <c r="C127" s="159" t="inlineStr">
        <is>
          <t>코카콜라 월드컵 스티커</t>
        </is>
      </c>
      <c r="D127" s="159" t="inlineStr">
        <is>
          <t>0.99%</t>
        </is>
      </c>
      <c r="E127" s="159" t="n">
        <v>1</v>
      </c>
      <c r="F127" s="162" t="inlineStr">
        <is>
          <t>Trend</t>
        </is>
      </c>
    </row>
    <row r="128">
      <c r="A128" s="159" t="inlineStr">
        <is>
          <t>코카콜라 월드컵 스티커</t>
        </is>
      </c>
      <c r="B128" s="159" t="inlineStr">
        <is>
          <t>7월 8일</t>
        </is>
      </c>
      <c r="C128" s="159" t="inlineStr">
        <is>
          <t>코카콜라 월드컵 에디션</t>
        </is>
      </c>
      <c r="D128" s="159" t="inlineStr">
        <is>
          <t>0.99%</t>
        </is>
      </c>
      <c r="E128" s="159" t="n">
        <v>1</v>
      </c>
      <c r="F128" s="162" t="inlineStr">
        <is>
          <t>Trend</t>
        </is>
      </c>
    </row>
    <row r="129">
      <c r="A129" s="159" t="inlineStr">
        <is>
          <t>코카콜라 월드컵 스티커</t>
        </is>
      </c>
      <c r="B129" s="159" t="inlineStr">
        <is>
          <t>7월 9일</t>
        </is>
      </c>
      <c r="C129" s="159" t="inlineStr">
        <is>
          <t>코카콜라 선수 스티커</t>
        </is>
      </c>
      <c r="D129" s="159" t="inlineStr">
        <is>
          <t>2.70%</t>
        </is>
      </c>
      <c r="E129" s="159" t="n">
        <v>1</v>
      </c>
      <c r="F129" s="162" t="inlineStr">
        <is>
          <t>Trend</t>
        </is>
      </c>
    </row>
    <row r="130">
      <c r="A130" s="159" t="inlineStr">
        <is>
          <t>코카콜라 월드컵 스티커</t>
        </is>
      </c>
      <c r="B130" s="159" t="inlineStr">
        <is>
          <t>7월 9일</t>
        </is>
      </c>
      <c r="C130" s="159" t="inlineStr">
        <is>
          <t>코카콜라 월드컵 선수 카드</t>
        </is>
      </c>
      <c r="D130" s="159" t="inlineStr">
        <is>
          <t>2.70%</t>
        </is>
      </c>
      <c r="E130" s="159" t="n">
        <v>1</v>
      </c>
      <c r="F130" s="162" t="inlineStr">
        <is>
          <t>Trend</t>
        </is>
      </c>
    </row>
    <row r="131">
      <c r="A131" s="159" t="inlineStr">
        <is>
          <t>코카콜라 월드컵 스티커</t>
        </is>
      </c>
      <c r="B131" s="159" t="inlineStr">
        <is>
          <t>7월 9일</t>
        </is>
      </c>
      <c r="C131" s="159" t="inlineStr">
        <is>
          <t>파니니 2026 월드컵</t>
        </is>
      </c>
      <c r="D131" s="159" t="inlineStr">
        <is>
          <t>2.70%</t>
        </is>
      </c>
      <c r="E131" s="159" t="n">
        <v>1</v>
      </c>
      <c r="F131" s="162" t="inlineStr">
        <is>
          <t>Trend</t>
        </is>
      </c>
    </row>
    <row r="132">
      <c r="A132" s="159" t="inlineStr">
        <is>
          <t>코카콜라 월드컵 스티커</t>
        </is>
      </c>
      <c r="B132" s="159" t="inlineStr">
        <is>
          <t>7월 9일</t>
        </is>
      </c>
      <c r="C132" s="159" t="inlineStr">
        <is>
          <t>2026 파니니 월드컵 스티커</t>
        </is>
      </c>
      <c r="D132" s="159" t="inlineStr">
        <is>
          <t>2.70%</t>
        </is>
      </c>
      <c r="E132" s="159" t="n">
        <v>1</v>
      </c>
      <c r="F132" s="162" t="inlineStr">
        <is>
          <t>Trend</t>
        </is>
      </c>
    </row>
    <row r="133">
      <c r="A133" s="159" t="inlineStr">
        <is>
          <t>코카콜라 월드컵 스티커</t>
        </is>
      </c>
      <c r="B133" s="159" t="inlineStr">
        <is>
          <t>7월 10일</t>
        </is>
      </c>
      <c r="C133" s="159" t="inlineStr">
        <is>
          <t>월드컵 파니니 스티커</t>
        </is>
      </c>
      <c r="D133" s="159" t="inlineStr">
        <is>
          <t>2.13%</t>
        </is>
      </c>
      <c r="E133" s="159" t="n">
        <v>1</v>
      </c>
      <c r="F133" s="162" t="inlineStr">
        <is>
          <t>Trend</t>
        </is>
      </c>
    </row>
    <row r="134">
      <c r="A134" s="159" t="inlineStr">
        <is>
          <t>코카콜라 월드컵 스티커</t>
        </is>
      </c>
      <c r="B134" s="159" t="inlineStr">
        <is>
          <t>7월 10일</t>
        </is>
      </c>
      <c r="C134" s="159" t="inlineStr">
        <is>
          <t>2026 월드컵 스티커</t>
        </is>
      </c>
      <c r="D134" s="159" t="inlineStr">
        <is>
          <t>2.13%</t>
        </is>
      </c>
      <c r="E134" s="159" t="n">
        <v>1</v>
      </c>
      <c r="F134" s="162" t="inlineStr">
        <is>
          <t>Trend</t>
        </is>
      </c>
    </row>
    <row r="135">
      <c r="A135" s="159" t="inlineStr">
        <is>
          <t>코카콜라 월드컵 스티커</t>
        </is>
      </c>
      <c r="B135" s="159" t="inlineStr">
        <is>
          <t>7월 10일</t>
        </is>
      </c>
      <c r="C135" s="159" t="inlineStr">
        <is>
          <t>jtbc월드컵 화면 점수아래</t>
        </is>
      </c>
      <c r="D135" s="159" t="inlineStr">
        <is>
          <t>2.13%</t>
        </is>
      </c>
      <c r="E135" s="159" t="n">
        <v>1</v>
      </c>
      <c r="F135" s="162" t="inlineStr">
        <is>
          <t>Trend</t>
        </is>
      </c>
    </row>
    <row r="136">
      <c r="A136" s="159" t="inlineStr">
        <is>
          <t>코카콜라 월드컵 스티커</t>
        </is>
      </c>
      <c r="B136" s="159" t="inlineStr">
        <is>
          <t>7월 10일</t>
        </is>
      </c>
      <c r="C136" s="159" t="inlineStr">
        <is>
          <t>코카콜라 월드컵</t>
        </is>
      </c>
      <c r="D136" s="159" t="inlineStr">
        <is>
          <t>2.13%</t>
        </is>
      </c>
      <c r="E136" s="159" t="n">
        <v>1</v>
      </c>
      <c r="F136" s="162" t="inlineStr">
        <is>
          <t>Trend</t>
        </is>
      </c>
    </row>
    <row r="137">
      <c r="A137" s="159" t="inlineStr">
        <is>
          <t>코카콜라 월드컵 스티커</t>
        </is>
      </c>
      <c r="B137" s="159" t="inlineStr">
        <is>
          <t>7월 10일</t>
        </is>
      </c>
      <c r="C137" s="159" t="inlineStr">
        <is>
          <t>코카콜라 월드컵스티커</t>
        </is>
      </c>
      <c r="D137" s="159" t="inlineStr">
        <is>
          <t>2.13%</t>
        </is>
      </c>
      <c r="E137" s="159" t="n">
        <v>1</v>
      </c>
      <c r="F137" s="162" t="inlineStr">
        <is>
          <t>Trend</t>
        </is>
      </c>
    </row>
    <row r="138">
      <c r="A138" s="159" t="inlineStr">
        <is>
          <t>코카콜라 월드컵 스티커</t>
        </is>
      </c>
      <c r="B138" s="159" t="inlineStr">
        <is>
          <t>7월 10일</t>
        </is>
      </c>
      <c r="C138" s="159" t="inlineStr">
        <is>
          <t>코카콜라 축구선수 스티커</t>
        </is>
      </c>
      <c r="D138" s="159" t="inlineStr">
        <is>
          <t>2.13%</t>
        </is>
      </c>
      <c r="E138" s="159" t="n">
        <v>1</v>
      </c>
      <c r="F138" s="162" t="inlineStr">
        <is>
          <t>Trend</t>
        </is>
      </c>
    </row>
    <row r="139">
      <c r="A139" s="159" t="inlineStr">
        <is>
          <t>코카콜라 월드컵 스티커</t>
        </is>
      </c>
      <c r="B139" s="159" t="inlineStr">
        <is>
          <t>7월 11일</t>
        </is>
      </c>
      <c r="C139" s="159" t="inlineStr">
        <is>
          <t>코카콜라 마케팅 전략</t>
        </is>
      </c>
      <c r="D139" s="159" t="inlineStr">
        <is>
          <t>14.29%</t>
        </is>
      </c>
      <c r="E139" s="159" t="n">
        <v>3</v>
      </c>
      <c r="F139" s="162" t="inlineStr">
        <is>
          <t>Trend</t>
        </is>
      </c>
    </row>
    <row r="140">
      <c r="A140" s="159" t="inlineStr">
        <is>
          <t>코카콜라 월드컵 스티커</t>
        </is>
      </c>
      <c r="B140" s="159" t="inlineStr">
        <is>
          <t>7월 11일</t>
        </is>
      </c>
      <c r="C140" s="159" t="inlineStr">
        <is>
          <t>코카콜라 파니니</t>
        </is>
      </c>
      <c r="D140" s="159" t="inlineStr">
        <is>
          <t>14.29%</t>
        </is>
      </c>
      <c r="E140" s="159" t="n">
        <v>3</v>
      </c>
      <c r="F140" s="162" t="inlineStr">
        <is>
          <t>Trend</t>
        </is>
      </c>
    </row>
    <row r="141">
      <c r="A141" s="159" t="inlineStr">
        <is>
          <t>코카콜라 월드컵 스티커</t>
        </is>
      </c>
      <c r="B141" s="159" t="inlineStr">
        <is>
          <t>7월 11일</t>
        </is>
      </c>
      <c r="C141" s="159" t="inlineStr">
        <is>
          <t>월드컵 2026 파니니</t>
        </is>
      </c>
      <c r="D141" s="159" t="inlineStr">
        <is>
          <t>4.76%</t>
        </is>
      </c>
      <c r="E141" s="159" t="n">
        <v>1</v>
      </c>
      <c r="F141" s="162" t="inlineStr">
        <is>
          <t>Trend</t>
        </is>
      </c>
    </row>
    <row r="142">
      <c r="A142" s="159" t="inlineStr">
        <is>
          <t>코카콜라 월드컵 스티커</t>
        </is>
      </c>
      <c r="B142" s="159" t="inlineStr">
        <is>
          <t>7월 11일</t>
        </is>
      </c>
      <c r="C142" s="159" t="inlineStr">
        <is>
          <t>월드컵 코카콜라 스티커</t>
        </is>
      </c>
      <c r="D142" s="159" t="inlineStr">
        <is>
          <t>4.76%</t>
        </is>
      </c>
      <c r="E142" s="159" t="n">
        <v>1</v>
      </c>
      <c r="F142" s="162" t="inlineStr">
        <is>
          <t>Trend</t>
        </is>
      </c>
    </row>
    <row r="143">
      <c r="A143" s="159" t="inlineStr">
        <is>
          <t>코카콜라 월드컵 스티커</t>
        </is>
      </c>
      <c r="B143" s="159" t="inlineStr">
        <is>
          <t>7월 11일</t>
        </is>
      </c>
      <c r="C143" s="159" t="inlineStr">
        <is>
          <t>코카콜라 월드컵</t>
        </is>
      </c>
      <c r="D143" s="159" t="inlineStr">
        <is>
          <t>4.76%</t>
        </is>
      </c>
      <c r="E143" s="159" t="n">
        <v>1</v>
      </c>
      <c r="F143" s="162" t="inlineStr">
        <is>
          <t>Trend</t>
        </is>
      </c>
    </row>
    <row r="144">
      <c r="A144" s="159" t="inlineStr">
        <is>
          <t>코카콜라 월드컵 스티커</t>
        </is>
      </c>
      <c r="B144" s="159" t="inlineStr">
        <is>
          <t>7월 11일</t>
        </is>
      </c>
      <c r="C144" s="159" t="inlineStr">
        <is>
          <t>피파 월드컵 2026 스티커북</t>
        </is>
      </c>
      <c r="D144" s="159" t="inlineStr">
        <is>
          <t>4.76%</t>
        </is>
      </c>
      <c r="E144" s="159" t="n">
        <v>1</v>
      </c>
      <c r="F144" s="162" t="inlineStr">
        <is>
          <t>Trend</t>
        </is>
      </c>
    </row>
    <row r="145">
      <c r="A145" s="159" t="inlineStr">
        <is>
          <t>코카콜라 월드컵 스티커</t>
        </is>
      </c>
      <c r="B145" s="159" t="inlineStr">
        <is>
          <t>7월 12일</t>
        </is>
      </c>
      <c r="C145" s="159" t="inlineStr">
        <is>
          <t>월드컵 스티커 북</t>
        </is>
      </c>
      <c r="D145" s="159" t="inlineStr">
        <is>
          <t>5.00%</t>
        </is>
      </c>
      <c r="E145" s="159" t="n">
        <v>1</v>
      </c>
      <c r="F145" s="162" t="inlineStr">
        <is>
          <t>Trend</t>
        </is>
      </c>
    </row>
    <row r="146">
      <c r="A146" s="159" t="inlineStr">
        <is>
          <t>코카콜라 월드컵 스티커</t>
        </is>
      </c>
      <c r="B146" s="159" t="inlineStr">
        <is>
          <t>7월 12일</t>
        </is>
      </c>
      <c r="C146" s="159" t="inlineStr">
        <is>
          <t>월드컵 한정 코카콜라</t>
        </is>
      </c>
      <c r="D146" s="159" t="inlineStr">
        <is>
          <t>5.00%</t>
        </is>
      </c>
      <c r="E146" s="159" t="n">
        <v>1</v>
      </c>
      <c r="F146" s="162" t="inlineStr">
        <is>
          <t>Trend</t>
        </is>
      </c>
    </row>
    <row r="147">
      <c r="A147" s="159" t="inlineStr">
        <is>
          <t>코카콜라 월드컵 스티커</t>
        </is>
      </c>
      <c r="B147" s="159" t="inlineStr">
        <is>
          <t>7월 12일</t>
        </is>
      </c>
      <c r="C147" s="159" t="inlineStr">
        <is>
          <t>코카콜라 월드컵 스티커</t>
        </is>
      </c>
      <c r="D147" s="159" t="inlineStr">
        <is>
          <t>5.00%</t>
        </is>
      </c>
      <c r="E147" s="159" t="n">
        <v>1</v>
      </c>
      <c r="F147" s="162" t="inlineStr">
        <is>
          <t>Trend</t>
        </is>
      </c>
    </row>
    <row r="148">
      <c r="A148" s="159" t="inlineStr">
        <is>
          <t>코카콜라 월드컵 스티커</t>
        </is>
      </c>
      <c r="B148" s="159" t="inlineStr">
        <is>
          <t>7월 12일</t>
        </is>
      </c>
      <c r="C148" s="159" t="inlineStr">
        <is>
          <t>2026 북중미 월드컵 코카콜라 비밀</t>
        </is>
      </c>
      <c r="D148" s="159" t="inlineStr">
        <is>
          <t>10.00%</t>
        </is>
      </c>
      <c r="E148" s="159" t="n">
        <v>2</v>
      </c>
      <c r="F148" s="162" t="inlineStr">
        <is>
          <t>Trend</t>
        </is>
      </c>
    </row>
    <row r="149">
      <c r="A149" s="159" t="inlineStr">
        <is>
          <t>코카콜라 월드컵 스티커</t>
        </is>
      </c>
      <c r="B149" s="159" t="inlineStr">
        <is>
          <t>7월 12일</t>
        </is>
      </c>
      <c r="C149" s="159" t="inlineStr">
        <is>
          <t>2026 북중미월드컵 코카콜라 비밀</t>
        </is>
      </c>
      <c r="D149" s="159" t="inlineStr">
        <is>
          <t>5.00%</t>
        </is>
      </c>
      <c r="E149" s="159" t="n">
        <v>1</v>
      </c>
      <c r="F149" s="162" t="inlineStr">
        <is>
          <t>Trend</t>
        </is>
      </c>
    </row>
    <row r="150">
      <c r="A150" s="159" t="inlineStr">
        <is>
          <t>코카콜라 월드컵 스티커</t>
        </is>
      </c>
      <c r="B150" s="159" t="inlineStr">
        <is>
          <t>7월 13일</t>
        </is>
      </c>
      <c r="C150" s="159" t="inlineStr">
        <is>
          <t>코카콜라 게이미피케이션</t>
        </is>
      </c>
      <c r="D150" s="159" t="inlineStr">
        <is>
          <t>8.33%</t>
        </is>
      </c>
      <c r="E150" s="159" t="n">
        <v>3</v>
      </c>
      <c r="F150" s="162" t="inlineStr">
        <is>
          <t>Trend</t>
        </is>
      </c>
    </row>
    <row r="151">
      <c r="A151" s="159" t="inlineStr">
        <is>
          <t>코카콜라 월드컵 스티커</t>
        </is>
      </c>
      <c r="B151" s="159" t="inlineStr">
        <is>
          <t>7월 13일</t>
        </is>
      </c>
      <c r="C151" s="159" t="inlineStr">
        <is>
          <t>코카콜라 북중미 월드컵</t>
        </is>
      </c>
      <c r="D151" s="159" t="inlineStr">
        <is>
          <t>5.56%</t>
        </is>
      </c>
      <c r="E151" s="159" t="n">
        <v>2</v>
      </c>
      <c r="F151" s="162" t="inlineStr">
        <is>
          <t>Trend</t>
        </is>
      </c>
    </row>
    <row r="152">
      <c r="A152" s="159" t="inlineStr">
        <is>
          <t>코카콜라 월드컵 스티커</t>
        </is>
      </c>
      <c r="B152" s="159" t="inlineStr">
        <is>
          <t>7월 13일</t>
        </is>
      </c>
      <c r="C152" s="159" t="inlineStr">
        <is>
          <t>북중미 월드컵 띠부실</t>
        </is>
      </c>
      <c r="D152" s="159" t="inlineStr">
        <is>
          <t>2.78%</t>
        </is>
      </c>
      <c r="E152" s="159" t="n">
        <v>1</v>
      </c>
      <c r="F152" s="162" t="inlineStr">
        <is>
          <t>Trend</t>
        </is>
      </c>
    </row>
    <row r="153">
      <c r="A153" s="159" t="inlineStr">
        <is>
          <t>코카콜라 월드컵 스티커</t>
        </is>
      </c>
      <c r="B153" s="159" t="inlineStr">
        <is>
          <t>7월 13일</t>
        </is>
      </c>
      <c r="C153" s="159" t="inlineStr">
        <is>
          <t>코카콜라 마케팅</t>
        </is>
      </c>
      <c r="D153" s="159" t="inlineStr">
        <is>
          <t>2.78%</t>
        </is>
      </c>
      <c r="E153" s="159" t="n">
        <v>1</v>
      </c>
      <c r="F153" s="162" t="inlineStr">
        <is>
          <t>Trend</t>
        </is>
      </c>
    </row>
    <row r="154">
      <c r="A154" s="159" t="inlineStr">
        <is>
          <t>코카콜라 월드컵 스티커</t>
        </is>
      </c>
      <c r="B154" s="159" t="inlineStr">
        <is>
          <t>7월 13일</t>
        </is>
      </c>
      <c r="C154" s="159" t="inlineStr">
        <is>
          <t>코카콜라북중미월드컵</t>
        </is>
      </c>
      <c r="D154" s="159" t="inlineStr">
        <is>
          <t>2.78%</t>
        </is>
      </c>
      <c r="E154" s="159" t="n">
        <v>1</v>
      </c>
      <c r="F154" s="162" t="inlineStr">
        <is>
          <t>Trend</t>
        </is>
      </c>
    </row>
    <row r="155">
      <c r="A155" s="159" t="inlineStr">
        <is>
          <t>코카콜라 월드컵 스티커</t>
        </is>
      </c>
      <c r="B155" s="159" t="inlineStr">
        <is>
          <t>7월 13일</t>
        </is>
      </c>
      <c r="C155" s="159" t="inlineStr">
        <is>
          <t>파니니 26 월드컵</t>
        </is>
      </c>
      <c r="D155" s="159" t="inlineStr">
        <is>
          <t>2.78%</t>
        </is>
      </c>
      <c r="E155" s="159" t="n">
        <v>1</v>
      </c>
      <c r="F155" s="162" t="inlineStr">
        <is>
          <t>Trend</t>
        </is>
      </c>
    </row>
    <row r="156">
      <c r="A156" s="159" t="inlineStr">
        <is>
          <t>코카콜라 월드컵 스티커</t>
        </is>
      </c>
      <c r="B156" s="159" t="inlineStr">
        <is>
          <t>7월 13일</t>
        </is>
      </c>
      <c r="C156" s="159" t="inlineStr">
        <is>
          <t>파니니 월드컵 2026</t>
        </is>
      </c>
      <c r="D156" s="159" t="inlineStr">
        <is>
          <t>2.78%</t>
        </is>
      </c>
      <c r="E156" s="159" t="n">
        <v>1</v>
      </c>
      <c r="F156" s="162" t="inlineStr">
        <is>
          <t>Trend</t>
        </is>
      </c>
    </row>
    <row r="157">
      <c r="A157" s="159" t="inlineStr">
        <is>
          <t>코카콜라 월드컵 스티커</t>
        </is>
      </c>
      <c r="B157" s="159" t="inlineStr">
        <is>
          <t>7월 13일</t>
        </is>
      </c>
      <c r="C157" s="159" t="inlineStr">
        <is>
          <t>2026 월드컵 파니니</t>
        </is>
      </c>
      <c r="D157" s="159" t="inlineStr">
        <is>
          <t>2.78%</t>
        </is>
      </c>
      <c r="E157" s="159" t="n">
        <v>1</v>
      </c>
      <c r="F157" s="162" t="inlineStr">
        <is>
          <t>Trend</t>
        </is>
      </c>
    </row>
    <row r="158">
      <c r="A158" s="159" t="inlineStr">
        <is>
          <t>코카콜라 월드컵 스티커</t>
        </is>
      </c>
      <c r="B158" s="159" t="inlineStr">
        <is>
          <t>7월 14일</t>
        </is>
      </c>
      <c r="C158" s="159" t="inlineStr">
        <is>
          <t>파니니 콜라</t>
        </is>
      </c>
      <c r="D158" s="159" t="inlineStr">
        <is>
          <t>4.65%</t>
        </is>
      </c>
      <c r="E158" s="159" t="n">
        <v>2</v>
      </c>
      <c r="F158" s="162" t="inlineStr">
        <is>
          <t>Trend</t>
        </is>
      </c>
    </row>
    <row r="159">
      <c r="A159" s="159" t="inlineStr">
        <is>
          <t>코카콜라 월드컵 스티커</t>
        </is>
      </c>
      <c r="B159" s="159" t="inlineStr">
        <is>
          <t>7월 14일</t>
        </is>
      </c>
      <c r="C159" s="159" t="inlineStr">
        <is>
          <t>코카콜라 축구 스티커</t>
        </is>
      </c>
      <c r="D159" s="159" t="inlineStr">
        <is>
          <t>2.33%</t>
        </is>
      </c>
      <c r="E159" s="159" t="n">
        <v>1</v>
      </c>
      <c r="F159" s="162" t="inlineStr">
        <is>
          <t>Trend</t>
        </is>
      </c>
    </row>
    <row r="160">
      <c r="A160" s="159" t="inlineStr">
        <is>
          <t>코카콜라 월드컵 스티커</t>
        </is>
      </c>
      <c r="B160" s="159" t="inlineStr">
        <is>
          <t>7월 14일</t>
        </is>
      </c>
      <c r="C160" s="159" t="inlineStr">
        <is>
          <t>코카콜라 파니니</t>
        </is>
      </c>
      <c r="D160" s="159" t="inlineStr">
        <is>
          <t>2.33%</t>
        </is>
      </c>
      <c r="E160" s="159" t="n">
        <v>1</v>
      </c>
      <c r="F160" s="162" t="inlineStr">
        <is>
          <t>Trend</t>
        </is>
      </c>
    </row>
    <row r="161">
      <c r="A161" s="159" t="inlineStr">
        <is>
          <t>코카콜라 월드컵 스티커</t>
        </is>
      </c>
      <c r="B161" s="159" t="inlineStr">
        <is>
          <t>7월 15일</t>
        </is>
      </c>
      <c r="C161" s="159" t="inlineStr">
        <is>
          <t>FIFA 월드컵 스티커</t>
        </is>
      </c>
      <c r="D161" s="159" t="inlineStr">
        <is>
          <t>1.23%</t>
        </is>
      </c>
      <c r="E161" s="159" t="n">
        <v>1</v>
      </c>
      <c r="F161" s="162" t="inlineStr">
        <is>
          <t>Trend</t>
        </is>
      </c>
    </row>
    <row r="162">
      <c r="A162" s="159" t="inlineStr">
        <is>
          <t>코카콜라 월드컵 스티커</t>
        </is>
      </c>
      <c r="B162" s="159" t="inlineStr">
        <is>
          <t>7월 15일</t>
        </is>
      </c>
      <c r="C162" s="159" t="inlineStr">
        <is>
          <t>코카콜라 월드컵</t>
        </is>
      </c>
      <c r="D162" s="159" t="inlineStr">
        <is>
          <t>1.23%</t>
        </is>
      </c>
      <c r="E162" s="159" t="n">
        <v>1</v>
      </c>
      <c r="F162" s="162" t="inlineStr">
        <is>
          <t>Trend</t>
        </is>
      </c>
    </row>
    <row r="163">
      <c r="A163" s="159" t="inlineStr">
        <is>
          <t>코카콜라 월드컵 스티커</t>
        </is>
      </c>
      <c r="B163" s="159" t="inlineStr">
        <is>
          <t>7월 15일</t>
        </is>
      </c>
      <c r="C163" s="159" t="inlineStr">
        <is>
          <t>코카콜라 월드컵 스티커</t>
        </is>
      </c>
      <c r="D163" s="159" t="inlineStr">
        <is>
          <t>1.23%</t>
        </is>
      </c>
      <c r="E163" s="159" t="n">
        <v>1</v>
      </c>
      <c r="F163" s="162" t="inlineStr">
        <is>
          <t>Trend</t>
        </is>
      </c>
    </row>
    <row r="164">
      <c r="A164" s="159" t="inlineStr">
        <is>
          <t>코카콜라 월드컵 스티커</t>
        </is>
      </c>
      <c r="B164" s="159" t="inlineStr">
        <is>
          <t>7월 15일</t>
        </is>
      </c>
      <c r="C164" s="159" t="inlineStr">
        <is>
          <t>콜라 월드컵 씰</t>
        </is>
      </c>
      <c r="D164" s="159" t="inlineStr">
        <is>
          <t>1.23%</t>
        </is>
      </c>
      <c r="E164" s="159" t="n">
        <v>1</v>
      </c>
      <c r="F164" s="162" t="inlineStr">
        <is>
          <t>Trend</t>
        </is>
      </c>
    </row>
    <row r="165">
      <c r="A165" s="159" t="inlineStr">
        <is>
          <t>코카콜라 월드컵 스티커</t>
        </is>
      </c>
      <c r="B165" s="159" t="inlineStr">
        <is>
          <t>7월 15일</t>
        </is>
      </c>
      <c r="C165" s="159" t="inlineStr">
        <is>
          <t>피파월드컵 스티커</t>
        </is>
      </c>
      <c r="D165" s="159" t="inlineStr">
        <is>
          <t>1.23%</t>
        </is>
      </c>
      <c r="E165" s="159" t="n">
        <v>1</v>
      </c>
      <c r="F165" s="162" t="inlineStr">
        <is>
          <t>Trend</t>
        </is>
      </c>
    </row>
    <row r="166">
      <c r="A166" s="159" t="inlineStr">
        <is>
          <t>코카콜라 월드컵 스티커</t>
        </is>
      </c>
      <c r="B166" s="159" t="inlineStr">
        <is>
          <t>7월 16일</t>
        </is>
      </c>
      <c r="C166" s="159" t="inlineStr">
        <is>
          <t>월드컵 스티커 북</t>
        </is>
      </c>
      <c r="D166" s="159" t="inlineStr">
        <is>
          <t>2.22%</t>
        </is>
      </c>
      <c r="E166" s="159" t="n">
        <v>1</v>
      </c>
      <c r="F166" s="162" t="inlineStr">
        <is>
          <t>Trend</t>
        </is>
      </c>
    </row>
    <row r="167">
      <c r="A167" s="159" t="inlineStr">
        <is>
          <t>코카콜라 월드컵 스티커</t>
        </is>
      </c>
      <c r="B167" s="159" t="inlineStr">
        <is>
          <t>7월 16일</t>
        </is>
      </c>
      <c r="C167" s="159" t="inlineStr">
        <is>
          <t>코카콜라 파니니 스티커</t>
        </is>
      </c>
      <c r="D167" s="159" t="inlineStr">
        <is>
          <t>2.22%</t>
        </is>
      </c>
      <c r="E167" s="159" t="n">
        <v>1</v>
      </c>
      <c r="F167" s="162" t="inlineStr">
        <is>
          <t>Trend</t>
        </is>
      </c>
    </row>
    <row r="168">
      <c r="A168" s="159" t="inlineStr">
        <is>
          <t>코카콜라 월드컵 스티커</t>
        </is>
      </c>
      <c r="B168" s="159" t="inlineStr">
        <is>
          <t>7월 16일</t>
        </is>
      </c>
      <c r="C168" s="159" t="inlineStr">
        <is>
          <t>파니니 월드컵 스티커 2026</t>
        </is>
      </c>
      <c r="D168" s="159" t="inlineStr">
        <is>
          <t>2.22%</t>
        </is>
      </c>
      <c r="E168" s="159" t="n">
        <v>1</v>
      </c>
      <c r="F168" s="162" t="inlineStr">
        <is>
          <t>Trend</t>
        </is>
      </c>
    </row>
    <row r="169">
      <c r="A169" s="159" t="inlineStr">
        <is>
          <t>코카콜라 월드컵 스티커</t>
        </is>
      </c>
      <c r="B169" s="159" t="inlineStr">
        <is>
          <t>7월 17일</t>
        </is>
      </c>
      <c r="C169" s="159" t="inlineStr">
        <is>
          <t>2026 월드컵 스티커</t>
        </is>
      </c>
      <c r="D169" s="159" t="inlineStr">
        <is>
          <t>5.00%</t>
        </is>
      </c>
      <c r="E169" s="159" t="n">
        <v>2</v>
      </c>
      <c r="F169" s="162" t="inlineStr">
        <is>
          <t>Trend</t>
        </is>
      </c>
    </row>
    <row r="170">
      <c r="A170" s="159" t="inlineStr">
        <is>
          <t>코카콜라 월드컵 스티커</t>
        </is>
      </c>
      <c r="B170" s="159" t="inlineStr">
        <is>
          <t>7월 17일</t>
        </is>
      </c>
      <c r="C170" s="159" t="inlineStr">
        <is>
          <t>월드컵 파니니 스티커</t>
        </is>
      </c>
      <c r="D170" s="159" t="inlineStr">
        <is>
          <t>2.50%</t>
        </is>
      </c>
      <c r="E170" s="159" t="n">
        <v>1</v>
      </c>
      <c r="F170" s="162" t="inlineStr">
        <is>
          <t>Trend</t>
        </is>
      </c>
    </row>
    <row r="171">
      <c r="A171" s="159" t="inlineStr">
        <is>
          <t>코카콜라 월드컵 스티커</t>
        </is>
      </c>
      <c r="B171" s="159" t="inlineStr">
        <is>
          <t>7월 17일</t>
        </is>
      </c>
      <c r="C171" s="159" t="inlineStr">
        <is>
          <t>코카콜라 파니니 스티커</t>
        </is>
      </c>
      <c r="D171" s="159" t="inlineStr">
        <is>
          <t>2.50%</t>
        </is>
      </c>
      <c r="E171" s="159" t="n">
        <v>1</v>
      </c>
      <c r="F171" s="162" t="inlineStr">
        <is>
          <t>Trend</t>
        </is>
      </c>
    </row>
    <row r="172">
      <c r="A172" s="159" t="inlineStr">
        <is>
          <t>코카콜라 월드컵 스티커</t>
        </is>
      </c>
      <c r="B172" s="159" t="inlineStr">
        <is>
          <t>7월 17일</t>
        </is>
      </c>
      <c r="C172" s="159" t="inlineStr">
        <is>
          <t>콜라 피파스티커</t>
        </is>
      </c>
      <c r="D172" s="159" t="inlineStr">
        <is>
          <t>2.50%</t>
        </is>
      </c>
      <c r="E172" s="159" t="n">
        <v>1</v>
      </c>
      <c r="F172" s="162" t="inlineStr">
        <is>
          <t>Trend</t>
        </is>
      </c>
    </row>
    <row r="173">
      <c r="A173" s="159" t="inlineStr">
        <is>
          <t>코카콜라 월드컵 스티커</t>
        </is>
      </c>
      <c r="B173" s="159" t="inlineStr">
        <is>
          <t>7월 19일</t>
        </is>
      </c>
      <c r="C173" s="159" t="inlineStr">
        <is>
          <t>코카콜라 축구카드</t>
        </is>
      </c>
      <c r="D173" s="159" t="inlineStr">
        <is>
          <t>4.00%</t>
        </is>
      </c>
      <c r="E173" s="159" t="n">
        <v>1</v>
      </c>
      <c r="F173" s="162" t="inlineStr">
        <is>
          <t>Trend</t>
        </is>
      </c>
    </row>
    <row r="174">
      <c r="A174" s="159" t="inlineStr">
        <is>
          <t>코카콜라 월드컵 스티커</t>
        </is>
      </c>
      <c r="B174" s="159" t="inlineStr">
        <is>
          <t>7월 20일</t>
        </is>
      </c>
      <c r="C174" s="159" t="inlineStr">
        <is>
          <t>2026 월드컵 코카콜라</t>
        </is>
      </c>
      <c r="D174" s="159" t="inlineStr">
        <is>
          <t>1.02%</t>
        </is>
      </c>
      <c r="E174" s="159" t="n">
        <v>1</v>
      </c>
      <c r="F174" s="162" t="inlineStr">
        <is>
          <t>Trend</t>
        </is>
      </c>
    </row>
    <row r="175">
      <c r="A175" s="159" t="inlineStr">
        <is>
          <t>코카콜라 월드컵 스티커</t>
        </is>
      </c>
      <c r="B175" s="159" t="inlineStr">
        <is>
          <t>7월 20일</t>
        </is>
      </c>
      <c r="C175" s="159" t="inlineStr">
        <is>
          <t>코카콜라 피파 스티커</t>
        </is>
      </c>
      <c r="D175" s="159" t="inlineStr">
        <is>
          <t>1.02%</t>
        </is>
      </c>
      <c r="E175" s="159" t="n">
        <v>1</v>
      </c>
      <c r="F175" s="162" t="inlineStr">
        <is>
          <t>Trend</t>
        </is>
      </c>
    </row>
    <row r="176">
      <c r="A176" s="159" t="inlineStr">
        <is>
          <t>코카콜라 월드컵 스티커</t>
        </is>
      </c>
      <c r="B176" s="159" t="inlineStr">
        <is>
          <t>7월 20일</t>
        </is>
      </c>
      <c r="C176" s="159" t="inlineStr">
        <is>
          <t>코카콜라안에 스티커</t>
        </is>
      </c>
      <c r="D176" s="159" t="inlineStr">
        <is>
          <t>1.02%</t>
        </is>
      </c>
      <c r="E176" s="159" t="n">
        <v>1</v>
      </c>
      <c r="F176" s="162" t="inlineStr">
        <is>
          <t>Trend</t>
        </is>
      </c>
    </row>
    <row r="177">
      <c r="A177" s="159" t="inlineStr">
        <is>
          <t>코카콜라 월드컵 스티커</t>
        </is>
      </c>
      <c r="B177" s="159" t="inlineStr">
        <is>
          <t>7월 20일</t>
        </is>
      </c>
      <c r="C177" s="159" t="inlineStr">
        <is>
          <t>콜라 월드컵 스티커</t>
        </is>
      </c>
      <c r="D177" s="159" t="inlineStr">
        <is>
          <t>1.02%</t>
        </is>
      </c>
      <c r="E177" s="159" t="n">
        <v>1</v>
      </c>
      <c r="F177" s="162" t="inlineStr">
        <is>
          <t>Trend</t>
        </is>
      </c>
    </row>
    <row r="178">
      <c r="A178" s="159" t="inlineStr">
        <is>
          <t>코카콜라 월드컵 스티커</t>
        </is>
      </c>
      <c r="B178" s="159" t="inlineStr">
        <is>
          <t>7월 21일</t>
        </is>
      </c>
      <c r="C178" s="159" t="inlineStr">
        <is>
          <t>파니니 스티커 2026</t>
        </is>
      </c>
      <c r="D178" s="159" t="inlineStr">
        <is>
          <t>0.73%</t>
        </is>
      </c>
      <c r="E178" s="159" t="n">
        <v>1</v>
      </c>
      <c r="F178" s="162" t="inlineStr">
        <is>
          <t>Trend</t>
        </is>
      </c>
    </row>
    <row r="179">
      <c r="A179" s="159" t="inlineStr">
        <is>
          <t>코카콜라 월드컵 스티커</t>
        </is>
      </c>
      <c r="B179" s="159" t="inlineStr">
        <is>
          <t>7월 21일</t>
        </is>
      </c>
      <c r="C179" s="159" t="inlineStr">
        <is>
          <t>2026년 파니니 월드컵</t>
        </is>
      </c>
      <c r="D179" s="159" t="inlineStr">
        <is>
          <t>0.73%</t>
        </is>
      </c>
      <c r="E179" s="159" t="n">
        <v>1</v>
      </c>
      <c r="F179" s="162" t="inlineStr">
        <is>
          <t>Trend</t>
        </is>
      </c>
    </row>
    <row r="180">
      <c r="A180" s="159" t="inlineStr">
        <is>
          <t>코카콜라 월드컵 스티커</t>
        </is>
      </c>
      <c r="B180" s="159" t="inlineStr">
        <is>
          <t>7월 21일</t>
        </is>
      </c>
      <c r="C180" s="159" t="inlineStr">
        <is>
          <t>코카콜라 피파 스티커</t>
        </is>
      </c>
      <c r="D180" s="159" t="inlineStr">
        <is>
          <t>0.73%</t>
        </is>
      </c>
      <c r="E180" s="159" t="n">
        <v>1</v>
      </c>
      <c r="F180" s="162" t="inlineStr">
        <is>
          <t>Trend</t>
        </is>
      </c>
    </row>
    <row r="181">
      <c r="A181" s="159" t="inlineStr">
        <is>
          <t>코카콜라 월드컵 스티커</t>
        </is>
      </c>
      <c r="B181" s="159" t="inlineStr">
        <is>
          <t>7월 22일</t>
        </is>
      </c>
      <c r="C181" s="159" t="inlineStr">
        <is>
          <t>코키콜라 월드컵 스티커</t>
        </is>
      </c>
      <c r="D181" s="159" t="inlineStr">
        <is>
          <t>1.10%</t>
        </is>
      </c>
      <c r="E181" s="159" t="n">
        <v>1</v>
      </c>
      <c r="F181" s="162" t="inlineStr">
        <is>
          <t>Trend</t>
        </is>
      </c>
    </row>
    <row r="182">
      <c r="A182" s="159" t="inlineStr">
        <is>
          <t>코카콜라 월드컵 스티커</t>
        </is>
      </c>
      <c r="B182" s="159" t="inlineStr">
        <is>
          <t>7월 22일</t>
        </is>
      </c>
      <c r="C182" s="159" t="inlineStr">
        <is>
          <t>피파 코카콜라 스티커</t>
        </is>
      </c>
      <c r="D182" s="159" t="inlineStr">
        <is>
          <t>1.10%</t>
        </is>
      </c>
      <c r="E182" s="159" t="n">
        <v>1</v>
      </c>
      <c r="F182" s="162" t="inlineStr">
        <is>
          <t>Trend</t>
        </is>
      </c>
    </row>
    <row r="183">
      <c r="A183" s="159" t="inlineStr">
        <is>
          <t>코카콜라 월드컵 스티커</t>
        </is>
      </c>
      <c r="B183" s="159" t="inlineStr">
        <is>
          <t>7월 22일</t>
        </is>
      </c>
      <c r="C183" s="159" t="inlineStr">
        <is>
          <t>월드컵 코카콜라 파니니</t>
        </is>
      </c>
      <c r="D183" s="159" t="inlineStr">
        <is>
          <t>1.10%</t>
        </is>
      </c>
      <c r="E183" s="159" t="n">
        <v>1</v>
      </c>
      <c r="F183" s="162" t="inlineStr">
        <is>
          <t>Trend</t>
        </is>
      </c>
    </row>
    <row r="184">
      <c r="A184" s="159" t="inlineStr">
        <is>
          <t>코카콜라 월드컵 스티커</t>
        </is>
      </c>
      <c r="B184" s="159" t="inlineStr">
        <is>
          <t>7월 23일</t>
        </is>
      </c>
      <c r="C184" s="159" t="inlineStr">
        <is>
          <t>파니니 2026 월드컵</t>
        </is>
      </c>
      <c r="D184" s="159" t="inlineStr">
        <is>
          <t>0.97%</t>
        </is>
      </c>
      <c r="E184" s="159" t="n">
        <v>1</v>
      </c>
      <c r="F184" s="162" t="inlineStr">
        <is>
          <t>Trend</t>
        </is>
      </c>
    </row>
    <row r="185">
      <c r="A185" s="159" t="inlineStr">
        <is>
          <t>코카콜라 월드컵 스티커</t>
        </is>
      </c>
      <c r="B185" s="159" t="inlineStr">
        <is>
          <t>7월 23일</t>
        </is>
      </c>
      <c r="C185" s="159" t="inlineStr">
        <is>
          <t>북중미 월드컵 코카콜라 캠페인</t>
        </is>
      </c>
      <c r="D185" s="159" t="inlineStr">
        <is>
          <t>0.97%</t>
        </is>
      </c>
      <c r="E185" s="159" t="n">
        <v>1</v>
      </c>
      <c r="F185" s="162" t="inlineStr">
        <is>
          <t>Trend</t>
        </is>
      </c>
    </row>
    <row r="186">
      <c r="A186" s="159" t="inlineStr">
        <is>
          <t>코카콜라 월드컵 스티커</t>
        </is>
      </c>
      <c r="B186" s="159" t="inlineStr">
        <is>
          <t>7월 24일</t>
        </is>
      </c>
      <c r="C186" s="159" t="inlineStr">
        <is>
          <t>피파 콜라 라벨</t>
        </is>
      </c>
      <c r="D186" s="159" t="inlineStr">
        <is>
          <t>3.33%</t>
        </is>
      </c>
      <c r="E186" s="159" t="n">
        <v>1</v>
      </c>
      <c r="F186" s="162" t="inlineStr">
        <is>
          <t>Trend</t>
        </is>
      </c>
    </row>
    <row r="187">
      <c r="A187" s="159" t="inlineStr">
        <is>
          <t>코카콜라 월드컵 스티커</t>
        </is>
      </c>
      <c r="B187" s="159" t="inlineStr">
        <is>
          <t>7월 25일</t>
        </is>
      </c>
      <c r="C187" s="159" t="inlineStr">
        <is>
          <t>코카콜라 파니니라벨 스티커</t>
        </is>
      </c>
      <c r="D187" s="159" t="inlineStr">
        <is>
          <t>20.00%</t>
        </is>
      </c>
      <c r="E187" s="159" t="n">
        <v>1</v>
      </c>
      <c r="F187" s="162" t="inlineStr">
        <is>
          <t>Trend</t>
        </is>
      </c>
    </row>
    <row r="188">
      <c r="A188" s="159" t="inlineStr">
        <is>
          <t>코카콜라 월드컵 스티커</t>
        </is>
      </c>
      <c r="B188" s="159" t="inlineStr">
        <is>
          <t>7월 26일</t>
        </is>
      </c>
      <c r="C188" s="159" t="inlineStr">
        <is>
          <t>미국 코카콜라 월드컵스티커</t>
        </is>
      </c>
      <c r="D188" s="159" t="inlineStr">
        <is>
          <t>6.67%</t>
        </is>
      </c>
      <c r="E188" s="159" t="n">
        <v>1</v>
      </c>
      <c r="F188" s="162" t="inlineStr">
        <is>
          <t>Trend</t>
        </is>
      </c>
    </row>
    <row r="189">
      <c r="A189" s="159" t="inlineStr">
        <is>
          <t>코카콜라 월드컵 스티커</t>
        </is>
      </c>
      <c r="B189" s="159" t="inlineStr">
        <is>
          <t>7월 27일</t>
        </is>
      </c>
      <c r="C189" s="159" t="inlineStr">
        <is>
          <t>코카콜라 파니니 스티커</t>
        </is>
      </c>
      <c r="D189" s="159" t="inlineStr">
        <is>
          <t>3.33%</t>
        </is>
      </c>
      <c r="E189" s="159" t="n">
        <v>1</v>
      </c>
      <c r="F189" s="162" t="inlineStr">
        <is>
          <t>Trend</t>
        </is>
      </c>
    </row>
    <row r="190">
      <c r="A190" s="159" t="inlineStr">
        <is>
          <t>코카콜라 월드컵 스티커</t>
        </is>
      </c>
      <c r="B190" s="159" t="inlineStr">
        <is>
          <t>7월 28일</t>
        </is>
      </c>
      <c r="C190" s="159" t="inlineStr">
        <is>
          <t>파니니 스티커북</t>
        </is>
      </c>
      <c r="D190" s="159" t="inlineStr">
        <is>
          <t>4.35%</t>
        </is>
      </c>
      <c r="E190" s="159" t="n">
        <v>1</v>
      </c>
      <c r="F190" s="162" t="inlineStr">
        <is>
          <t>Trend</t>
        </is>
      </c>
    </row>
    <row r="191">
      <c r="A191" s="159" t="inlineStr">
        <is>
          <t>코카콜라 월드컵 스티커</t>
        </is>
      </c>
      <c r="B191" s="159" t="inlineStr">
        <is>
          <t>7월 28일</t>
        </is>
      </c>
      <c r="C191" s="159" t="inlineStr">
        <is>
          <t>파니니 코카콜라 스티커</t>
        </is>
      </c>
      <c r="D191" s="159" t="inlineStr">
        <is>
          <t>4.35%</t>
        </is>
      </c>
      <c r="E191" s="159" t="n">
        <v>1</v>
      </c>
      <c r="F191" s="162" t="inlineStr">
        <is>
          <t>Trend</t>
        </is>
      </c>
    </row>
    <row r="192">
      <c r="A192" s="159" t="inlineStr">
        <is>
          <t>코카콜라 월드컵 스티커</t>
        </is>
      </c>
      <c r="B192" s="159" t="inlineStr">
        <is>
          <t>7월 30일</t>
        </is>
      </c>
      <c r="C192" s="159" t="inlineStr">
        <is>
          <t>코카콜라 월드컵 캐인 라벨</t>
        </is>
      </c>
      <c r="D192" s="159" t="inlineStr">
        <is>
          <t>2.56%</t>
        </is>
      </c>
      <c r="E192" s="159" t="n">
        <v>2</v>
      </c>
      <c r="F192" s="162" t="inlineStr">
        <is>
          <t>Trend</t>
        </is>
      </c>
    </row>
    <row r="193">
      <c r="A193" s="159" t="inlineStr">
        <is>
          <t>타불라</t>
        </is>
      </c>
      <c r="B193" s="159" t="inlineStr">
        <is>
          <t>7월 1일</t>
        </is>
      </c>
      <c r="C193" s="159" t="inlineStr">
        <is>
          <t>타불라</t>
        </is>
      </c>
      <c r="D193" s="159" t="inlineStr">
        <is>
          <t>3.85%</t>
        </is>
      </c>
      <c r="E193" s="159" t="n">
        <v>2</v>
      </c>
      <c r="F193" s="163" t="inlineStr">
        <is>
          <t>Media</t>
        </is>
      </c>
    </row>
    <row r="194">
      <c r="A194" s="159" t="inlineStr">
        <is>
          <t>타불라</t>
        </is>
      </c>
      <c r="B194" s="159" t="inlineStr">
        <is>
          <t>7월 2일</t>
        </is>
      </c>
      <c r="C194" s="159" t="inlineStr">
        <is>
          <t>타불라</t>
        </is>
      </c>
      <c r="D194" s="159" t="inlineStr">
        <is>
          <t>4.35%</t>
        </is>
      </c>
      <c r="E194" s="159" t="n">
        <v>3</v>
      </c>
      <c r="F194" s="163" t="inlineStr">
        <is>
          <t>Media</t>
        </is>
      </c>
    </row>
    <row r="195">
      <c r="A195" s="159" t="inlineStr">
        <is>
          <t>타불라</t>
        </is>
      </c>
      <c r="B195" s="159" t="inlineStr">
        <is>
          <t>7월 2일</t>
        </is>
      </c>
      <c r="C195" s="159" t="inlineStr">
        <is>
          <t>타불라</t>
        </is>
      </c>
      <c r="D195" s="159" t="inlineStr">
        <is>
          <t>1.45%</t>
        </is>
      </c>
      <c r="E195" s="159" t="n">
        <v>1</v>
      </c>
      <c r="F195" s="163" t="inlineStr">
        <is>
          <t>Media</t>
        </is>
      </c>
    </row>
    <row r="196">
      <c r="A196" s="159" t="inlineStr">
        <is>
          <t>타불라</t>
        </is>
      </c>
      <c r="B196" s="159" t="inlineStr">
        <is>
          <t>7월 3일</t>
        </is>
      </c>
      <c r="C196" s="159" t="inlineStr">
        <is>
          <t>타불라</t>
        </is>
      </c>
      <c r="D196" s="159" t="inlineStr">
        <is>
          <t>10.71%</t>
        </is>
      </c>
      <c r="E196" s="159" t="n">
        <v>3</v>
      </c>
      <c r="F196" s="163" t="inlineStr">
        <is>
          <t>Media</t>
        </is>
      </c>
    </row>
    <row r="197">
      <c r="A197" s="159" t="inlineStr">
        <is>
          <t>타불라</t>
        </is>
      </c>
      <c r="B197" s="159" t="inlineStr">
        <is>
          <t>7월 3일</t>
        </is>
      </c>
      <c r="C197" s="159" t="inlineStr">
        <is>
          <t>타불라 광고</t>
        </is>
      </c>
      <c r="D197" s="159" t="inlineStr">
        <is>
          <t>3.57%</t>
        </is>
      </c>
      <c r="E197" s="159" t="n">
        <v>1</v>
      </c>
      <c r="F197" s="163" t="inlineStr">
        <is>
          <t>Media</t>
        </is>
      </c>
    </row>
    <row r="198">
      <c r="A198" s="159" t="inlineStr">
        <is>
          <t>타불라</t>
        </is>
      </c>
      <c r="B198" s="159" t="inlineStr">
        <is>
          <t>7월 3일</t>
        </is>
      </c>
      <c r="C198" s="159" t="inlineStr">
        <is>
          <t>타뷸라</t>
        </is>
      </c>
      <c r="D198" s="159" t="inlineStr">
        <is>
          <t>3.57%</t>
        </is>
      </c>
      <c r="E198" s="159" t="n">
        <v>1</v>
      </c>
      <c r="F198" s="163" t="inlineStr">
        <is>
          <t>Media</t>
        </is>
      </c>
    </row>
    <row r="199">
      <c r="A199" s="159" t="inlineStr">
        <is>
          <t>타불라</t>
        </is>
      </c>
      <c r="B199" s="159" t="inlineStr">
        <is>
          <t>7월 4일</t>
        </is>
      </c>
      <c r="C199" s="159" t="inlineStr">
        <is>
          <t>타불라</t>
        </is>
      </c>
      <c r="D199" s="159" t="inlineStr">
        <is>
          <t>12.50%</t>
        </is>
      </c>
      <c r="E199" s="159" t="n">
        <v>1</v>
      </c>
      <c r="F199" s="163" t="inlineStr">
        <is>
          <t>Media</t>
        </is>
      </c>
    </row>
    <row r="200">
      <c r="A200" s="159" t="inlineStr">
        <is>
          <t>타불라</t>
        </is>
      </c>
      <c r="B200" s="159" t="inlineStr">
        <is>
          <t>7월 4일</t>
        </is>
      </c>
      <c r="C200" s="159" t="inlineStr">
        <is>
          <t>타뷸라광고</t>
        </is>
      </c>
      <c r="D200" s="159" t="inlineStr">
        <is>
          <t>12.50%</t>
        </is>
      </c>
      <c r="E200" s="159" t="n">
        <v>1</v>
      </c>
      <c r="F200" s="163" t="inlineStr">
        <is>
          <t>Media</t>
        </is>
      </c>
    </row>
    <row r="201">
      <c r="A201" s="159" t="inlineStr">
        <is>
          <t>타불라</t>
        </is>
      </c>
      <c r="B201" s="159" t="inlineStr">
        <is>
          <t>7월 5일</t>
        </is>
      </c>
      <c r="C201" s="159" t="inlineStr">
        <is>
          <t>타불라</t>
        </is>
      </c>
      <c r="D201" s="159" t="inlineStr">
        <is>
          <t>16.67%</t>
        </is>
      </c>
      <c r="E201" s="159" t="n">
        <v>1</v>
      </c>
      <c r="F201" s="163" t="inlineStr">
        <is>
          <t>Media</t>
        </is>
      </c>
    </row>
    <row r="202">
      <c r="A202" s="159" t="inlineStr">
        <is>
          <t>타불라</t>
        </is>
      </c>
      <c r="B202" s="159" t="inlineStr">
        <is>
          <t>7월 6일</t>
        </is>
      </c>
      <c r="C202" s="159" t="inlineStr">
        <is>
          <t>타불라 계정 생성</t>
        </is>
      </c>
      <c r="D202" s="159" t="inlineStr">
        <is>
          <t>1.52%</t>
        </is>
      </c>
      <c r="E202" s="159" t="n">
        <v>1</v>
      </c>
      <c r="F202" s="163" t="inlineStr">
        <is>
          <t>Media</t>
        </is>
      </c>
    </row>
    <row r="203">
      <c r="A203" s="159" t="inlineStr">
        <is>
          <t>타불라</t>
        </is>
      </c>
      <c r="B203" s="159" t="inlineStr">
        <is>
          <t>7월 6일</t>
        </is>
      </c>
      <c r="C203" s="159" t="inlineStr">
        <is>
          <t>타불라 디스플레이</t>
        </is>
      </c>
      <c r="D203" s="159" t="inlineStr">
        <is>
          <t>1.52%</t>
        </is>
      </c>
      <c r="E203" s="159" t="n">
        <v>1</v>
      </c>
      <c r="F203" s="163" t="inlineStr">
        <is>
          <t>Media</t>
        </is>
      </c>
    </row>
    <row r="204">
      <c r="A204" s="159" t="inlineStr">
        <is>
          <t>타불라</t>
        </is>
      </c>
      <c r="B204" s="159" t="inlineStr">
        <is>
          <t>7월 6일</t>
        </is>
      </c>
      <c r="C204" s="159" t="inlineStr">
        <is>
          <t>타뷸라</t>
        </is>
      </c>
      <c r="D204" s="159" t="inlineStr">
        <is>
          <t>1.52%</t>
        </is>
      </c>
      <c r="E204" s="159" t="n">
        <v>1</v>
      </c>
      <c r="F204" s="163" t="inlineStr">
        <is>
          <t>Media</t>
        </is>
      </c>
    </row>
    <row r="205">
      <c r="A205" s="159" t="inlineStr">
        <is>
          <t>타불라</t>
        </is>
      </c>
      <c r="B205" s="159" t="inlineStr">
        <is>
          <t>7월 7일</t>
        </is>
      </c>
      <c r="C205" s="159" t="inlineStr">
        <is>
          <t>타불라</t>
        </is>
      </c>
      <c r="D205" s="159" t="inlineStr">
        <is>
          <t>5.06%</t>
        </is>
      </c>
      <c r="E205" s="159" t="n">
        <v>4</v>
      </c>
      <c r="F205" s="163" t="inlineStr">
        <is>
          <t>Media</t>
        </is>
      </c>
    </row>
    <row r="206">
      <c r="A206" s="159" t="inlineStr">
        <is>
          <t>타불라</t>
        </is>
      </c>
      <c r="B206" s="159" t="inlineStr">
        <is>
          <t>7월 7일</t>
        </is>
      </c>
      <c r="C206" s="159" t="inlineStr">
        <is>
          <t>타불라 코리아</t>
        </is>
      </c>
      <c r="D206" s="159" t="inlineStr">
        <is>
          <t>1.27%</t>
        </is>
      </c>
      <c r="E206" s="159" t="n">
        <v>1</v>
      </c>
      <c r="F206" s="163" t="inlineStr">
        <is>
          <t>Media</t>
        </is>
      </c>
    </row>
    <row r="207">
      <c r="A207" s="159" t="inlineStr">
        <is>
          <t>타불라</t>
        </is>
      </c>
      <c r="B207" s="159" t="inlineStr">
        <is>
          <t>7월 8일</t>
        </is>
      </c>
      <c r="C207" s="159" t="inlineStr">
        <is>
          <t>타불라</t>
        </is>
      </c>
      <c r="D207" s="159" t="inlineStr">
        <is>
          <t>0.99%</t>
        </is>
      </c>
      <c r="E207" s="159" t="n">
        <v>1</v>
      </c>
      <c r="F207" s="163" t="inlineStr">
        <is>
          <t>Media</t>
        </is>
      </c>
    </row>
    <row r="208">
      <c r="A208" s="159" t="inlineStr">
        <is>
          <t>타불라</t>
        </is>
      </c>
      <c r="B208" s="159" t="inlineStr">
        <is>
          <t>7월 8일</t>
        </is>
      </c>
      <c r="C208" s="159" t="inlineStr">
        <is>
          <t>타불라 광고</t>
        </is>
      </c>
      <c r="D208" s="159" t="inlineStr">
        <is>
          <t>0.99%</t>
        </is>
      </c>
      <c r="E208" s="159" t="n">
        <v>1</v>
      </c>
      <c r="F208" s="163" t="inlineStr">
        <is>
          <t>Media</t>
        </is>
      </c>
    </row>
    <row r="209">
      <c r="A209" s="159" t="inlineStr">
        <is>
          <t>타불라</t>
        </is>
      </c>
      <c r="B209" s="159" t="inlineStr">
        <is>
          <t>7월 8일</t>
        </is>
      </c>
      <c r="C209" s="159" t="inlineStr">
        <is>
          <t>타블라 광고</t>
        </is>
      </c>
      <c r="D209" s="159" t="inlineStr">
        <is>
          <t>0.99%</t>
        </is>
      </c>
      <c r="E209" s="159" t="n">
        <v>1</v>
      </c>
      <c r="F209" s="163" t="inlineStr">
        <is>
          <t>Media</t>
        </is>
      </c>
    </row>
    <row r="210">
      <c r="A210" s="159" t="inlineStr">
        <is>
          <t>타불라</t>
        </is>
      </c>
      <c r="B210" s="159" t="inlineStr">
        <is>
          <t>7월 9일</t>
        </is>
      </c>
      <c r="C210" s="159" t="inlineStr">
        <is>
          <t>타불라 광고</t>
        </is>
      </c>
      <c r="D210" s="159" t="inlineStr">
        <is>
          <t>5.41%</t>
        </is>
      </c>
      <c r="E210" s="159" t="n">
        <v>2</v>
      </c>
      <c r="F210" s="163" t="inlineStr">
        <is>
          <t>Media</t>
        </is>
      </c>
    </row>
    <row r="211">
      <c r="A211" s="159" t="inlineStr">
        <is>
          <t>타불라</t>
        </is>
      </c>
      <c r="B211" s="159" t="inlineStr">
        <is>
          <t>7월 10일</t>
        </is>
      </c>
      <c r="C211" s="159" t="inlineStr">
        <is>
          <t>타불라</t>
        </is>
      </c>
      <c r="D211" s="159" t="inlineStr">
        <is>
          <t>4.26%</t>
        </is>
      </c>
      <c r="E211" s="159" t="n">
        <v>2</v>
      </c>
      <c r="F211" s="163" t="inlineStr">
        <is>
          <t>Media</t>
        </is>
      </c>
    </row>
    <row r="212">
      <c r="A212" s="159" t="inlineStr">
        <is>
          <t>타불라</t>
        </is>
      </c>
      <c r="B212" s="159" t="inlineStr">
        <is>
          <t>7월 10일</t>
        </is>
      </c>
      <c r="C212" s="159" t="inlineStr">
        <is>
          <t>타불라 광고</t>
        </is>
      </c>
      <c r="D212" s="159" t="inlineStr">
        <is>
          <t>2.13%</t>
        </is>
      </c>
      <c r="E212" s="159" t="n">
        <v>1</v>
      </c>
      <c r="F212" s="163" t="inlineStr">
        <is>
          <t>Media</t>
        </is>
      </c>
    </row>
    <row r="213">
      <c r="A213" s="159" t="inlineStr">
        <is>
          <t>타불라</t>
        </is>
      </c>
      <c r="B213" s="159" t="inlineStr">
        <is>
          <t>7월 11일</t>
        </is>
      </c>
      <c r="C213" s="159" t="inlineStr">
        <is>
          <t>타불라</t>
        </is>
      </c>
      <c r="D213" s="159" t="inlineStr">
        <is>
          <t>4.76%</t>
        </is>
      </c>
      <c r="E213" s="159" t="n">
        <v>1</v>
      </c>
      <c r="F213" s="163" t="inlineStr">
        <is>
          <t>Media</t>
        </is>
      </c>
    </row>
    <row r="214">
      <c r="A214" s="159" t="inlineStr">
        <is>
          <t>타불라</t>
        </is>
      </c>
      <c r="B214" s="159" t="inlineStr">
        <is>
          <t>7월 12일</t>
        </is>
      </c>
      <c r="C214" s="159" t="inlineStr">
        <is>
          <t>타불라</t>
        </is>
      </c>
      <c r="D214" s="159" t="inlineStr">
        <is>
          <t>5.00%</t>
        </is>
      </c>
      <c r="E214" s="159" t="n">
        <v>1</v>
      </c>
      <c r="F214" s="163" t="inlineStr">
        <is>
          <t>Media</t>
        </is>
      </c>
    </row>
    <row r="215">
      <c r="A215" s="159" t="inlineStr">
        <is>
          <t>타불라</t>
        </is>
      </c>
      <c r="B215" s="159" t="inlineStr">
        <is>
          <t>7월 12일</t>
        </is>
      </c>
      <c r="C215" s="159" t="inlineStr">
        <is>
          <t>타불라</t>
        </is>
      </c>
      <c r="D215" s="159" t="inlineStr">
        <is>
          <t>10.00%</t>
        </is>
      </c>
      <c r="E215" s="159" t="n">
        <v>2</v>
      </c>
      <c r="F215" s="163" t="inlineStr">
        <is>
          <t>Media</t>
        </is>
      </c>
    </row>
    <row r="216">
      <c r="A216" s="159" t="inlineStr">
        <is>
          <t>타불라</t>
        </is>
      </c>
      <c r="B216" s="159" t="inlineStr">
        <is>
          <t>7월 13일</t>
        </is>
      </c>
      <c r="C216" s="159" t="inlineStr">
        <is>
          <t>타불라</t>
        </is>
      </c>
      <c r="D216" s="159" t="inlineStr">
        <is>
          <t>2.78%</t>
        </is>
      </c>
      <c r="E216" s="159" t="n">
        <v>1</v>
      </c>
      <c r="F216" s="163" t="inlineStr">
        <is>
          <t>Media</t>
        </is>
      </c>
    </row>
    <row r="217">
      <c r="A217" s="159" t="inlineStr">
        <is>
          <t>타불라</t>
        </is>
      </c>
      <c r="B217" s="159" t="inlineStr">
        <is>
          <t>7월 13일</t>
        </is>
      </c>
      <c r="C217" s="159" t="inlineStr">
        <is>
          <t>타불라</t>
        </is>
      </c>
      <c r="D217" s="159" t="inlineStr">
        <is>
          <t>2.78%</t>
        </is>
      </c>
      <c r="E217" s="159" t="n">
        <v>1</v>
      </c>
      <c r="F217" s="163" t="inlineStr">
        <is>
          <t>Media</t>
        </is>
      </c>
    </row>
    <row r="218">
      <c r="A218" s="159" t="inlineStr">
        <is>
          <t>타불라</t>
        </is>
      </c>
      <c r="B218" s="159" t="inlineStr">
        <is>
          <t>7월 13일</t>
        </is>
      </c>
      <c r="C218" s="159" t="inlineStr">
        <is>
          <t>타불라 디지털 광고 상품</t>
        </is>
      </c>
      <c r="D218" s="159" t="inlineStr">
        <is>
          <t>2.78%</t>
        </is>
      </c>
      <c r="E218" s="159" t="n">
        <v>1</v>
      </c>
      <c r="F218" s="163" t="inlineStr">
        <is>
          <t>Media</t>
        </is>
      </c>
    </row>
    <row r="219">
      <c r="A219" s="159" t="inlineStr">
        <is>
          <t>타불라</t>
        </is>
      </c>
      <c r="B219" s="159" t="inlineStr">
        <is>
          <t>7월 14일</t>
        </is>
      </c>
      <c r="C219" s="159" t="inlineStr">
        <is>
          <t>타블라 광고</t>
        </is>
      </c>
      <c r="D219" s="159" t="inlineStr">
        <is>
          <t>4.65%</t>
        </is>
      </c>
      <c r="E219" s="159" t="n">
        <v>2</v>
      </c>
      <c r="F219" s="163" t="inlineStr">
        <is>
          <t>Media</t>
        </is>
      </c>
    </row>
    <row r="220">
      <c r="A220" s="159" t="inlineStr">
        <is>
          <t>타불라</t>
        </is>
      </c>
      <c r="B220" s="159" t="inlineStr">
        <is>
          <t>7월 14일</t>
        </is>
      </c>
      <c r="C220" s="159" t="inlineStr">
        <is>
          <t>타불라란</t>
        </is>
      </c>
      <c r="D220" s="159" t="inlineStr">
        <is>
          <t>2.33%</t>
        </is>
      </c>
      <c r="E220" s="159" t="n">
        <v>1</v>
      </c>
      <c r="F220" s="163" t="inlineStr">
        <is>
          <t>Media</t>
        </is>
      </c>
    </row>
    <row r="221">
      <c r="A221" s="159" t="inlineStr">
        <is>
          <t>타불라</t>
        </is>
      </c>
      <c r="B221" s="159" t="inlineStr">
        <is>
          <t>7월 15일</t>
        </is>
      </c>
      <c r="C221" s="159" t="inlineStr">
        <is>
          <t>타불라</t>
        </is>
      </c>
      <c r="D221" s="159" t="inlineStr">
        <is>
          <t>1.23%</t>
        </is>
      </c>
      <c r="E221" s="159" t="n">
        <v>1</v>
      </c>
      <c r="F221" s="163" t="inlineStr">
        <is>
          <t>Media</t>
        </is>
      </c>
    </row>
    <row r="222">
      <c r="A222" s="159" t="inlineStr">
        <is>
          <t>타불라</t>
        </is>
      </c>
      <c r="B222" s="159" t="inlineStr">
        <is>
          <t>7월 15일</t>
        </is>
      </c>
      <c r="C222" s="159" t="inlineStr">
        <is>
          <t>taboola 광고</t>
        </is>
      </c>
      <c r="D222" s="159" t="inlineStr">
        <is>
          <t>1.23%</t>
        </is>
      </c>
      <c r="E222" s="159" t="n">
        <v>1</v>
      </c>
      <c r="F222" s="163" t="inlineStr">
        <is>
          <t>Media</t>
        </is>
      </c>
    </row>
    <row r="223">
      <c r="A223" s="159" t="inlineStr">
        <is>
          <t>타불라</t>
        </is>
      </c>
      <c r="B223" s="159" t="inlineStr">
        <is>
          <t>7월 16일</t>
        </is>
      </c>
      <c r="C223" s="159" t="inlineStr">
        <is>
          <t>타불라</t>
        </is>
      </c>
      <c r="D223" s="159" t="inlineStr">
        <is>
          <t>2.22%</t>
        </is>
      </c>
      <c r="E223" s="159" t="n">
        <v>1</v>
      </c>
      <c r="F223" s="163" t="inlineStr">
        <is>
          <t>Media</t>
        </is>
      </c>
    </row>
    <row r="224">
      <c r="A224" s="159" t="inlineStr">
        <is>
          <t>타불라</t>
        </is>
      </c>
      <c r="B224" s="159" t="inlineStr">
        <is>
          <t>7월 18일</t>
        </is>
      </c>
      <c r="C224" s="159" t="inlineStr">
        <is>
          <t>taboola</t>
        </is>
      </c>
      <c r="D224" s="159" t="inlineStr">
        <is>
          <t>1.79%</t>
        </is>
      </c>
      <c r="E224" s="159" t="n">
        <v>1</v>
      </c>
      <c r="F224" s="163" t="inlineStr">
        <is>
          <t>Media</t>
        </is>
      </c>
    </row>
    <row r="225">
      <c r="A225" s="159" t="inlineStr">
        <is>
          <t>타불라</t>
        </is>
      </c>
      <c r="B225" s="159" t="inlineStr">
        <is>
          <t>7월 18일</t>
        </is>
      </c>
      <c r="C225" s="159" t="inlineStr">
        <is>
          <t>타불라 코리아</t>
        </is>
      </c>
      <c r="D225" s="159" t="inlineStr">
        <is>
          <t>1.79%</t>
        </is>
      </c>
      <c r="E225" s="159" t="n">
        <v>1</v>
      </c>
      <c r="F225" s="163" t="inlineStr">
        <is>
          <t>Media</t>
        </is>
      </c>
    </row>
    <row r="226">
      <c r="A226" s="159" t="inlineStr">
        <is>
          <t>타불라</t>
        </is>
      </c>
      <c r="B226" s="159" t="inlineStr">
        <is>
          <t>7월 18일</t>
        </is>
      </c>
      <c r="C226" s="159" t="inlineStr">
        <is>
          <t>타불라</t>
        </is>
      </c>
      <c r="D226" s="159" t="inlineStr">
        <is>
          <t>1.79%</t>
        </is>
      </c>
      <c r="E226" s="159" t="n">
        <v>1</v>
      </c>
      <c r="F226" s="163" t="inlineStr">
        <is>
          <t>Media</t>
        </is>
      </c>
    </row>
    <row r="227">
      <c r="A227" s="159" t="inlineStr">
        <is>
          <t>타불라</t>
        </is>
      </c>
      <c r="B227" s="159" t="inlineStr">
        <is>
          <t>7월 19일</t>
        </is>
      </c>
      <c r="C227" s="159" t="inlineStr">
        <is>
          <t>타불라</t>
        </is>
      </c>
      <c r="D227" s="159" t="inlineStr">
        <is>
          <t>8.00%</t>
        </is>
      </c>
      <c r="E227" s="159" t="n">
        <v>2</v>
      </c>
      <c r="F227" s="163" t="inlineStr">
        <is>
          <t>Media</t>
        </is>
      </c>
    </row>
    <row r="228">
      <c r="A228" s="159" t="inlineStr">
        <is>
          <t>타불라</t>
        </is>
      </c>
      <c r="B228" s="159" t="inlineStr">
        <is>
          <t>7월 21일</t>
        </is>
      </c>
      <c r="C228" s="159" t="inlineStr">
        <is>
          <t>타불라 광고</t>
        </is>
      </c>
      <c r="D228" s="159" t="inlineStr">
        <is>
          <t>1.46%</t>
        </is>
      </c>
      <c r="E228" s="159" t="n">
        <v>2</v>
      </c>
      <c r="F228" s="163" t="inlineStr">
        <is>
          <t>Media</t>
        </is>
      </c>
    </row>
    <row r="229">
      <c r="A229" s="159" t="inlineStr">
        <is>
          <t>타불라</t>
        </is>
      </c>
      <c r="B229" s="159" t="inlineStr">
        <is>
          <t>7월 21일</t>
        </is>
      </c>
      <c r="C229" s="159" t="inlineStr">
        <is>
          <t>Taboola Ai</t>
        </is>
      </c>
      <c r="D229" s="159" t="inlineStr">
        <is>
          <t>0.73%</t>
        </is>
      </c>
      <c r="E229" s="159" t="n">
        <v>1</v>
      </c>
      <c r="F229" s="163" t="inlineStr">
        <is>
          <t>Media</t>
        </is>
      </c>
    </row>
    <row r="230">
      <c r="A230" s="159" t="inlineStr">
        <is>
          <t>타불라</t>
        </is>
      </c>
      <c r="B230" s="159" t="inlineStr">
        <is>
          <t>7월 21일</t>
        </is>
      </c>
      <c r="C230" s="159" t="inlineStr">
        <is>
          <t>타불라코리아</t>
        </is>
      </c>
      <c r="D230" s="159" t="inlineStr">
        <is>
          <t>0.73%</t>
        </is>
      </c>
      <c r="E230" s="159" t="n">
        <v>1</v>
      </c>
      <c r="F230" s="163" t="inlineStr">
        <is>
          <t>Media</t>
        </is>
      </c>
    </row>
    <row r="231">
      <c r="A231" s="159" t="inlineStr">
        <is>
          <t>타불라</t>
        </is>
      </c>
      <c r="B231" s="159" t="inlineStr">
        <is>
          <t>7월 21일</t>
        </is>
      </c>
      <c r="C231" s="159" t="inlineStr">
        <is>
          <t>타불라 앱광고</t>
        </is>
      </c>
      <c r="D231" s="159" t="inlineStr">
        <is>
          <t>0.73%</t>
        </is>
      </c>
      <c r="E231" s="159" t="n">
        <v>1</v>
      </c>
      <c r="F231" s="163" t="inlineStr">
        <is>
          <t>Media</t>
        </is>
      </c>
    </row>
    <row r="232">
      <c r="A232" s="159" t="inlineStr">
        <is>
          <t>타불라</t>
        </is>
      </c>
      <c r="B232" s="159" t="inlineStr">
        <is>
          <t>7월 22일</t>
        </is>
      </c>
      <c r="C232" s="159" t="inlineStr">
        <is>
          <t>타불라 광고</t>
        </is>
      </c>
      <c r="D232" s="159" t="inlineStr">
        <is>
          <t>1.10%</t>
        </is>
      </c>
      <c r="E232" s="159" t="n">
        <v>1</v>
      </c>
      <c r="F232" s="163" t="inlineStr">
        <is>
          <t>Media</t>
        </is>
      </c>
    </row>
    <row r="233">
      <c r="A233" s="159" t="inlineStr">
        <is>
          <t>타불라</t>
        </is>
      </c>
      <c r="B233" s="159" t="inlineStr">
        <is>
          <t>7월 23일</t>
        </is>
      </c>
      <c r="C233" s="159" t="inlineStr">
        <is>
          <t>타불라</t>
        </is>
      </c>
      <c r="D233" s="159" t="inlineStr">
        <is>
          <t>0.97%</t>
        </is>
      </c>
      <c r="E233" s="159" t="n">
        <v>1</v>
      </c>
      <c r="F233" s="163" t="inlineStr">
        <is>
          <t>Media</t>
        </is>
      </c>
    </row>
    <row r="234">
      <c r="A234" s="159" t="inlineStr">
        <is>
          <t>타불라</t>
        </is>
      </c>
      <c r="B234" s="159" t="inlineStr">
        <is>
          <t>7월 26일</t>
        </is>
      </c>
      <c r="C234" s="159" t="inlineStr">
        <is>
          <t>타뷸라 광고</t>
        </is>
      </c>
      <c r="D234" s="159" t="inlineStr">
        <is>
          <t>6.67%</t>
        </is>
      </c>
      <c r="E234" s="159" t="n">
        <v>1</v>
      </c>
      <c r="F234" s="163" t="inlineStr">
        <is>
          <t>Media</t>
        </is>
      </c>
    </row>
    <row r="235">
      <c r="A235" s="159" t="inlineStr">
        <is>
          <t>타불라</t>
        </is>
      </c>
      <c r="B235" s="159" t="inlineStr">
        <is>
          <t>7월 29일</t>
        </is>
      </c>
      <c r="C235" s="159" t="inlineStr">
        <is>
          <t>타불라</t>
        </is>
      </c>
      <c r="D235" s="159" t="inlineStr">
        <is>
          <t>1.41%</t>
        </is>
      </c>
      <c r="E235" s="159" t="n">
        <v>1</v>
      </c>
      <c r="F235" s="163" t="inlineStr">
        <is>
          <t>Media</t>
        </is>
      </c>
    </row>
    <row r="236">
      <c r="A236" s="159" t="inlineStr">
        <is>
          <t>타불라</t>
        </is>
      </c>
      <c r="B236" s="159" t="inlineStr">
        <is>
          <t>7월 29일</t>
        </is>
      </c>
      <c r="C236" s="159" t="inlineStr">
        <is>
          <t>타불라광고</t>
        </is>
      </c>
      <c r="D236" s="159" t="inlineStr">
        <is>
          <t>1.41%</t>
        </is>
      </c>
      <c r="E236" s="159" t="n">
        <v>1</v>
      </c>
      <c r="F236" s="163" t="inlineStr">
        <is>
          <t>Media</t>
        </is>
      </c>
    </row>
    <row r="237">
      <c r="A237" s="159" t="inlineStr">
        <is>
          <t>타불라</t>
        </is>
      </c>
      <c r="B237" s="159" t="inlineStr">
        <is>
          <t>7월 29일</t>
        </is>
      </c>
      <c r="C237" s="159" t="inlineStr">
        <is>
          <t>타뷸라 광고</t>
        </is>
      </c>
      <c r="D237" s="159" t="inlineStr">
        <is>
          <t>1.41%</t>
        </is>
      </c>
      <c r="E237" s="159" t="n">
        <v>1</v>
      </c>
      <c r="F237" s="163" t="inlineStr">
        <is>
          <t>Media</t>
        </is>
      </c>
    </row>
    <row r="238">
      <c r="A238" s="159" t="inlineStr">
        <is>
          <t>타불라</t>
        </is>
      </c>
      <c r="B238" s="159" t="inlineStr">
        <is>
          <t>7월 31일</t>
        </is>
      </c>
      <c r="C238" s="159" t="inlineStr">
        <is>
          <t>타불라</t>
        </is>
      </c>
      <c r="D238" s="159" t="inlineStr">
        <is>
          <t>3.85%</t>
        </is>
      </c>
      <c r="E238" s="159" t="n">
        <v>1</v>
      </c>
      <c r="F238" s="163" t="inlineStr">
        <is>
          <t>Media</t>
        </is>
      </c>
    </row>
    <row r="239">
      <c r="A239" s="159" t="inlineStr">
        <is>
          <t>타불라</t>
        </is>
      </c>
      <c r="B239" s="159" t="inlineStr">
        <is>
          <t>7월 31일</t>
        </is>
      </c>
      <c r="C239" s="159" t="inlineStr">
        <is>
          <t>타불라 뉴스</t>
        </is>
      </c>
      <c r="D239" s="159" t="inlineStr">
        <is>
          <t>3.85%</t>
        </is>
      </c>
      <c r="E239" s="159" t="n">
        <v>1</v>
      </c>
      <c r="F239" s="163" t="inlineStr">
        <is>
          <t>Media</t>
        </is>
      </c>
    </row>
    <row r="240">
      <c r="A240" s="159" t="inlineStr">
        <is>
          <t>타불라</t>
        </is>
      </c>
      <c r="B240" s="159" t="inlineStr">
        <is>
          <t>7월 31일</t>
        </is>
      </c>
      <c r="C240" s="159" t="inlineStr">
        <is>
          <t>타불라 광고</t>
        </is>
      </c>
      <c r="D240" s="159" t="inlineStr">
        <is>
          <t>3.85%</t>
        </is>
      </c>
      <c r="E240" s="159" t="n">
        <v>1</v>
      </c>
      <c r="F240" s="163" t="inlineStr">
        <is>
          <t>Media</t>
        </is>
      </c>
    </row>
    <row r="241">
      <c r="A241" s="159" t="inlineStr">
        <is>
          <t>토스애즈</t>
        </is>
      </c>
      <c r="B241" s="159" t="inlineStr">
        <is>
          <t>7월 3일</t>
        </is>
      </c>
      <c r="C241" s="159" t="inlineStr">
        <is>
          <t>토스애즈</t>
        </is>
      </c>
      <c r="D241" s="159" t="inlineStr">
        <is>
          <t>3.57%</t>
        </is>
      </c>
      <c r="E241" s="159" t="n">
        <v>1</v>
      </c>
      <c r="F241" s="163" t="inlineStr">
        <is>
          <t>Media</t>
        </is>
      </c>
    </row>
    <row r="242">
      <c r="A242" s="159" t="inlineStr">
        <is>
          <t>토스애즈</t>
        </is>
      </c>
      <c r="B242" s="159" t="inlineStr">
        <is>
          <t>7월 4일</t>
        </is>
      </c>
      <c r="C242" s="159" t="inlineStr">
        <is>
          <t>토스애즈</t>
        </is>
      </c>
      <c r="D242" s="159" t="inlineStr">
        <is>
          <t>12.50%</t>
        </is>
      </c>
      <c r="E242" s="159" t="n">
        <v>1</v>
      </c>
      <c r="F242" s="163" t="inlineStr">
        <is>
          <t>Media</t>
        </is>
      </c>
    </row>
    <row r="243">
      <c r="A243" s="159" t="inlineStr">
        <is>
          <t>토스애즈</t>
        </is>
      </c>
      <c r="B243" s="159" t="inlineStr">
        <is>
          <t>7월 7일</t>
        </is>
      </c>
      <c r="C243" s="159" t="inlineStr">
        <is>
          <t>토스애즈</t>
        </is>
      </c>
      <c r="D243" s="159" t="inlineStr">
        <is>
          <t>1.27%</t>
        </is>
      </c>
      <c r="E243" s="159" t="n">
        <v>1</v>
      </c>
      <c r="F243" s="163" t="inlineStr">
        <is>
          <t>Media</t>
        </is>
      </c>
    </row>
    <row r="244">
      <c r="A244" s="159" t="inlineStr">
        <is>
          <t>토스애즈</t>
        </is>
      </c>
      <c r="B244" s="159" t="inlineStr">
        <is>
          <t>7월 8일</t>
        </is>
      </c>
      <c r="C244" s="159" t="inlineStr">
        <is>
          <t>토스 애즈 광고</t>
        </is>
      </c>
      <c r="D244" s="159" t="inlineStr">
        <is>
          <t>0.99%</t>
        </is>
      </c>
      <c r="E244" s="159" t="n">
        <v>1</v>
      </c>
      <c r="F244" s="163" t="inlineStr">
        <is>
          <t>Media</t>
        </is>
      </c>
    </row>
    <row r="245">
      <c r="A245" s="159" t="inlineStr">
        <is>
          <t>토스애즈</t>
        </is>
      </c>
      <c r="B245" s="159" t="inlineStr">
        <is>
          <t>7월 9일</t>
        </is>
      </c>
      <c r="C245" s="159" t="inlineStr">
        <is>
          <t>토스애즈</t>
        </is>
      </c>
      <c r="D245" s="159" t="inlineStr">
        <is>
          <t>2.70%</t>
        </is>
      </c>
      <c r="E245" s="159" t="n">
        <v>1</v>
      </c>
      <c r="F245" s="163" t="inlineStr">
        <is>
          <t>Media</t>
        </is>
      </c>
    </row>
    <row r="246">
      <c r="A246" s="159" t="inlineStr">
        <is>
          <t>토스애즈</t>
        </is>
      </c>
      <c r="B246" s="159" t="inlineStr">
        <is>
          <t>7월 13일</t>
        </is>
      </c>
      <c r="C246" s="159" t="inlineStr">
        <is>
          <t>토스애즈</t>
        </is>
      </c>
      <c r="D246" s="159" t="inlineStr">
        <is>
          <t>2.78%</t>
        </is>
      </c>
      <c r="E246" s="159" t="n">
        <v>1</v>
      </c>
      <c r="F246" s="163" t="inlineStr">
        <is>
          <t>Media</t>
        </is>
      </c>
    </row>
    <row r="247">
      <c r="A247" s="159" t="inlineStr">
        <is>
          <t>토스애즈</t>
        </is>
      </c>
      <c r="B247" s="159" t="inlineStr">
        <is>
          <t>7월 14일</t>
        </is>
      </c>
      <c r="C247" s="159" t="inlineStr">
        <is>
          <t>토스애즈 CPT 상품</t>
        </is>
      </c>
      <c r="D247" s="159" t="inlineStr">
        <is>
          <t>2.33%</t>
        </is>
      </c>
      <c r="E247" s="159" t="n">
        <v>1</v>
      </c>
      <c r="F247" s="163" t="inlineStr">
        <is>
          <t>Media</t>
        </is>
      </c>
    </row>
    <row r="248">
      <c r="A248" s="159" t="inlineStr">
        <is>
          <t>토스애즈</t>
        </is>
      </c>
      <c r="B248" s="159" t="inlineStr">
        <is>
          <t>7월 21일</t>
        </is>
      </c>
      <c r="C248" s="159" t="inlineStr">
        <is>
          <t>토스애즈</t>
        </is>
      </c>
      <c r="D248" s="159" t="inlineStr">
        <is>
          <t>0.73%</t>
        </is>
      </c>
      <c r="E248" s="159" t="n">
        <v>1</v>
      </c>
      <c r="F248" s="163" t="inlineStr">
        <is>
          <t>Media</t>
        </is>
      </c>
    </row>
    <row r="249">
      <c r="A249" s="159" t="inlineStr">
        <is>
          <t>토스애즈</t>
        </is>
      </c>
      <c r="B249" s="159" t="inlineStr">
        <is>
          <t>7월 23일</t>
        </is>
      </c>
      <c r="C249" s="159" t="inlineStr">
        <is>
          <t>토스 애즈 광고</t>
        </is>
      </c>
      <c r="D249" s="159" t="inlineStr">
        <is>
          <t>0.97%</t>
        </is>
      </c>
      <c r="E249" s="159" t="n">
        <v>1</v>
      </c>
      <c r="F249" s="163" t="inlineStr">
        <is>
          <t>Media</t>
        </is>
      </c>
    </row>
    <row r="250">
      <c r="A250" s="159" t="inlineStr">
        <is>
          <t>토스애즈</t>
        </is>
      </c>
      <c r="B250" s="159" t="inlineStr">
        <is>
          <t>7월 27일</t>
        </is>
      </c>
      <c r="C250" s="159" t="inlineStr">
        <is>
          <t>토스애즈 touch:able</t>
        </is>
      </c>
      <c r="D250" s="159" t="inlineStr">
        <is>
          <t>3.33%</t>
        </is>
      </c>
      <c r="E250" s="159" t="n">
        <v>1</v>
      </c>
      <c r="F250" s="163" t="inlineStr">
        <is>
          <t>Media</t>
        </is>
      </c>
    </row>
    <row r="251">
      <c r="A251" s="159" t="inlineStr">
        <is>
          <t>토스애즈</t>
        </is>
      </c>
      <c r="B251" s="159" t="inlineStr">
        <is>
          <t>7월 29일</t>
        </is>
      </c>
      <c r="C251" s="159" t="inlineStr">
        <is>
          <t>토스애즈 비용</t>
        </is>
      </c>
      <c r="D251" s="159" t="inlineStr">
        <is>
          <t>1.41%</t>
        </is>
      </c>
      <c r="E251" s="159" t="n">
        <v>1</v>
      </c>
      <c r="F251" s="163" t="inlineStr">
        <is>
          <t>Media</t>
        </is>
      </c>
    </row>
    <row r="252">
      <c r="A252" s="159" t="inlineStr">
        <is>
          <t>토스애즈</t>
        </is>
      </c>
      <c r="B252" s="159" t="inlineStr">
        <is>
          <t>7월 31일</t>
        </is>
      </c>
      <c r="C252" s="159" t="inlineStr">
        <is>
          <t>토스 애즈</t>
        </is>
      </c>
      <c r="D252" s="159" t="inlineStr">
        <is>
          <t>3.85%</t>
        </is>
      </c>
      <c r="E252" s="159" t="n">
        <v>1</v>
      </c>
      <c r="F252" s="163" t="inlineStr">
        <is>
          <t>Media</t>
        </is>
      </c>
    </row>
    <row r="253">
      <c r="A253" s="159" t="inlineStr">
        <is>
          <t>어드민나이트</t>
        </is>
      </c>
      <c r="B253" s="159" t="inlineStr">
        <is>
          <t>7월 1일</t>
        </is>
      </c>
      <c r="C253" s="159" t="inlineStr">
        <is>
          <t>어드민 나이트</t>
        </is>
      </c>
      <c r="D253" s="159" t="inlineStr">
        <is>
          <t>1.92%</t>
        </is>
      </c>
      <c r="E253" s="159" t="n">
        <v>1</v>
      </c>
      <c r="F253" s="160" t="inlineStr">
        <is>
          <t>About</t>
        </is>
      </c>
    </row>
    <row r="254">
      <c r="A254" s="159" t="inlineStr">
        <is>
          <t>어드민나이트</t>
        </is>
      </c>
      <c r="B254" s="159" t="inlineStr">
        <is>
          <t>7월 12일</t>
        </is>
      </c>
      <c r="C254" s="159" t="inlineStr">
        <is>
          <t>어드민나이트</t>
        </is>
      </c>
      <c r="D254" s="159" t="inlineStr">
        <is>
          <t>5.00%</t>
        </is>
      </c>
      <c r="E254" s="159" t="n">
        <v>1</v>
      </c>
      <c r="F254" s="162" t="inlineStr">
        <is>
          <t>Trend</t>
        </is>
      </c>
    </row>
    <row r="255">
      <c r="A255" s="159" t="inlineStr">
        <is>
          <t>어드민나이트</t>
        </is>
      </c>
      <c r="B255" s="159" t="inlineStr">
        <is>
          <t>7월 13일</t>
        </is>
      </c>
      <c r="C255" s="159" t="inlineStr">
        <is>
          <t>어드민나이트</t>
        </is>
      </c>
      <c r="D255" s="159" t="inlineStr">
        <is>
          <t>2.78%</t>
        </is>
      </c>
      <c r="E255" s="159" t="n">
        <v>1</v>
      </c>
      <c r="F255" s="162" t="inlineStr">
        <is>
          <t>Trend</t>
        </is>
      </c>
    </row>
    <row r="256">
      <c r="A256" s="159" t="inlineStr">
        <is>
          <t>어드민나이트</t>
        </is>
      </c>
      <c r="B256" s="159" t="inlineStr">
        <is>
          <t>7월 14일</t>
        </is>
      </c>
      <c r="C256" s="159" t="inlineStr">
        <is>
          <t>어드민나이트</t>
        </is>
      </c>
      <c r="D256" s="159" t="inlineStr">
        <is>
          <t>2.33%</t>
        </is>
      </c>
      <c r="E256" s="159" t="n">
        <v>1</v>
      </c>
      <c r="F256" s="162" t="inlineStr">
        <is>
          <t>Trend</t>
        </is>
      </c>
    </row>
    <row r="257">
      <c r="A257" s="159" t="inlineStr">
        <is>
          <t>어드민나이트</t>
        </is>
      </c>
      <c r="B257" s="159" t="inlineStr">
        <is>
          <t>7월 17일</t>
        </is>
      </c>
      <c r="C257" s="159" t="inlineStr">
        <is>
          <t>어드민나이트</t>
        </is>
      </c>
      <c r="D257" s="159" t="inlineStr">
        <is>
          <t>2.50%</t>
        </is>
      </c>
      <c r="E257" s="159" t="n">
        <v>1</v>
      </c>
      <c r="F257" s="162" t="inlineStr">
        <is>
          <t>Trend</t>
        </is>
      </c>
    </row>
    <row r="258">
      <c r="A258" s="159" t="inlineStr">
        <is>
          <t>어드민나이트</t>
        </is>
      </c>
      <c r="B258" s="159" t="inlineStr">
        <is>
          <t>7월 19일</t>
        </is>
      </c>
      <c r="C258" s="159" t="inlineStr">
        <is>
          <t>어드민나이트</t>
        </is>
      </c>
      <c r="D258" s="159" t="inlineStr">
        <is>
          <t>4.00%</t>
        </is>
      </c>
      <c r="E258" s="159" t="n">
        <v>1</v>
      </c>
      <c r="F258" s="162" t="inlineStr">
        <is>
          <t>Trend</t>
        </is>
      </c>
    </row>
    <row r="259">
      <c r="A259" s="159" t="inlineStr">
        <is>
          <t>어드민나이트</t>
        </is>
      </c>
      <c r="B259" s="159" t="inlineStr">
        <is>
          <t>7월 20일</t>
        </is>
      </c>
      <c r="C259" s="159" t="inlineStr">
        <is>
          <t>어드민 나이트</t>
        </is>
      </c>
      <c r="D259" s="159" t="inlineStr">
        <is>
          <t>1.02%</t>
        </is>
      </c>
      <c r="E259" s="159" t="n">
        <v>1</v>
      </c>
      <c r="F259" s="162" t="inlineStr">
        <is>
          <t>Trend</t>
        </is>
      </c>
    </row>
    <row r="260">
      <c r="A260" s="159" t="inlineStr">
        <is>
          <t>어드민나이트</t>
        </is>
      </c>
      <c r="B260" s="159" t="inlineStr">
        <is>
          <t>7월 21일</t>
        </is>
      </c>
      <c r="C260" s="159" t="inlineStr">
        <is>
          <t>어드민나이트</t>
        </is>
      </c>
      <c r="D260" s="159" t="inlineStr">
        <is>
          <t>0.73%</t>
        </is>
      </c>
      <c r="E260" s="159" t="n">
        <v>1</v>
      </c>
      <c r="F260" s="162" t="inlineStr">
        <is>
          <t>Trend</t>
        </is>
      </c>
    </row>
    <row r="261">
      <c r="A261" s="159" t="inlineStr">
        <is>
          <t>어드민나이트</t>
        </is>
      </c>
      <c r="B261" s="159" t="inlineStr">
        <is>
          <t>7월 21일</t>
        </is>
      </c>
      <c r="C261" s="159" t="inlineStr">
        <is>
          <t>어드민 나이트</t>
        </is>
      </c>
      <c r="D261" s="159" t="inlineStr">
        <is>
          <t>0.73%</t>
        </is>
      </c>
      <c r="E261" s="159" t="n">
        <v>1</v>
      </c>
      <c r="F261" s="162" t="inlineStr">
        <is>
          <t>Trend</t>
        </is>
      </c>
    </row>
    <row r="262">
      <c r="A262" s="159" t="inlineStr">
        <is>
          <t>어드민나이트</t>
        </is>
      </c>
      <c r="B262" s="159" t="inlineStr">
        <is>
          <t>7월 23일</t>
        </is>
      </c>
      <c r="C262" s="159" t="inlineStr">
        <is>
          <t>어드민나이트</t>
        </is>
      </c>
      <c r="D262" s="159" t="inlineStr">
        <is>
          <t>0.97%</t>
        </is>
      </c>
      <c r="E262" s="159" t="n">
        <v>1</v>
      </c>
      <c r="F262" s="162" t="inlineStr">
        <is>
          <t>Trend</t>
        </is>
      </c>
    </row>
    <row r="263">
      <c r="A263" s="159" t="inlineStr">
        <is>
          <t>카카오톡 채널</t>
        </is>
      </c>
      <c r="B263" s="159" t="inlineStr">
        <is>
          <t>7월 6일</t>
        </is>
      </c>
      <c r="C263" s="159" t="inlineStr">
        <is>
          <t>카카오채널 특정인에게 메시지 발송</t>
        </is>
      </c>
      <c r="D263" s="159" t="inlineStr">
        <is>
          <t>1.52%</t>
        </is>
      </c>
      <c r="E263" s="159" t="n">
        <v>1</v>
      </c>
      <c r="F263" s="163" t="inlineStr">
        <is>
          <t>Media</t>
        </is>
      </c>
    </row>
    <row r="264">
      <c r="A264" s="159" t="inlineStr">
        <is>
          <t>카카오톡 채널</t>
        </is>
      </c>
      <c r="B264" s="159" t="inlineStr">
        <is>
          <t>7월 7일</t>
        </is>
      </c>
      <c r="C264" s="159" t="inlineStr">
        <is>
          <t>카카오톡 채널 채팅메시지 엑셀 추출 방법 알려주세요</t>
        </is>
      </c>
      <c r="D264" s="159" t="inlineStr">
        <is>
          <t>1.27%</t>
        </is>
      </c>
      <c r="E264" s="159" t="n">
        <v>1</v>
      </c>
      <c r="F264" s="163" t="inlineStr">
        <is>
          <t>Media</t>
        </is>
      </c>
    </row>
    <row r="265">
      <c r="A265" s="159" t="inlineStr">
        <is>
          <t>카카오톡 채널</t>
        </is>
      </c>
      <c r="B265" s="159" t="inlineStr">
        <is>
          <t>7월 7일</t>
        </is>
      </c>
      <c r="C265" s="159" t="inlineStr">
        <is>
          <t>카카오채널 모먼트와 플러스친구 메세지 차이</t>
        </is>
      </c>
      <c r="D265" s="159" t="inlineStr">
        <is>
          <t>1.27%</t>
        </is>
      </c>
      <c r="E265" s="159" t="n">
        <v>1</v>
      </c>
      <c r="F265" s="163" t="inlineStr">
        <is>
          <t>Media</t>
        </is>
      </c>
    </row>
    <row r="266">
      <c r="A266" s="159" t="inlineStr">
        <is>
          <t>카카오톡 채널</t>
        </is>
      </c>
      <c r="B266" s="159" t="inlineStr">
        <is>
          <t>7월 9일</t>
        </is>
      </c>
      <c r="C266" s="159" t="inlineStr">
        <is>
          <t>카카오톡 채널추가 안내메세지 사진</t>
        </is>
      </c>
      <c r="D266" s="159" t="inlineStr">
        <is>
          <t>2.70%</t>
        </is>
      </c>
      <c r="E266" s="159" t="n">
        <v>1</v>
      </c>
      <c r="F266" s="163" t="inlineStr">
        <is>
          <t>Media</t>
        </is>
      </c>
    </row>
    <row r="267">
      <c r="A267" s="159" t="inlineStr">
        <is>
          <t>카카오톡 채널</t>
        </is>
      </c>
      <c r="B267" s="159" t="inlineStr">
        <is>
          <t>7월 13일</t>
        </is>
      </c>
      <c r="C267" s="159" t="inlineStr">
        <is>
          <t>카카오톡 채널 알림톡을 이용한 마케팅 사례를 알려주세요</t>
        </is>
      </c>
      <c r="D267" s="159" t="inlineStr">
        <is>
          <t>2.78%</t>
        </is>
      </c>
      <c r="E267" s="159" t="n">
        <v>1</v>
      </c>
      <c r="F267" s="163" t="inlineStr">
        <is>
          <t>Media</t>
        </is>
      </c>
    </row>
    <row r="268">
      <c r="A268" s="159" t="inlineStr">
        <is>
          <t>카카오톡 채널</t>
        </is>
      </c>
      <c r="B268" s="159" t="inlineStr">
        <is>
          <t>7월 13일</t>
        </is>
      </c>
      <c r="C268" s="159" t="inlineStr">
        <is>
          <t>카카오톡채널 첫인사메시지</t>
        </is>
      </c>
      <c r="D268" s="159" t="inlineStr">
        <is>
          <t>2.78%</t>
        </is>
      </c>
      <c r="E268" s="159" t="n">
        <v>1</v>
      </c>
      <c r="F268" s="163" t="inlineStr">
        <is>
          <t>Media</t>
        </is>
      </c>
    </row>
    <row r="269">
      <c r="A269" s="159" t="inlineStr">
        <is>
          <t>카카오톡 채널</t>
        </is>
      </c>
      <c r="B269" s="159" t="inlineStr">
        <is>
          <t>7월 23일</t>
        </is>
      </c>
      <c r="C269" s="159" t="inlineStr">
        <is>
          <t>카카오톡 채널 표시할 수 없는 메시지입니다</t>
        </is>
      </c>
      <c r="D269" s="159" t="inlineStr">
        <is>
          <t>0.97%</t>
        </is>
      </c>
      <c r="E269" s="159" t="n">
        <v>1</v>
      </c>
      <c r="F269" s="164" t="n"/>
    </row>
    <row r="270">
      <c r="A270" s="159" t="inlineStr">
        <is>
          <t>카카오톡 채널</t>
        </is>
      </c>
      <c r="B270" s="159" t="inlineStr">
        <is>
          <t>7월 31일</t>
        </is>
      </c>
      <c r="C270" s="159" t="inlineStr">
        <is>
          <t>카카오채널로 메시지 커머스와 피드의 차이점은?</t>
        </is>
      </c>
      <c r="D270" s="159" t="inlineStr">
        <is>
          <t>3.85%</t>
        </is>
      </c>
      <c r="E270" s="159" t="n">
        <v>1</v>
      </c>
      <c r="F270" s="163" t="inlineStr">
        <is>
          <t>Media</t>
        </is>
      </c>
    </row>
    <row r="271">
      <c r="A271" s="159" t="inlineStr">
        <is>
          <t>K-POP 마케팅 트렌드</t>
        </is>
      </c>
      <c r="B271" s="159" t="inlineStr">
        <is>
          <t>7월 12일</t>
        </is>
      </c>
      <c r="C271" s="159" t="inlineStr">
        <is>
          <t>벰파이어 아이돌</t>
        </is>
      </c>
      <c r="D271" s="159" t="inlineStr">
        <is>
          <t>5.00%</t>
        </is>
      </c>
      <c r="E271" s="159" t="n">
        <v>1</v>
      </c>
      <c r="F271" s="162" t="inlineStr">
        <is>
          <t>Trend</t>
        </is>
      </c>
    </row>
    <row r="272">
      <c r="A272" s="159" t="inlineStr">
        <is>
          <t>K-POP 마케팅 트렌드</t>
        </is>
      </c>
      <c r="B272" s="159" t="inlineStr">
        <is>
          <t>7월 12일</t>
        </is>
      </c>
      <c r="C272" s="159" t="inlineStr">
        <is>
          <t>에스파 핀터레스트</t>
        </is>
      </c>
      <c r="D272" s="159" t="inlineStr">
        <is>
          <t>5.00%</t>
        </is>
      </c>
      <c r="E272" s="159" t="n">
        <v>1</v>
      </c>
      <c r="F272" s="162" t="inlineStr">
        <is>
          <t>Trend</t>
        </is>
      </c>
    </row>
    <row r="273">
      <c r="A273" s="159" t="inlineStr">
        <is>
          <t>K-POP 마케팅 트렌드</t>
        </is>
      </c>
      <c r="B273" s="159" t="inlineStr">
        <is>
          <t>7월 20일</t>
        </is>
      </c>
      <c r="C273" s="159" t="inlineStr">
        <is>
          <t>에스파 핀터레스트 홍보</t>
        </is>
      </c>
      <c r="D273" s="159" t="inlineStr">
        <is>
          <t>1.02%</t>
        </is>
      </c>
      <c r="E273" s="159" t="n">
        <v>1</v>
      </c>
      <c r="F273" s="162" t="inlineStr">
        <is>
          <t>Trend</t>
        </is>
      </c>
    </row>
    <row r="274">
      <c r="A274" s="159" t="inlineStr">
        <is>
          <t>K-POP 마케팅 트렌드</t>
        </is>
      </c>
      <c r="B274" s="159" t="inlineStr">
        <is>
          <t>7월 30일</t>
        </is>
      </c>
      <c r="C274" s="159" t="inlineStr">
        <is>
          <t>미미미누 광고단가</t>
        </is>
      </c>
      <c r="D274" s="159" t="inlineStr">
        <is>
          <t>1.28%</t>
        </is>
      </c>
      <c r="E274" s="159" t="n">
        <v>1</v>
      </c>
      <c r="F274" s="160" t="inlineStr">
        <is>
          <t>About</t>
        </is>
      </c>
    </row>
    <row r="275">
      <c r="A275" s="159" t="inlineStr">
        <is>
          <t>K-POP 마케팅 트렌드</t>
        </is>
      </c>
      <c r="B275" s="159" t="inlineStr">
        <is>
          <t>7월 31일</t>
        </is>
      </c>
      <c r="C275" s="159" t="inlineStr">
        <is>
          <t>미각보이즈 배우</t>
        </is>
      </c>
      <c r="D275" s="159" t="inlineStr">
        <is>
          <t>3.85%</t>
        </is>
      </c>
      <c r="E275" s="159" t="n">
        <v>1</v>
      </c>
      <c r="F275" s="162" t="inlineStr">
        <is>
          <t>Trend</t>
        </is>
      </c>
    </row>
    <row r="276">
      <c r="A276" s="159" t="inlineStr">
        <is>
          <t>K-POP 마케팅 트렌드</t>
        </is>
      </c>
      <c r="B276" s="159" t="inlineStr">
        <is>
          <t>7월 31일</t>
        </is>
      </c>
      <c r="C276" s="159" t="inlineStr">
        <is>
          <t>미각보이즈 청룡</t>
        </is>
      </c>
      <c r="D276" s="159" t="inlineStr">
        <is>
          <t>3.85%</t>
        </is>
      </c>
      <c r="E276" s="159" t="n">
        <v>1</v>
      </c>
      <c r="F276" s="162" t="inlineStr">
        <is>
          <t>Trend</t>
        </is>
      </c>
    </row>
    <row r="277">
      <c r="A277" s="159" t="inlineStr">
        <is>
          <t>K-POP 마케팅 트렌드</t>
        </is>
      </c>
      <c r="B277" s="159" t="inlineStr">
        <is>
          <t>7월 31일</t>
        </is>
      </c>
      <c r="C277" s="159" t="inlineStr">
        <is>
          <t>코르티스 redred 파트별 가사</t>
        </is>
      </c>
      <c r="D277" s="159" t="inlineStr">
        <is>
          <t>3.85%</t>
        </is>
      </c>
      <c r="E277" s="159" t="n">
        <v>1</v>
      </c>
      <c r="F277" s="161" t="inlineStr">
        <is>
          <t>People</t>
        </is>
      </c>
    </row>
    <row r="278">
      <c r="A278" s="159" t="inlineStr">
        <is>
          <t>온드미디어</t>
        </is>
      </c>
      <c r="B278" s="159" t="inlineStr">
        <is>
          <t>7월 1일</t>
        </is>
      </c>
      <c r="C278" s="159" t="inlineStr">
        <is>
          <t>온드미디어</t>
        </is>
      </c>
      <c r="D278" s="159" t="inlineStr">
        <is>
          <t>1.92%</t>
        </is>
      </c>
      <c r="E278" s="159" t="n">
        <v>1</v>
      </c>
      <c r="F278" s="163" t="inlineStr">
        <is>
          <t>Media</t>
        </is>
      </c>
    </row>
    <row r="279">
      <c r="A279" s="159" t="inlineStr">
        <is>
          <t>온드미디어</t>
        </is>
      </c>
      <c r="B279" s="159" t="inlineStr">
        <is>
          <t>7월 3일</t>
        </is>
      </c>
      <c r="C279" s="159" t="inlineStr">
        <is>
          <t>온드 미디어</t>
        </is>
      </c>
      <c r="D279" s="159" t="inlineStr">
        <is>
          <t>3.57%</t>
        </is>
      </c>
      <c r="E279" s="159" t="n">
        <v>1</v>
      </c>
      <c r="F279" s="163" t="inlineStr">
        <is>
          <t>Media</t>
        </is>
      </c>
    </row>
    <row r="280">
      <c r="A280" s="159" t="inlineStr">
        <is>
          <t>온드미디어</t>
        </is>
      </c>
      <c r="B280" s="159" t="inlineStr">
        <is>
          <t>7월 6일</t>
        </is>
      </c>
      <c r="C280" s="159" t="inlineStr">
        <is>
          <t>온드 미디어</t>
        </is>
      </c>
      <c r="D280" s="159" t="inlineStr">
        <is>
          <t>1.52%</t>
        </is>
      </c>
      <c r="E280" s="159" t="n">
        <v>1</v>
      </c>
      <c r="F280" s="163" t="inlineStr">
        <is>
          <t>Media</t>
        </is>
      </c>
    </row>
    <row r="281">
      <c r="A281" s="159" t="inlineStr">
        <is>
          <t>온드미디어</t>
        </is>
      </c>
      <c r="B281" s="159" t="inlineStr">
        <is>
          <t>7월 14일</t>
        </is>
      </c>
      <c r="C281" s="159" t="inlineStr">
        <is>
          <t>온드미디어</t>
        </is>
      </c>
      <c r="D281" s="159" t="inlineStr">
        <is>
          <t>2.33%</t>
        </is>
      </c>
      <c r="E281" s="159" t="n">
        <v>1</v>
      </c>
      <c r="F281" s="160" t="inlineStr">
        <is>
          <t>About</t>
        </is>
      </c>
    </row>
    <row r="282">
      <c r="A282" s="159" t="inlineStr">
        <is>
          <t>온드미디어</t>
        </is>
      </c>
      <c r="B282" s="159" t="inlineStr">
        <is>
          <t>7월 16일</t>
        </is>
      </c>
      <c r="C282" s="159" t="inlineStr">
        <is>
          <t>온드미디어</t>
        </is>
      </c>
      <c r="D282" s="159" t="inlineStr">
        <is>
          <t>2.22%</t>
        </is>
      </c>
      <c r="E282" s="159" t="n">
        <v>1</v>
      </c>
      <c r="F282" s="163" t="inlineStr">
        <is>
          <t>Media</t>
        </is>
      </c>
    </row>
    <row r="283">
      <c r="A283" s="159" t="inlineStr">
        <is>
          <t>온드미디어</t>
        </is>
      </c>
      <c r="B283" s="159" t="inlineStr">
        <is>
          <t>7월 18일</t>
        </is>
      </c>
      <c r="C283" s="159" t="inlineStr">
        <is>
          <t>온드미디어</t>
        </is>
      </c>
      <c r="D283" s="159" t="inlineStr">
        <is>
          <t>1.79%</t>
        </is>
      </c>
      <c r="E283" s="159" t="n">
        <v>1</v>
      </c>
      <c r="F283" s="163" t="inlineStr">
        <is>
          <t>Media</t>
        </is>
      </c>
    </row>
    <row r="284">
      <c r="A284" s="159" t="inlineStr">
        <is>
          <t>네이티브 광고</t>
        </is>
      </c>
      <c r="B284" s="159" t="inlineStr">
        <is>
          <t>7월 6일</t>
        </is>
      </c>
      <c r="C284" s="159" t="inlineStr">
        <is>
          <t>네이티브 광고</t>
        </is>
      </c>
      <c r="D284" s="159" t="inlineStr">
        <is>
          <t>1.52%</t>
        </is>
      </c>
      <c r="E284" s="159" t="n">
        <v>1</v>
      </c>
      <c r="F284" s="163" t="inlineStr">
        <is>
          <t>Media</t>
        </is>
      </c>
    </row>
    <row r="285">
      <c r="A285" s="159" t="inlineStr">
        <is>
          <t>네이티브 광고</t>
        </is>
      </c>
      <c r="B285" s="159" t="inlineStr">
        <is>
          <t>7월 21일</t>
        </is>
      </c>
      <c r="C285" s="159" t="inlineStr">
        <is>
          <t>네이티브 광고</t>
        </is>
      </c>
      <c r="D285" s="159" t="inlineStr">
        <is>
          <t>0.73%</t>
        </is>
      </c>
      <c r="E285" s="159" t="n">
        <v>1</v>
      </c>
      <c r="F285" s="163" t="inlineStr">
        <is>
          <t>Media</t>
        </is>
      </c>
    </row>
    <row r="286">
      <c r="A286" s="159" t="inlineStr">
        <is>
          <t>네이티브 광고</t>
        </is>
      </c>
      <c r="B286" s="159" t="inlineStr">
        <is>
          <t>7월 21일</t>
        </is>
      </c>
      <c r="C286" s="159" t="inlineStr">
        <is>
          <t>네이티브광고</t>
        </is>
      </c>
      <c r="D286" s="159" t="inlineStr">
        <is>
          <t>0.73%</t>
        </is>
      </c>
      <c r="E286" s="159" t="n">
        <v>1</v>
      </c>
      <c r="F286" s="163" t="inlineStr">
        <is>
          <t>Media</t>
        </is>
      </c>
    </row>
    <row r="287">
      <c r="A287" s="159" t="inlineStr">
        <is>
          <t>네이티브 광고</t>
        </is>
      </c>
      <c r="B287" s="159" t="inlineStr">
        <is>
          <t>7월 24일</t>
        </is>
      </c>
      <c r="C287" s="159" t="inlineStr">
        <is>
          <t>광고 네이티브</t>
        </is>
      </c>
      <c r="D287" s="159" t="inlineStr">
        <is>
          <t>3.33%</t>
        </is>
      </c>
      <c r="E287" s="159" t="n">
        <v>1</v>
      </c>
      <c r="F287" s="163" t="inlineStr">
        <is>
          <t>Media</t>
        </is>
      </c>
    </row>
    <row r="288">
      <c r="A288" s="159" t="inlineStr">
        <is>
          <t>네이티브 광고</t>
        </is>
      </c>
      <c r="B288" s="159" t="inlineStr">
        <is>
          <t>7월 30일</t>
        </is>
      </c>
      <c r="C288" s="159" t="inlineStr">
        <is>
          <t>네이티브 광고</t>
        </is>
      </c>
      <c r="D288" s="159" t="inlineStr">
        <is>
          <t>1.28%</t>
        </is>
      </c>
      <c r="E288" s="159" t="n">
        <v>1</v>
      </c>
      <c r="F288" s="163" t="inlineStr">
        <is>
          <t>Media</t>
        </is>
      </c>
    </row>
    <row r="289">
      <c r="A289" s="159" t="inlineStr">
        <is>
          <t>네이티브 광고</t>
        </is>
      </c>
      <c r="B289" s="159" t="inlineStr">
        <is>
          <t>7월 31일</t>
        </is>
      </c>
      <c r="C289" s="159" t="inlineStr">
        <is>
          <t>네이티브 광고</t>
        </is>
      </c>
      <c r="D289" s="159" t="inlineStr">
        <is>
          <t>3.85%</t>
        </is>
      </c>
      <c r="E289" s="159" t="n">
        <v>1</v>
      </c>
      <c r="F289" s="163" t="inlineStr">
        <is>
          <t>Media</t>
        </is>
      </c>
    </row>
    <row r="290">
      <c r="A290" s="159" t="inlineStr">
        <is>
          <t>기타</t>
        </is>
      </c>
      <c r="B290" s="159" t="inlineStr">
        <is>
          <t>7월 1일</t>
        </is>
      </c>
      <c r="C290" s="159" t="inlineStr">
        <is>
          <t>더마코스메틱 화장품</t>
        </is>
      </c>
      <c r="D290" s="159" t="inlineStr">
        <is>
          <t>1.92%</t>
        </is>
      </c>
      <c r="E290" s="159" t="n">
        <v>1</v>
      </c>
      <c r="F290" s="162" t="inlineStr">
        <is>
          <t>Trend</t>
        </is>
      </c>
    </row>
    <row r="291">
      <c r="A291" s="159" t="inlineStr">
        <is>
          <t>기타</t>
        </is>
      </c>
      <c r="B291" s="159" t="inlineStr">
        <is>
          <t>7월 1일</t>
        </is>
      </c>
      <c r="C291" s="159" t="inlineStr">
        <is>
          <t>지제이모빌리티 택시차량광고</t>
        </is>
      </c>
      <c r="D291" s="159" t="inlineStr">
        <is>
          <t>1.92%</t>
        </is>
      </c>
      <c r="E291" s="159" t="n">
        <v>1</v>
      </c>
      <c r="F291" s="163" t="inlineStr">
        <is>
          <t>Media</t>
        </is>
      </c>
    </row>
    <row r="292">
      <c r="A292" s="159" t="inlineStr">
        <is>
          <t>기타</t>
        </is>
      </c>
      <c r="B292" s="159" t="inlineStr">
        <is>
          <t>7월 1일</t>
        </is>
      </c>
      <c r="C292" s="159" t="inlineStr">
        <is>
          <t>메타 카탈로그 광고 노출 포맷 확장</t>
        </is>
      </c>
      <c r="D292" s="159" t="inlineStr">
        <is>
          <t>1.92%</t>
        </is>
      </c>
      <c r="E292" s="159" t="n">
        <v>1</v>
      </c>
      <c r="F292" s="163" t="inlineStr">
        <is>
          <t>Media</t>
        </is>
      </c>
    </row>
    <row r="293">
      <c r="A293" s="159" t="inlineStr">
        <is>
          <t>기타</t>
        </is>
      </c>
      <c r="B293" s="159" t="inlineStr">
        <is>
          <t>7월 2일</t>
        </is>
      </c>
      <c r="C293" s="159" t="inlineStr">
        <is>
          <t>la roche posay 국적</t>
        </is>
      </c>
      <c r="D293" s="159" t="inlineStr">
        <is>
          <t>1.45%</t>
        </is>
      </c>
      <c r="E293" s="159" t="n">
        <v>1</v>
      </c>
      <c r="F293" s="162" t="inlineStr">
        <is>
          <t>Trend</t>
        </is>
      </c>
    </row>
    <row r="294">
      <c r="A294" s="159" t="inlineStr">
        <is>
          <t>기타</t>
        </is>
      </c>
      <c r="B294" s="159" t="inlineStr">
        <is>
          <t>7월 2일</t>
        </is>
      </c>
      <c r="C294" s="159" t="inlineStr">
        <is>
          <t>CPT</t>
        </is>
      </c>
      <c r="D294" s="159" t="inlineStr">
        <is>
          <t>1.45%</t>
        </is>
      </c>
      <c r="E294" s="159" t="n">
        <v>1</v>
      </c>
      <c r="F294" s="163" t="inlineStr">
        <is>
          <t>Media</t>
        </is>
      </c>
    </row>
    <row r="295">
      <c r="A295" s="159" t="inlineStr">
        <is>
          <t>기타</t>
        </is>
      </c>
      <c r="B295" s="159" t="inlineStr">
        <is>
          <t>7월 3일</t>
        </is>
      </c>
      <c r="C295" s="159" t="inlineStr">
        <is>
          <t>AI 진단부터 멀티 브랜드 조합까지, 치열해지는 '가전 구독' 시장 전략</t>
        </is>
      </c>
      <c r="D295" s="159" t="inlineStr">
        <is>
          <t>3.57%</t>
        </is>
      </c>
      <c r="E295" s="159" t="n">
        <v>1</v>
      </c>
      <c r="F295" s="162" t="inlineStr">
        <is>
          <t>Trend</t>
        </is>
      </c>
    </row>
    <row r="296">
      <c r="A296" s="159" t="inlineStr">
        <is>
          <t>기타</t>
        </is>
      </c>
      <c r="B296" s="159" t="inlineStr">
        <is>
          <t>7월 3일</t>
        </is>
      </c>
      <c r="C296" s="159" t="inlineStr">
        <is>
          <t>dooh</t>
        </is>
      </c>
      <c r="D296" s="159" t="inlineStr">
        <is>
          <t>3.57%</t>
        </is>
      </c>
      <c r="E296" s="159" t="n">
        <v>1</v>
      </c>
      <c r="F296" s="160" t="inlineStr">
        <is>
          <t>About</t>
        </is>
      </c>
    </row>
    <row r="297">
      <c r="A297" s="159" t="inlineStr">
        <is>
          <t>기타</t>
        </is>
      </c>
      <c r="B297" s="159" t="inlineStr">
        <is>
          <t>7월 3일</t>
        </is>
      </c>
      <c r="C297" s="159" t="inlineStr">
        <is>
          <t>네이버 da상품 종류</t>
        </is>
      </c>
      <c r="D297" s="159" t="inlineStr">
        <is>
          <t>3.57%</t>
        </is>
      </c>
      <c r="E297" s="159" t="n">
        <v>1</v>
      </c>
      <c r="F297" s="163" t="inlineStr">
        <is>
          <t>Media</t>
        </is>
      </c>
    </row>
    <row r="298">
      <c r="A298" s="159" t="inlineStr">
        <is>
          <t>기타</t>
        </is>
      </c>
      <c r="B298" s="159" t="inlineStr">
        <is>
          <t>7월 4일</t>
        </is>
      </c>
      <c r="C298" s="159" t="inlineStr">
        <is>
          <t>하이네켄 페스티벌</t>
        </is>
      </c>
      <c r="D298" s="159" t="inlineStr">
        <is>
          <t>12.50%</t>
        </is>
      </c>
      <c r="E298" s="159" t="n">
        <v>1</v>
      </c>
      <c r="F298" s="162" t="inlineStr">
        <is>
          <t>Trend</t>
        </is>
      </c>
    </row>
    <row r="299">
      <c r="A299" s="159" t="inlineStr">
        <is>
          <t>기타</t>
        </is>
      </c>
      <c r="B299" s="159" t="inlineStr">
        <is>
          <t>7월 4일</t>
        </is>
      </c>
      <c r="C299" s="159" t="inlineStr">
        <is>
          <t>하이네켄페스티벌</t>
        </is>
      </c>
      <c r="D299" s="159" t="inlineStr">
        <is>
          <t>12.50%</t>
        </is>
      </c>
      <c r="E299" s="159" t="n">
        <v>1</v>
      </c>
      <c r="F299" s="162" t="inlineStr">
        <is>
          <t>Trend</t>
        </is>
      </c>
    </row>
    <row r="300">
      <c r="A300" s="159" t="inlineStr">
        <is>
          <t>기타</t>
        </is>
      </c>
      <c r="B300" s="159" t="inlineStr">
        <is>
          <t>7월 5일</t>
        </is>
      </c>
      <c r="C300" s="159" t="inlineStr">
        <is>
          <t>프리미엄 생수 시장 성장 전망과 수익성 알려주세요</t>
        </is>
      </c>
      <c r="D300" s="159" t="inlineStr">
        <is>
          <t>16.67%</t>
        </is>
      </c>
      <c r="E300" s="159" t="n">
        <v>1</v>
      </c>
      <c r="F300" s="162" t="inlineStr">
        <is>
          <t>Trend</t>
        </is>
      </c>
    </row>
    <row r="301">
      <c r="A301" s="159" t="inlineStr">
        <is>
          <t>기타</t>
        </is>
      </c>
      <c r="B301" s="159" t="inlineStr">
        <is>
          <t>7월 6일</t>
        </is>
      </c>
      <c r="C301" s="159" t="inlineStr">
        <is>
          <t>네이버 지도앱 스플래시 배너 이미지 특수형</t>
        </is>
      </c>
      <c r="D301" s="159" t="inlineStr">
        <is>
          <t>1.52%</t>
        </is>
      </c>
      <c r="E301" s="159" t="n">
        <v>1</v>
      </c>
      <c r="F301" s="163" t="inlineStr">
        <is>
          <t>Media</t>
        </is>
      </c>
    </row>
    <row r="302">
      <c r="A302" s="159" t="inlineStr">
        <is>
          <t>기타</t>
        </is>
      </c>
      <c r="B302" s="159" t="inlineStr">
        <is>
          <t>7월 6일</t>
        </is>
      </c>
      <c r="C302" s="159" t="inlineStr">
        <is>
          <t>메타 BLS m3</t>
        </is>
      </c>
      <c r="D302" s="159" t="inlineStr">
        <is>
          <t>1.52%</t>
        </is>
      </c>
      <c r="E302" s="159" t="n">
        <v>1</v>
      </c>
      <c r="F302" s="160" t="inlineStr">
        <is>
          <t>About</t>
        </is>
      </c>
    </row>
    <row r="303">
      <c r="A303" s="159" t="inlineStr">
        <is>
          <t>기타</t>
        </is>
      </c>
      <c r="B303" s="159" t="inlineStr">
        <is>
          <t>7월 6일</t>
        </is>
      </c>
      <c r="C303" s="159" t="inlineStr">
        <is>
          <t>클링커밴드</t>
        </is>
      </c>
      <c r="D303" s="159" t="inlineStr">
        <is>
          <t>1.52%</t>
        </is>
      </c>
      <c r="E303" s="159" t="n">
        <v>1</v>
      </c>
      <c r="F303" s="162" t="inlineStr">
        <is>
          <t>Trend</t>
        </is>
      </c>
    </row>
    <row r="304">
      <c r="A304" s="159" t="inlineStr">
        <is>
          <t>기타</t>
        </is>
      </c>
      <c r="B304" s="159" t="inlineStr">
        <is>
          <t>7월 6일</t>
        </is>
      </c>
      <c r="C304" s="159" t="inlineStr">
        <is>
          <t>브랜드 콜라보 굿즈가 불필요한 소비를 유발하는 문제</t>
        </is>
      </c>
      <c r="D304" s="159" t="inlineStr">
        <is>
          <t>3.03%</t>
        </is>
      </c>
      <c r="E304" s="159" t="n">
        <v>2</v>
      </c>
      <c r="F304" s="162" t="inlineStr">
        <is>
          <t>Trend</t>
        </is>
      </c>
    </row>
    <row r="305">
      <c r="A305" s="159" t="inlineStr">
        <is>
          <t>기타</t>
        </is>
      </c>
      <c r="B305" s="159" t="inlineStr">
        <is>
          <t>7월 6일</t>
        </is>
      </c>
      <c r="C305" s="159" t="inlineStr">
        <is>
          <t>고택스캡슐의 주요 성분과 효능이 궁금해요</t>
        </is>
      </c>
      <c r="D305" s="159" t="inlineStr">
        <is>
          <t>1.52%</t>
        </is>
      </c>
      <c r="E305" s="159" t="n">
        <v>1</v>
      </c>
      <c r="F305" s="162" t="inlineStr">
        <is>
          <t>Trend</t>
        </is>
      </c>
    </row>
    <row r="306">
      <c r="A306" s="159" t="inlineStr">
        <is>
          <t>기타</t>
        </is>
      </c>
      <c r="B306" s="159" t="inlineStr">
        <is>
          <t>7월 7일</t>
        </is>
      </c>
      <c r="C306" s="159" t="inlineStr">
        <is>
          <t>소셜 미디어를 사용하는 20대들의 특이한 행동</t>
        </is>
      </c>
      <c r="D306" s="159" t="inlineStr">
        <is>
          <t>1.27%</t>
        </is>
      </c>
      <c r="E306" s="159" t="n">
        <v>1</v>
      </c>
      <c r="F306" s="162" t="inlineStr">
        <is>
          <t>Trend</t>
        </is>
      </c>
    </row>
    <row r="307">
      <c r="A307" s="159" t="inlineStr">
        <is>
          <t>기타</t>
        </is>
      </c>
      <c r="B307" s="159" t="inlineStr">
        <is>
          <t>7월 7일</t>
        </is>
      </c>
      <c r="C307" s="159" t="inlineStr">
        <is>
          <t>언플러그 시크</t>
        </is>
      </c>
      <c r="D307" s="159" t="inlineStr">
        <is>
          <t>1.27%</t>
        </is>
      </c>
      <c r="E307" s="159" t="n">
        <v>1</v>
      </c>
      <c r="F307" s="162" t="inlineStr">
        <is>
          <t>Trend</t>
        </is>
      </c>
    </row>
    <row r="308">
      <c r="A308" s="159" t="inlineStr">
        <is>
          <t>기타</t>
        </is>
      </c>
      <c r="B308" s="159" t="inlineStr">
        <is>
          <t>7월 7일</t>
        </is>
      </c>
      <c r="C308" s="159" t="inlineStr">
        <is>
          <t>Marketing Mix Modeling 방법론</t>
        </is>
      </c>
      <c r="D308" s="159" t="inlineStr">
        <is>
          <t>1.27%</t>
        </is>
      </c>
      <c r="E308" s="159" t="n">
        <v>1</v>
      </c>
      <c r="F308" s="165" t="inlineStr">
        <is>
          <t>Data</t>
        </is>
      </c>
    </row>
    <row r="309">
      <c r="A309" s="159" t="inlineStr">
        <is>
          <t>기타</t>
        </is>
      </c>
      <c r="B309" s="159" t="inlineStr">
        <is>
          <t>7월 7일</t>
        </is>
      </c>
      <c r="C309" s="159" t="inlineStr">
        <is>
          <t>니치콘텐츠</t>
        </is>
      </c>
      <c r="D309" s="159" t="inlineStr">
        <is>
          <t>1.27%</t>
        </is>
      </c>
      <c r="E309" s="159" t="n">
        <v>1</v>
      </c>
      <c r="F309" s="164" t="n"/>
    </row>
    <row r="310">
      <c r="A310" s="159" t="inlineStr">
        <is>
          <t>기타</t>
        </is>
      </c>
      <c r="B310" s="159" t="inlineStr">
        <is>
          <t>7월 7일</t>
        </is>
      </c>
      <c r="C310" s="159" t="inlineStr">
        <is>
          <t>메이크업 제품과 지속력 팁</t>
        </is>
      </c>
      <c r="D310" s="159" t="inlineStr">
        <is>
          <t>1.27%</t>
        </is>
      </c>
      <c r="E310" s="159" t="n">
        <v>1</v>
      </c>
      <c r="F310" s="162" t="inlineStr">
        <is>
          <t>Trend</t>
        </is>
      </c>
    </row>
    <row r="311">
      <c r="A311" s="159" t="inlineStr">
        <is>
          <t>기타</t>
        </is>
      </c>
      <c r="B311" s="159" t="inlineStr">
        <is>
          <t>7월 8일</t>
        </is>
      </c>
      <c r="C311" s="159" t="inlineStr">
        <is>
          <t>하이네켄 캠페인</t>
        </is>
      </c>
      <c r="D311" s="159" t="inlineStr">
        <is>
          <t>0.99%</t>
        </is>
      </c>
      <c r="E311" s="159" t="n">
        <v>1</v>
      </c>
      <c r="F311" s="162" t="inlineStr">
        <is>
          <t>Trend</t>
        </is>
      </c>
    </row>
    <row r="312">
      <c r="A312" s="159" t="inlineStr">
        <is>
          <t>기타</t>
        </is>
      </c>
      <c r="B312" s="159" t="inlineStr">
        <is>
          <t>7월 9일</t>
        </is>
      </c>
      <c r="C312" s="159" t="inlineStr">
        <is>
          <t>지도스플래시패키지 과금방식</t>
        </is>
      </c>
      <c r="D312" s="159" t="inlineStr">
        <is>
          <t>2.70%</t>
        </is>
      </c>
      <c r="E312" s="159" t="n">
        <v>1</v>
      </c>
      <c r="F312" s="160" t="inlineStr">
        <is>
          <t>About</t>
        </is>
      </c>
    </row>
    <row r="313">
      <c r="A313" s="159" t="inlineStr">
        <is>
          <t>기타</t>
        </is>
      </c>
      <c r="B313" s="159" t="inlineStr">
        <is>
          <t>7월 9일</t>
        </is>
      </c>
      <c r="C313" s="159" t="inlineStr">
        <is>
          <t>중저가 의류 브랜드</t>
        </is>
      </c>
      <c r="D313" s="159" t="inlineStr">
        <is>
          <t>2.70%</t>
        </is>
      </c>
      <c r="E313" s="159" t="n">
        <v>1</v>
      </c>
      <c r="F313" s="162" t="inlineStr">
        <is>
          <t>Trend</t>
        </is>
      </c>
    </row>
    <row r="314">
      <c r="A314" s="159" t="inlineStr">
        <is>
          <t>기타</t>
        </is>
      </c>
      <c r="B314" s="159" t="inlineStr">
        <is>
          <t>7월 9일</t>
        </is>
      </c>
      <c r="C314" s="159" t="inlineStr">
        <is>
          <t>advoost max</t>
        </is>
      </c>
      <c r="D314" s="159" t="inlineStr">
        <is>
          <t>2.70%</t>
        </is>
      </c>
      <c r="E314" s="159" t="n">
        <v>1</v>
      </c>
      <c r="F314" s="163" t="inlineStr">
        <is>
          <t>Media</t>
        </is>
      </c>
    </row>
    <row r="315">
      <c r="A315" s="159" t="inlineStr">
        <is>
          <t>기타</t>
        </is>
      </c>
      <c r="B315" s="159" t="inlineStr">
        <is>
          <t>7월 10일</t>
        </is>
      </c>
      <c r="C315" s="159" t="inlineStr">
        <is>
          <t>Shu-Chew Beats</t>
        </is>
      </c>
      <c r="D315" s="159" t="inlineStr">
        <is>
          <t>2.13%</t>
        </is>
      </c>
      <c r="E315" s="159" t="n">
        <v>1</v>
      </c>
      <c r="F315" s="162" t="inlineStr">
        <is>
          <t>Trend</t>
        </is>
      </c>
    </row>
    <row r="316">
      <c r="A316" s="159" t="inlineStr">
        <is>
          <t>기타</t>
        </is>
      </c>
      <c r="B316" s="159" t="inlineStr">
        <is>
          <t>7월 10일</t>
        </is>
      </c>
      <c r="C316" s="159" t="inlineStr">
        <is>
          <t>brand lift study</t>
        </is>
      </c>
      <c r="D316" s="159" t="inlineStr">
        <is>
          <t>2.13%</t>
        </is>
      </c>
      <c r="E316" s="159" t="n">
        <v>1</v>
      </c>
      <c r="F316" s="160" t="inlineStr">
        <is>
          <t>About</t>
        </is>
      </c>
    </row>
    <row r="317">
      <c r="A317" s="159" t="inlineStr">
        <is>
          <t>기타</t>
        </is>
      </c>
      <c r="B317" s="159" t="inlineStr">
        <is>
          <t>7월 11일</t>
        </is>
      </c>
      <c r="C317" s="159" t="inlineStr">
        <is>
          <t>웬디스 콜라보</t>
        </is>
      </c>
      <c r="D317" s="159" t="inlineStr">
        <is>
          <t>4.76%</t>
        </is>
      </c>
      <c r="E317" s="159" t="n">
        <v>1</v>
      </c>
      <c r="F317" s="162" t="inlineStr">
        <is>
          <t>Trend</t>
        </is>
      </c>
    </row>
    <row r="318">
      <c r="A318" s="159" t="inlineStr">
        <is>
          <t>기타</t>
        </is>
      </c>
      <c r="B318" s="159" t="inlineStr">
        <is>
          <t>7월 12일</t>
        </is>
      </c>
      <c r="C318" s="159" t="inlineStr">
        <is>
          <t>dmc미디어 메타공식대행사</t>
        </is>
      </c>
      <c r="D318" s="159" t="inlineStr">
        <is>
          <t>5.00%</t>
        </is>
      </c>
      <c r="E318" s="159" t="n">
        <v>1</v>
      </c>
      <c r="F318" s="160" t="inlineStr">
        <is>
          <t>About</t>
        </is>
      </c>
    </row>
    <row r="319">
      <c r="A319" s="159" t="inlineStr">
        <is>
          <t>기타</t>
        </is>
      </c>
      <c r="B319" s="159" t="inlineStr">
        <is>
          <t>7월 12일</t>
        </is>
      </c>
      <c r="C319" s="159" t="inlineStr">
        <is>
          <t>dmc미디어 메타광고</t>
        </is>
      </c>
      <c r="D319" s="159" t="inlineStr">
        <is>
          <t>5.00%</t>
        </is>
      </c>
      <c r="E319" s="159" t="n">
        <v>1</v>
      </c>
      <c r="F319" s="160" t="inlineStr">
        <is>
          <t>About</t>
        </is>
      </c>
    </row>
    <row r="320">
      <c r="A320" s="159" t="inlineStr">
        <is>
          <t>기타</t>
        </is>
      </c>
      <c r="B320" s="159" t="inlineStr">
        <is>
          <t>7월 12일</t>
        </is>
      </c>
      <c r="C320" s="159" t="inlineStr">
        <is>
          <t>오늘 축구 중계 채널 시청률</t>
        </is>
      </c>
      <c r="D320" s="159" t="inlineStr">
        <is>
          <t>5.00%</t>
        </is>
      </c>
      <c r="E320" s="159" t="n">
        <v>1</v>
      </c>
      <c r="F320" s="162" t="inlineStr">
        <is>
          <t>Trend</t>
        </is>
      </c>
    </row>
    <row r="321">
      <c r="A321" s="159" t="inlineStr">
        <is>
          <t>기타</t>
        </is>
      </c>
      <c r="B321" s="159" t="inlineStr">
        <is>
          <t>7월 12일</t>
        </is>
      </c>
      <c r="C321" s="159" t="inlineStr">
        <is>
          <t>nosp소재 상태값</t>
        </is>
      </c>
      <c r="D321" s="159" t="inlineStr">
        <is>
          <t>5.00%</t>
        </is>
      </c>
      <c r="E321" s="159" t="n">
        <v>1</v>
      </c>
      <c r="F321" s="160" t="inlineStr">
        <is>
          <t>About</t>
        </is>
      </c>
    </row>
    <row r="322">
      <c r="A322" s="159" t="inlineStr">
        <is>
          <t>기타</t>
        </is>
      </c>
      <c r="B322" s="159" t="inlineStr">
        <is>
          <t>7월 13일</t>
        </is>
      </c>
      <c r="C322" s="159" t="inlineStr">
        <is>
          <t>dooh 성과</t>
        </is>
      </c>
      <c r="D322" s="159" t="inlineStr">
        <is>
          <t>2.78%</t>
        </is>
      </c>
      <c r="E322" s="159" t="n">
        <v>1</v>
      </c>
      <c r="F322" s="160" t="inlineStr">
        <is>
          <t>About</t>
        </is>
      </c>
    </row>
    <row r="323">
      <c r="A323" s="159" t="inlineStr">
        <is>
          <t>기타</t>
        </is>
      </c>
      <c r="B323" s="159" t="inlineStr">
        <is>
          <t>7월 13일</t>
        </is>
      </c>
      <c r="C323" s="159" t="inlineStr">
        <is>
          <t>건강기능식품 트렌드 리포트 2025</t>
        </is>
      </c>
      <c r="D323" s="159" t="inlineStr">
        <is>
          <t>2.78%</t>
        </is>
      </c>
      <c r="E323" s="159" t="n">
        <v>1</v>
      </c>
      <c r="F323" s="162" t="inlineStr">
        <is>
          <t>Trend</t>
        </is>
      </c>
    </row>
    <row r="324">
      <c r="A324" s="159" t="inlineStr">
        <is>
          <t>기타</t>
        </is>
      </c>
      <c r="B324" s="159" t="inlineStr">
        <is>
          <t>7월 13일</t>
        </is>
      </c>
      <c r="C324" s="159" t="inlineStr">
        <is>
          <t>네이티브 배너광고</t>
        </is>
      </c>
      <c r="D324" s="159" t="inlineStr">
        <is>
          <t>2.78%</t>
        </is>
      </c>
      <c r="E324" s="159" t="n">
        <v>1</v>
      </c>
      <c r="F324" s="163" t="inlineStr">
        <is>
          <t>Media</t>
        </is>
      </c>
    </row>
    <row r="325">
      <c r="A325" s="159" t="inlineStr">
        <is>
          <t>기타</t>
        </is>
      </c>
      <c r="B325" s="159" t="inlineStr">
        <is>
          <t>7월 13일</t>
        </is>
      </c>
      <c r="C325" s="159" t="inlineStr">
        <is>
          <t>하이네켄 대화 캠페인</t>
        </is>
      </c>
      <c r="D325" s="159" t="inlineStr">
        <is>
          <t>2.78%</t>
        </is>
      </c>
      <c r="E325" s="159" t="n">
        <v>1</v>
      </c>
      <c r="F325" s="162" t="inlineStr">
        <is>
          <t>Trend</t>
        </is>
      </c>
    </row>
    <row r="326">
      <c r="A326" s="159" t="inlineStr">
        <is>
          <t>기타</t>
        </is>
      </c>
      <c r="B326" s="159" t="inlineStr">
        <is>
          <t>7월 13일</t>
        </is>
      </c>
      <c r="C326" s="159" t="inlineStr">
        <is>
          <t>셀퍼 메타광고</t>
        </is>
      </c>
      <c r="D326" s="159" t="inlineStr">
        <is>
          <t>2.78%</t>
        </is>
      </c>
      <c r="E326" s="159" t="n">
        <v>1</v>
      </c>
      <c r="F326" s="164" t="inlineStr">
        <is>
          <t>Selper</t>
        </is>
      </c>
    </row>
    <row r="327">
      <c r="A327" s="159" t="inlineStr">
        <is>
          <t>기타</t>
        </is>
      </c>
      <c r="B327" s="159" t="inlineStr">
        <is>
          <t>7월 14일</t>
        </is>
      </c>
      <c r="C327" s="159" t="inlineStr">
        <is>
          <t>더블크라운 DA</t>
        </is>
      </c>
      <c r="D327" s="159" t="inlineStr">
        <is>
          <t>2.33%</t>
        </is>
      </c>
      <c r="E327" s="159" t="n">
        <v>1</v>
      </c>
      <c r="F327" s="160" t="inlineStr">
        <is>
          <t>About</t>
        </is>
      </c>
    </row>
    <row r="328">
      <c r="A328" s="159" t="inlineStr">
        <is>
          <t>기타</t>
        </is>
      </c>
      <c r="B328" s="159" t="inlineStr">
        <is>
          <t>7월 15일</t>
        </is>
      </c>
      <c r="C328" s="159" t="inlineStr">
        <is>
          <t>열품타 dau</t>
        </is>
      </c>
      <c r="D328" s="159" t="inlineStr">
        <is>
          <t>1.23%</t>
        </is>
      </c>
      <c r="E328" s="159" t="n">
        <v>1</v>
      </c>
      <c r="F328" s="160" t="inlineStr">
        <is>
          <t>About</t>
        </is>
      </c>
    </row>
    <row r="329">
      <c r="A329" s="159" t="inlineStr">
        <is>
          <t>기타</t>
        </is>
      </c>
      <c r="B329" s="159" t="inlineStr">
        <is>
          <t>7월 15일</t>
        </is>
      </c>
      <c r="C329" s="159" t="inlineStr">
        <is>
          <t>cta 버튼명</t>
        </is>
      </c>
      <c r="D329" s="159" t="inlineStr">
        <is>
          <t>1.23%</t>
        </is>
      </c>
      <c r="E329" s="159" t="n">
        <v>1</v>
      </c>
      <c r="F329" s="163" t="inlineStr">
        <is>
          <t>Media</t>
        </is>
      </c>
    </row>
    <row r="330">
      <c r="A330" s="159" t="inlineStr">
        <is>
          <t>기타</t>
        </is>
      </c>
      <c r="B330" s="159" t="inlineStr">
        <is>
          <t>7월 16일</t>
        </is>
      </c>
      <c r="C330" s="159" t="inlineStr">
        <is>
          <t>오늘의집 유저들의스타일링샷</t>
        </is>
      </c>
      <c r="D330" s="159" t="inlineStr">
        <is>
          <t>2.22%</t>
        </is>
      </c>
      <c r="E330" s="159" t="n">
        <v>1</v>
      </c>
      <c r="F330" s="163" t="inlineStr">
        <is>
          <t>Media</t>
        </is>
      </c>
    </row>
    <row r="331">
      <c r="A331" s="159" t="inlineStr">
        <is>
          <t>기타</t>
        </is>
      </c>
      <c r="B331" s="159" t="inlineStr">
        <is>
          <t>7월 16일</t>
        </is>
      </c>
      <c r="C331" s="159" t="inlineStr">
        <is>
          <t>카카오 비즈보드 광고</t>
        </is>
      </c>
      <c r="D331" s="159" t="inlineStr">
        <is>
          <t>2.22%</t>
        </is>
      </c>
      <c r="E331" s="159" t="n">
        <v>1</v>
      </c>
      <c r="F331" s="160" t="inlineStr">
        <is>
          <t>About</t>
        </is>
      </c>
    </row>
    <row r="332">
      <c r="A332" s="159" t="inlineStr">
        <is>
          <t>기타</t>
        </is>
      </c>
      <c r="B332" s="159" t="inlineStr">
        <is>
          <t>7월 16일</t>
        </is>
      </c>
      <c r="C332" s="159" t="inlineStr">
        <is>
          <t>중저가 의류 브랜드</t>
        </is>
      </c>
      <c r="D332" s="159" t="inlineStr">
        <is>
          <t>2.22%</t>
        </is>
      </c>
      <c r="E332" s="159" t="n">
        <v>1</v>
      </c>
      <c r="F332" s="162" t="inlineStr">
        <is>
          <t>Trend</t>
        </is>
      </c>
    </row>
    <row r="333">
      <c r="A333" s="159" t="inlineStr">
        <is>
          <t>기타</t>
        </is>
      </c>
      <c r="B333" s="159" t="inlineStr">
        <is>
          <t>7월 17일</t>
        </is>
      </c>
      <c r="C333" s="159" t="inlineStr">
        <is>
          <t>only on youtube package</t>
        </is>
      </c>
      <c r="D333" s="159" t="inlineStr">
        <is>
          <t>2.50%</t>
        </is>
      </c>
      <c r="E333" s="159" t="n">
        <v>1</v>
      </c>
      <c r="F333" s="160" t="inlineStr">
        <is>
          <t>About</t>
        </is>
      </c>
    </row>
    <row r="334">
      <c r="A334" s="159" t="inlineStr">
        <is>
          <t>기타</t>
        </is>
      </c>
      <c r="B334" s="159" t="inlineStr">
        <is>
          <t>7월 17일</t>
        </is>
      </c>
      <c r="C334" s="159" t="inlineStr">
        <is>
          <t>네이버비지니스광고 키워드변경</t>
        </is>
      </c>
      <c r="D334" s="159" t="inlineStr">
        <is>
          <t>2.50%</t>
        </is>
      </c>
      <c r="E334" s="159" t="n">
        <v>1</v>
      </c>
      <c r="F334" s="163" t="inlineStr">
        <is>
          <t>Media</t>
        </is>
      </c>
    </row>
    <row r="335">
      <c r="A335" s="159" t="inlineStr">
        <is>
          <t>기타</t>
        </is>
      </c>
      <c r="B335" s="159" t="inlineStr">
        <is>
          <t>7월 17일</t>
        </is>
      </c>
      <c r="C335" s="159" t="inlineStr">
        <is>
          <t>뜬뜬 마케팅</t>
        </is>
      </c>
      <c r="D335" s="159" t="inlineStr">
        <is>
          <t>2.50%</t>
        </is>
      </c>
      <c r="E335" s="159" t="n">
        <v>1</v>
      </c>
      <c r="F335" s="160" t="inlineStr">
        <is>
          <t>About</t>
        </is>
      </c>
    </row>
    <row r="336">
      <c r="A336" s="159" t="inlineStr">
        <is>
          <t>기타</t>
        </is>
      </c>
      <c r="B336" s="159" t="inlineStr">
        <is>
          <t>7월 18일</t>
        </is>
      </c>
      <c r="C336" s="159" t="inlineStr">
        <is>
          <t>웬디스 콜라보</t>
        </is>
      </c>
      <c r="D336" s="159" t="inlineStr">
        <is>
          <t>1.79%</t>
        </is>
      </c>
      <c r="E336" s="159" t="n">
        <v>1</v>
      </c>
      <c r="F336" s="162" t="inlineStr">
        <is>
          <t>Trend</t>
        </is>
      </c>
    </row>
    <row r="337">
      <c r="A337" s="159" t="inlineStr">
        <is>
          <t>기타</t>
        </is>
      </c>
      <c r="B337" s="159" t="inlineStr">
        <is>
          <t>7월 18일</t>
        </is>
      </c>
      <c r="C337" s="159" t="inlineStr">
        <is>
          <t>웬디스데이</t>
        </is>
      </c>
      <c r="D337" s="159" t="inlineStr">
        <is>
          <t>1.79%</t>
        </is>
      </c>
      <c r="E337" s="159" t="n">
        <v>1</v>
      </c>
      <c r="F337" s="162" t="inlineStr">
        <is>
          <t>Trend</t>
        </is>
      </c>
    </row>
    <row r="338">
      <c r="A338" s="159" t="inlineStr">
        <is>
          <t>기타</t>
        </is>
      </c>
      <c r="B338" s="159" t="inlineStr">
        <is>
          <t>7월 19일</t>
        </is>
      </c>
      <c r="C338" s="159" t="inlineStr">
        <is>
          <t>뉴멀 뜻</t>
        </is>
      </c>
      <c r="D338" s="159" t="inlineStr">
        <is>
          <t>4.00%</t>
        </is>
      </c>
      <c r="E338" s="159" t="n">
        <v>1</v>
      </c>
      <c r="F338" s="162" t="inlineStr">
        <is>
          <t>Trend</t>
        </is>
      </c>
    </row>
    <row r="339">
      <c r="A339" s="159" t="inlineStr">
        <is>
          <t>기타</t>
        </is>
      </c>
      <c r="B339" s="159" t="inlineStr">
        <is>
          <t>7월 19일</t>
        </is>
      </c>
      <c r="C339" s="159" t="inlineStr">
        <is>
          <t>더블크라운 홈 우측 지면</t>
        </is>
      </c>
      <c r="D339" s="159" t="inlineStr">
        <is>
          <t>4.00%</t>
        </is>
      </c>
      <c r="E339" s="159" t="n">
        <v>1</v>
      </c>
      <c r="F339" s="160" t="inlineStr">
        <is>
          <t>About</t>
        </is>
      </c>
    </row>
    <row r="340">
      <c r="A340" s="159" t="inlineStr">
        <is>
          <t>기타</t>
        </is>
      </c>
      <c r="B340" s="159" t="inlineStr">
        <is>
          <t>7월 20일</t>
        </is>
      </c>
      <c r="C340" s="159" t="inlineStr">
        <is>
          <t>Doubleverify 연동 매체</t>
        </is>
      </c>
      <c r="D340" s="159" t="inlineStr">
        <is>
          <t>1.02%</t>
        </is>
      </c>
      <c r="E340" s="159" t="n">
        <v>1</v>
      </c>
      <c r="F340" s="163" t="inlineStr">
        <is>
          <t>Media</t>
        </is>
      </c>
    </row>
    <row r="341">
      <c r="A341" s="159" t="inlineStr">
        <is>
          <t>기타</t>
        </is>
      </c>
      <c r="B341" s="159" t="inlineStr">
        <is>
          <t>7월 20일</t>
        </is>
      </c>
      <c r="C341" s="159" t="inlineStr">
        <is>
          <t>스페셜 DA 이미지 확장형</t>
        </is>
      </c>
      <c r="D341" s="159" t="inlineStr">
        <is>
          <t>1.02%</t>
        </is>
      </c>
      <c r="E341" s="159" t="n">
        <v>1</v>
      </c>
      <c r="F341" s="160" t="inlineStr">
        <is>
          <t>About</t>
        </is>
      </c>
    </row>
    <row r="342">
      <c r="A342" s="159" t="inlineStr">
        <is>
          <t>기타</t>
        </is>
      </c>
      <c r="B342" s="159" t="inlineStr">
        <is>
          <t>7월 20일</t>
        </is>
      </c>
      <c r="C342" s="159" t="inlineStr">
        <is>
          <t>창림기념일 현수막</t>
        </is>
      </c>
      <c r="D342" s="159" t="inlineStr">
        <is>
          <t>1.02%</t>
        </is>
      </c>
      <c r="E342" s="159" t="n">
        <v>1</v>
      </c>
      <c r="F342" s="160" t="inlineStr">
        <is>
          <t>About</t>
        </is>
      </c>
    </row>
    <row r="343">
      <c r="A343" s="159" t="inlineStr">
        <is>
          <t>기타</t>
        </is>
      </c>
      <c r="B343" s="159" t="inlineStr">
        <is>
          <t>7월 21일</t>
        </is>
      </c>
      <c r="C343" s="159" t="inlineStr">
        <is>
          <t>구글애즈 광고의 자금 출처</t>
        </is>
      </c>
      <c r="D343" s="159" t="inlineStr">
        <is>
          <t>0.73%</t>
        </is>
      </c>
      <c r="E343" s="159" t="n">
        <v>1</v>
      </c>
      <c r="F343" s="160" t="inlineStr">
        <is>
          <t>About</t>
        </is>
      </c>
    </row>
    <row r="344">
      <c r="A344" s="159" t="inlineStr">
        <is>
          <t>기타</t>
        </is>
      </c>
      <c r="B344" s="159" t="inlineStr">
        <is>
          <t>7월 21일</t>
        </is>
      </c>
      <c r="C344" s="159" t="inlineStr">
        <is>
          <t>넷플릭스 일시정지 qr코드 광고</t>
        </is>
      </c>
      <c r="D344" s="159" t="inlineStr">
        <is>
          <t>0.73%</t>
        </is>
      </c>
      <c r="E344" s="159" t="n">
        <v>1</v>
      </c>
      <c r="F344" s="163" t="inlineStr">
        <is>
          <t>Media</t>
        </is>
      </c>
    </row>
    <row r="345">
      <c r="A345" s="159" t="inlineStr">
        <is>
          <t>기타</t>
        </is>
      </c>
      <c r="B345" s="159" t="inlineStr">
        <is>
          <t>7월 21일</t>
        </is>
      </c>
      <c r="C345" s="159" t="inlineStr">
        <is>
          <t>마운드미디어</t>
        </is>
      </c>
      <c r="D345" s="159" t="inlineStr">
        <is>
          <t>0.73%</t>
        </is>
      </c>
      <c r="E345" s="159" t="n">
        <v>1</v>
      </c>
      <c r="F345" s="164" t="n"/>
    </row>
    <row r="346">
      <c r="A346" s="159" t="inlineStr">
        <is>
          <t>기타</t>
        </is>
      </c>
      <c r="B346" s="159" t="inlineStr">
        <is>
          <t>7월 21일</t>
        </is>
      </c>
      <c r="C346" s="159" t="inlineStr">
        <is>
          <t>중저가 의류 브랜드</t>
        </is>
      </c>
      <c r="D346" s="159" t="inlineStr">
        <is>
          <t>0.73%</t>
        </is>
      </c>
      <c r="E346" s="159" t="n">
        <v>1</v>
      </c>
      <c r="F346" s="162" t="inlineStr">
        <is>
          <t>Trend</t>
        </is>
      </c>
    </row>
    <row r="347">
      <c r="A347" s="159" t="inlineStr">
        <is>
          <t>기타</t>
        </is>
      </c>
      <c r="B347" s="159" t="inlineStr">
        <is>
          <t>7월 21일</t>
        </is>
      </c>
      <c r="C347" s="159" t="inlineStr">
        <is>
          <t>응원하는 사자성어</t>
        </is>
      </c>
      <c r="D347" s="159" t="inlineStr">
        <is>
          <t>0.73%</t>
        </is>
      </c>
      <c r="E347" s="159" t="n">
        <v>1</v>
      </c>
      <c r="F347" s="164" t="n"/>
    </row>
    <row r="348">
      <c r="A348" s="159" t="inlineStr">
        <is>
          <t>기타</t>
        </is>
      </c>
      <c r="B348" s="159" t="inlineStr">
        <is>
          <t>7월 22일</t>
        </is>
      </c>
      <c r="C348" s="159" t="inlineStr">
        <is>
          <t>50대 여자 소구</t>
        </is>
      </c>
      <c r="D348" s="159" t="inlineStr">
        <is>
          <t>1.10%</t>
        </is>
      </c>
      <c r="E348" s="159" t="n">
        <v>1</v>
      </c>
      <c r="F348" s="162" t="inlineStr">
        <is>
          <t>Trend</t>
        </is>
      </c>
    </row>
    <row r="349">
      <c r="A349" s="159" t="inlineStr">
        <is>
          <t>기타</t>
        </is>
      </c>
      <c r="B349" s="159" t="inlineStr">
        <is>
          <t>7월 22일</t>
        </is>
      </c>
      <c r="C349" s="159" t="inlineStr">
        <is>
          <t>공무원 농촌일손돕기‧수해복구․산불진화 참여로</t>
        </is>
      </c>
      <c r="D349" s="159" t="inlineStr">
        <is>
          <t>1.10%</t>
        </is>
      </c>
      <c r="E349" s="159" t="n">
        <v>1</v>
      </c>
      <c r="F349" s="164" t="n"/>
    </row>
    <row r="350">
      <c r="A350" s="159" t="inlineStr">
        <is>
          <t>기타</t>
        </is>
      </c>
      <c r="B350" s="159" t="inlineStr">
        <is>
          <t>7월 22일</t>
        </is>
      </c>
      <c r="C350" s="159" t="inlineStr">
        <is>
          <t>당근 전문가모드 네이티브 카탈로그</t>
        </is>
      </c>
      <c r="D350" s="159" t="inlineStr">
        <is>
          <t>1.10%</t>
        </is>
      </c>
      <c r="E350" s="159" t="n">
        <v>1</v>
      </c>
      <c r="F350" s="163" t="inlineStr">
        <is>
          <t>Media</t>
        </is>
      </c>
    </row>
    <row r="351">
      <c r="A351" s="159" t="inlineStr">
        <is>
          <t>기타</t>
        </is>
      </c>
      <c r="B351" s="159" t="inlineStr">
        <is>
          <t>7월 22일</t>
        </is>
      </c>
      <c r="C351" s="159" t="inlineStr">
        <is>
          <t>더마 설문조사</t>
        </is>
      </c>
      <c r="D351" s="159" t="inlineStr">
        <is>
          <t>1.10%</t>
        </is>
      </c>
      <c r="E351" s="159" t="n">
        <v>1</v>
      </c>
      <c r="F351" s="162" t="inlineStr">
        <is>
          <t>Trend</t>
        </is>
      </c>
    </row>
    <row r="352">
      <c r="A352" s="159" t="inlineStr">
        <is>
          <t>기타</t>
        </is>
      </c>
      <c r="B352" s="159" t="inlineStr">
        <is>
          <t>7월 23일</t>
        </is>
      </c>
      <c r="C352" s="159" t="inlineStr">
        <is>
          <t>dmc 쿠팡플레이</t>
        </is>
      </c>
      <c r="D352" s="159" t="inlineStr">
        <is>
          <t>0.97%</t>
        </is>
      </c>
      <c r="E352" s="159" t="n">
        <v>1</v>
      </c>
      <c r="F352" s="160" t="inlineStr">
        <is>
          <t>About</t>
        </is>
      </c>
    </row>
    <row r="353">
      <c r="A353" s="159" t="inlineStr">
        <is>
          <t>기타</t>
        </is>
      </c>
      <c r="B353" s="159" t="inlineStr">
        <is>
          <t>7월 23일</t>
        </is>
      </c>
      <c r="C353" s="159" t="inlineStr">
        <is>
          <t>앰플리튜드 활용방법</t>
        </is>
      </c>
      <c r="D353" s="159" t="inlineStr">
        <is>
          <t>0.97%</t>
        </is>
      </c>
      <c r="E353" s="159" t="n">
        <v>1</v>
      </c>
      <c r="F353" s="165" t="inlineStr">
        <is>
          <t>Data</t>
        </is>
      </c>
    </row>
    <row r="354">
      <c r="A354" s="159" t="inlineStr">
        <is>
          <t>기타</t>
        </is>
      </c>
      <c r="B354" s="159" t="inlineStr">
        <is>
          <t>7월 23일</t>
        </is>
      </c>
      <c r="C354" s="159" t="inlineStr">
        <is>
          <t>하이네켄 소셜 캠페인</t>
        </is>
      </c>
      <c r="D354" s="159" t="inlineStr">
        <is>
          <t>0.97%</t>
        </is>
      </c>
      <c r="E354" s="159" t="n">
        <v>1</v>
      </c>
      <c r="F354" s="162" t="inlineStr">
        <is>
          <t>Trend</t>
        </is>
      </c>
    </row>
    <row r="355">
      <c r="A355" s="159" t="inlineStr">
        <is>
          <t>기타</t>
        </is>
      </c>
      <c r="B355" s="159" t="inlineStr">
        <is>
          <t>7월 23일</t>
        </is>
      </c>
      <c r="C355" s="159" t="inlineStr">
        <is>
          <t>가전 삼신기</t>
        </is>
      </c>
      <c r="D355" s="159" t="inlineStr">
        <is>
          <t>0.97%</t>
        </is>
      </c>
      <c r="E355" s="159" t="n">
        <v>1</v>
      </c>
      <c r="F355" s="162" t="inlineStr">
        <is>
          <t>Trend</t>
        </is>
      </c>
    </row>
    <row r="356">
      <c r="A356" s="159" t="inlineStr">
        <is>
          <t>기타</t>
        </is>
      </c>
      <c r="B356" s="159" t="inlineStr">
        <is>
          <t>7월 24일</t>
        </is>
      </c>
      <c r="C356" s="159" t="inlineStr">
        <is>
          <t>리테일 미디어 뜻</t>
        </is>
      </c>
      <c r="D356" s="159" t="inlineStr">
        <is>
          <t>3.33%</t>
        </is>
      </c>
      <c r="E356" s="159" t="n">
        <v>1</v>
      </c>
      <c r="F356" s="163" t="inlineStr">
        <is>
          <t>Media</t>
        </is>
      </c>
    </row>
    <row r="357">
      <c r="A357" s="159" t="inlineStr">
        <is>
          <t>기타</t>
        </is>
      </c>
      <c r="B357" s="159" t="inlineStr">
        <is>
          <t>7월 24일</t>
        </is>
      </c>
      <c r="C357" s="159" t="inlineStr">
        <is>
          <t>한국야쿠르트 견학 나이</t>
        </is>
      </c>
      <c r="D357" s="159" t="inlineStr">
        <is>
          <t>3.33%</t>
        </is>
      </c>
      <c r="E357" s="159" t="n">
        <v>1</v>
      </c>
      <c r="F357" s="162" t="inlineStr">
        <is>
          <t>Trend</t>
        </is>
      </c>
    </row>
    <row r="358">
      <c r="A358" s="159" t="inlineStr">
        <is>
          <t>기타</t>
        </is>
      </c>
      <c r="B358" s="159" t="inlineStr">
        <is>
          <t>7월 26일</t>
        </is>
      </c>
      <c r="C358" s="159" t="inlineStr">
        <is>
          <t>웬디스 콜라보</t>
        </is>
      </c>
      <c r="D358" s="159" t="inlineStr">
        <is>
          <t>6.67%</t>
        </is>
      </c>
      <c r="E358" s="159" t="n">
        <v>1</v>
      </c>
      <c r="F358" s="162" t="inlineStr">
        <is>
          <t>Trend</t>
        </is>
      </c>
    </row>
    <row r="359">
      <c r="A359" s="159" t="inlineStr">
        <is>
          <t>기타</t>
        </is>
      </c>
      <c r="B359" s="159" t="inlineStr">
        <is>
          <t>7월 26일</t>
        </is>
      </c>
      <c r="C359" s="159" t="inlineStr">
        <is>
          <t>네이버 광고 AD BOOST MAX 기능</t>
        </is>
      </c>
      <c r="D359" s="159" t="inlineStr">
        <is>
          <t>6.67%</t>
        </is>
      </c>
      <c r="E359" s="159" t="n">
        <v>1</v>
      </c>
      <c r="F359" s="163" t="inlineStr">
        <is>
          <t>Media</t>
        </is>
      </c>
    </row>
    <row r="360">
      <c r="A360" s="159" t="inlineStr">
        <is>
          <t>기타</t>
        </is>
      </c>
      <c r="B360" s="159" t="inlineStr">
        <is>
          <t>7월 27일</t>
        </is>
      </c>
      <c r="C360" s="159" t="inlineStr">
        <is>
          <t>그로스 마케팅</t>
        </is>
      </c>
      <c r="D360" s="159" t="inlineStr">
        <is>
          <t>3.33%</t>
        </is>
      </c>
      <c r="E360" s="159" t="n">
        <v>1</v>
      </c>
      <c r="F360" s="160" t="inlineStr">
        <is>
          <t>About</t>
        </is>
      </c>
    </row>
    <row r="361">
      <c r="A361" s="159" t="inlineStr">
        <is>
          <t>기타</t>
        </is>
      </c>
      <c r="B361" s="159" t="inlineStr">
        <is>
          <t>7월 28일</t>
        </is>
      </c>
      <c r="C361" s="159" t="inlineStr">
        <is>
          <t>adid 타겟팅</t>
        </is>
      </c>
      <c r="D361" s="159" t="inlineStr">
        <is>
          <t>4.35%</t>
        </is>
      </c>
      <c r="E361" s="159" t="n">
        <v>1</v>
      </c>
      <c r="F361" s="163" t="inlineStr">
        <is>
          <t>Media</t>
        </is>
      </c>
    </row>
    <row r="362">
      <c r="A362" s="159" t="inlineStr">
        <is>
          <t>기타</t>
        </is>
      </c>
      <c r="B362" s="159" t="inlineStr">
        <is>
          <t>7월 28일</t>
        </is>
      </c>
      <c r="C362" s="159" t="inlineStr">
        <is>
          <t>디지털디바이스뜻</t>
        </is>
      </c>
      <c r="D362" s="159" t="inlineStr">
        <is>
          <t>4.35%</t>
        </is>
      </c>
      <c r="E362" s="159" t="n">
        <v>1</v>
      </c>
      <c r="F362" s="162" t="inlineStr">
        <is>
          <t>Trend</t>
        </is>
      </c>
    </row>
    <row r="363">
      <c r="A363" s="159" t="inlineStr">
        <is>
          <t>기타</t>
        </is>
      </c>
      <c r="B363" s="159" t="inlineStr">
        <is>
          <t>7월 28일</t>
        </is>
      </c>
      <c r="C363" s="159" t="inlineStr">
        <is>
          <t>네이버에서 종목 검색 시 주가 정보 영역 하단에 노출되는 광고 상품</t>
        </is>
      </c>
      <c r="D363" s="159" t="inlineStr">
        <is>
          <t>4.35%</t>
        </is>
      </c>
      <c r="E363" s="159" t="n">
        <v>1</v>
      </c>
      <c r="F363" s="160" t="inlineStr">
        <is>
          <t>About</t>
        </is>
      </c>
    </row>
    <row r="364">
      <c r="A364" s="159" t="inlineStr">
        <is>
          <t>기타</t>
        </is>
      </c>
      <c r="B364" s="159" t="inlineStr">
        <is>
          <t>7월 28일</t>
        </is>
      </c>
      <c r="C364" s="159" t="inlineStr">
        <is>
          <t>더마 코스메틱 동향</t>
        </is>
      </c>
      <c r="D364" s="159" t="inlineStr">
        <is>
          <t>4.35%</t>
        </is>
      </c>
      <c r="E364" s="159" t="n">
        <v>1</v>
      </c>
      <c r="F364" s="162" t="inlineStr">
        <is>
          <t>Trend</t>
        </is>
      </c>
    </row>
    <row r="365">
      <c r="A365" s="159" t="inlineStr">
        <is>
          <t>기타</t>
        </is>
      </c>
      <c r="B365" s="159" t="inlineStr">
        <is>
          <t>7월 29일</t>
        </is>
      </c>
      <c r="C365" s="159" t="inlineStr">
        <is>
          <t>‘ADVoost Max’ 병의원</t>
        </is>
      </c>
      <c r="D365" s="159" t="inlineStr">
        <is>
          <t>1.41%</t>
        </is>
      </c>
      <c r="E365" s="159" t="n">
        <v>1</v>
      </c>
      <c r="F365" s="160" t="inlineStr">
        <is>
          <t>About</t>
        </is>
      </c>
    </row>
  </sheetData>
  <autoFilter ref="A1:F1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9"/>
  <sheetViews>
    <sheetView zoomScale="85" zoomScaleNormal="85" workbookViewId="0">
      <selection activeCell="H21" sqref="H21"/>
    </sheetView>
  </sheetViews>
  <sheetFormatPr baseColWidth="8" defaultColWidth="8.6640625" defaultRowHeight="14.4"/>
  <cols>
    <col width="22" customWidth="1" style="1" min="1" max="1"/>
    <col width="7" customWidth="1" style="1" min="2" max="2"/>
    <col width="9" customWidth="1" style="1" min="3" max="3"/>
    <col width="22" customWidth="1" style="1" min="4" max="4"/>
    <col width="7" customWidth="1" style="1" min="5" max="5"/>
    <col width="9" customWidth="1" style="1" min="6" max="6"/>
    <col width="22" customWidth="1" style="1" min="7" max="7"/>
    <col width="7" customWidth="1" style="1" min="8" max="8"/>
    <col width="9" customWidth="1" style="1" min="9" max="9"/>
    <col width="22" customWidth="1" style="1" min="10" max="10"/>
    <col width="7" customWidth="1" style="1" min="11" max="11"/>
    <col width="9" customWidth="1" style="1" min="12" max="12"/>
    <col width="22" customWidth="1" style="1" min="13" max="13"/>
    <col width="7" customWidth="1" style="1" min="14" max="14"/>
    <col width="9" customWidth="1" style="1" min="15" max="15"/>
    <col width="22" customWidth="1" style="1" min="16" max="16"/>
    <col width="7" customWidth="1" style="1" min="17" max="17"/>
    <col width="9" customWidth="1" style="1" min="18" max="18"/>
    <col width="22" customWidth="1" style="1" min="19" max="19"/>
    <col width="7" customWidth="1" style="1" min="20" max="20"/>
    <col width="9" customWidth="1" style="1" min="21" max="21"/>
  </cols>
  <sheetData>
    <row r="1" ht="21.75" customHeight="1" s="1">
      <c r="A1" s="2" t="inlineStr">
        <is>
          <t>월 설정</t>
        </is>
      </c>
      <c r="B1" s="3" t="n">
        <v>6</v>
      </c>
      <c r="C1" s="126" t="inlineStr">
        <is>
          <t>← B1 셀에서 월을 선택하면 날짜가 자동으로 바뀝니다</t>
        </is>
      </c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  <c r="T1" s="150" t="n"/>
      <c r="U1" s="150" t="n"/>
    </row>
    <row r="2" ht="15.75" customHeight="1" s="1">
      <c r="A2" s="4" t="inlineStr">
        <is>
          <t>키워드</t>
        </is>
      </c>
      <c r="B2" s="4" t="inlineStr">
        <is>
          <t>비중</t>
        </is>
      </c>
      <c r="C2" s="4" t="inlineStr">
        <is>
          <t>섹션</t>
        </is>
      </c>
      <c r="D2" s="4" t="inlineStr">
        <is>
          <t>키워드</t>
        </is>
      </c>
      <c r="E2" s="4" t="inlineStr">
        <is>
          <t>비중</t>
        </is>
      </c>
      <c r="F2" s="4" t="inlineStr">
        <is>
          <t>섹션</t>
        </is>
      </c>
      <c r="G2" s="4" t="inlineStr">
        <is>
          <t>키워드</t>
        </is>
      </c>
      <c r="H2" s="4" t="inlineStr">
        <is>
          <t>비중</t>
        </is>
      </c>
      <c r="I2" s="4" t="inlineStr">
        <is>
          <t>섹션</t>
        </is>
      </c>
      <c r="J2" s="4" t="inlineStr">
        <is>
          <t>키워드</t>
        </is>
      </c>
      <c r="K2" s="4" t="inlineStr">
        <is>
          <t>비중</t>
        </is>
      </c>
      <c r="L2" s="4" t="inlineStr">
        <is>
          <t>섹션</t>
        </is>
      </c>
      <c r="M2" s="4" t="inlineStr">
        <is>
          <t>키워드</t>
        </is>
      </c>
      <c r="N2" s="4" t="inlineStr">
        <is>
          <t>비중</t>
        </is>
      </c>
      <c r="O2" s="4" t="inlineStr">
        <is>
          <t>섹션</t>
        </is>
      </c>
      <c r="P2" s="4" t="inlineStr">
        <is>
          <t>키워드</t>
        </is>
      </c>
      <c r="Q2" s="4" t="inlineStr">
        <is>
          <t>비중</t>
        </is>
      </c>
      <c r="R2" s="4" t="inlineStr">
        <is>
          <t>섹션</t>
        </is>
      </c>
      <c r="S2" s="4" t="inlineStr">
        <is>
          <t>키워드</t>
        </is>
      </c>
      <c r="T2" s="4" t="inlineStr">
        <is>
          <t>비중</t>
        </is>
      </c>
      <c r="U2" s="4" t="inlineStr">
        <is>
          <t>섹션</t>
        </is>
      </c>
    </row>
    <row r="3" ht="15.75" customHeight="1" s="1">
      <c r="A3" s="5">
        <f>IF(1&lt;=DAY(EOMONTH(DATE(2026,$B$1,1),0)),$B$1&amp;"월 1일","")</f>
        <v/>
      </c>
      <c r="B3" s="6" t="n"/>
      <c r="C3" s="7" t="n"/>
      <c r="D3" s="5">
        <f>IF(2&lt;=DAY(EOMONTH(DATE(2026,$B$1,1),0)),$B$1&amp;"월 2일","")</f>
        <v/>
      </c>
      <c r="E3" s="6" t="n"/>
      <c r="F3" s="7" t="n"/>
      <c r="G3" s="5">
        <f>IF(3&lt;=DAY(EOMONTH(DATE(2026,$B$1,1),0)),$B$1&amp;"월 3일","")</f>
        <v/>
      </c>
      <c r="H3" s="6" t="n"/>
      <c r="I3" s="7" t="n"/>
      <c r="J3" s="5">
        <f>IF(4&lt;=DAY(EOMONTH(DATE(2026,$B$1,1),0)),$B$1&amp;"월 4일","")</f>
        <v/>
      </c>
      <c r="K3" s="6" t="n"/>
      <c r="L3" s="7" t="n"/>
      <c r="M3" s="5">
        <f>IF(5&lt;=DAY(EOMONTH(DATE(2026,$B$1,1),0)),$B$1&amp;"월 5일","")</f>
        <v/>
      </c>
      <c r="N3" s="6" t="n"/>
      <c r="O3" s="7" t="n"/>
      <c r="P3" s="5">
        <f>IF(6&lt;=DAY(EOMONTH(DATE(2026,$B$1,1),0)),$B$1&amp;"월 6일","")</f>
        <v/>
      </c>
      <c r="Q3" s="6" t="n"/>
      <c r="R3" s="7" t="n"/>
      <c r="S3" s="5">
        <f>IF(7&lt;=DAY(EOMONTH(DATE(2026,$B$1,1),0)),$B$1&amp;"월 7일","")</f>
        <v/>
      </c>
      <c r="T3" s="6" t="n"/>
      <c r="U3" s="7" t="n"/>
    </row>
    <row r="4" ht="15.75" customHeight="1" s="1">
      <c r="A4" s="11" t="inlineStr">
        <is>
          <t>ABBE 프레임워크</t>
        </is>
      </c>
      <c r="B4" s="9" t="n">
        <v>0.0303</v>
      </c>
      <c r="C4" s="10" t="inlineStr">
        <is>
          <t>About</t>
        </is>
      </c>
      <c r="D4" s="8" t="inlineStr">
        <is>
          <t>디지털 마케팅 suprt</t>
        </is>
      </c>
      <c r="E4" s="9" t="n">
        <v>0.0755</v>
      </c>
      <c r="F4" s="10" t="inlineStr">
        <is>
          <t>Trend</t>
        </is>
      </c>
      <c r="G4" s="11" t="inlineStr">
        <is>
          <t>50대의 독립</t>
        </is>
      </c>
      <c r="H4" s="9" t="n">
        <v>0.0556</v>
      </c>
      <c r="I4" s="10" t="inlineStr">
        <is>
          <t>Trend</t>
        </is>
      </c>
      <c r="J4" s="8" t="inlineStr">
        <is>
          <t>어드민나이트</t>
        </is>
      </c>
      <c r="K4" s="9" t="n">
        <v>0.0192</v>
      </c>
      <c r="L4" s="10" t="inlineStr">
        <is>
          <t>Trend</t>
        </is>
      </c>
      <c r="M4" s="11" t="inlineStr">
        <is>
          <t>abbe</t>
        </is>
      </c>
      <c r="N4" s="9" t="n">
        <v>0.0189</v>
      </c>
      <c r="O4" s="10" t="inlineStr">
        <is>
          <t>About</t>
        </is>
      </c>
      <c r="P4" s="8" t="inlineStr">
        <is>
          <t>공식 에스파 핀터레스트</t>
        </is>
      </c>
      <c r="Q4" s="12" t="n">
        <v>0.04</v>
      </c>
      <c r="R4" s="10" t="inlineStr">
        <is>
          <t>Trend</t>
        </is>
      </c>
      <c r="S4" s="8" t="inlineStr">
        <is>
          <t>핀테크 디지털 마케팅 활용 사례 알려주세요</t>
        </is>
      </c>
      <c r="T4" s="9" t="n">
        <v>0.1333</v>
      </c>
      <c r="U4" s="10" t="inlineStr">
        <is>
          <t>Trend</t>
        </is>
      </c>
    </row>
    <row r="5" ht="15.75" customHeight="1" s="1">
      <c r="A5" s="8" t="inlineStr">
        <is>
          <t>모디슈머 증가</t>
        </is>
      </c>
      <c r="B5" s="9" t="n">
        <v>0.0303</v>
      </c>
      <c r="C5" s="10" t="inlineStr">
        <is>
          <t>Trend</t>
        </is>
      </c>
      <c r="D5" s="11" t="inlineStr">
        <is>
          <t>ai로 네이버광고 집행방법</t>
        </is>
      </c>
      <c r="E5" s="9" t="n">
        <v>0.0189</v>
      </c>
      <c r="F5" s="10" t="inlineStr">
        <is>
          <t>About</t>
        </is>
      </c>
      <c r="G5" s="8" t="inlineStr">
        <is>
          <t>디지털 마케팅 suprt</t>
        </is>
      </c>
      <c r="H5" s="9" t="n">
        <v>0.0556</v>
      </c>
      <c r="I5" s="10" t="inlineStr">
        <is>
          <t>Trend</t>
        </is>
      </c>
      <c r="J5" s="8" t="inlineStr">
        <is>
          <t>네이버AI광고방법</t>
        </is>
      </c>
      <c r="K5" s="9" t="n">
        <v>0.009599999999999999</v>
      </c>
      <c r="L5" s="10" t="inlineStr">
        <is>
          <t>Media</t>
        </is>
      </c>
      <c r="M5" s="8" t="inlineStr">
        <is>
          <t>네이버 팝업스토어 솔루션 패키지</t>
        </is>
      </c>
      <c r="N5" s="9" t="n">
        <v>0.0189</v>
      </c>
      <c r="O5" s="10" t="inlineStr">
        <is>
          <t>About</t>
        </is>
      </c>
      <c r="P5" s="8" t="inlineStr">
        <is>
          <t>디엠씨미디어</t>
        </is>
      </c>
      <c r="Q5" s="12" t="n">
        <v>0.04</v>
      </c>
      <c r="R5" s="10" t="inlineStr">
        <is>
          <t>About</t>
        </is>
      </c>
      <c r="S5" s="11" t="inlineStr">
        <is>
          <t>sns가 유행식품소비확산에 미치는영향</t>
        </is>
      </c>
      <c r="T5" s="9" t="n">
        <v>0.0667</v>
      </c>
      <c r="U5" s="10" t="inlineStr">
        <is>
          <t>Trend</t>
        </is>
      </c>
    </row>
    <row r="6" ht="15.75" customHeight="1" s="1">
      <c r="A6" s="8" t="inlineStr">
        <is>
          <t>어드민 나이트</t>
        </is>
      </c>
      <c r="B6" s="9" t="n">
        <v>0.0303</v>
      </c>
      <c r="C6" s="10" t="inlineStr">
        <is>
          <t>Trend</t>
        </is>
      </c>
      <c r="D6" s="11" t="inlineStr">
        <is>
          <t>dmc미디어</t>
        </is>
      </c>
      <c r="E6" s="9" t="n">
        <v>0.0189</v>
      </c>
      <c r="F6" s="10" t="inlineStr">
        <is>
          <t>About</t>
        </is>
      </c>
      <c r="G6" s="8" t="inlineStr">
        <is>
          <t>디타겟팅 뜻</t>
        </is>
      </c>
      <c r="H6" s="9" t="n">
        <v>0.0556</v>
      </c>
      <c r="I6" s="10" t="inlineStr">
        <is>
          <t>Media</t>
        </is>
      </c>
      <c r="J6" s="8" t="inlineStr">
        <is>
          <t>디지털 마케팅 suprt</t>
        </is>
      </c>
      <c r="K6" s="9" t="n">
        <v>0.009599999999999999</v>
      </c>
      <c r="L6" s="10" t="inlineStr">
        <is>
          <t>Trend</t>
        </is>
      </c>
      <c r="M6" s="8" t="inlineStr">
        <is>
          <t>네이버검색광고 키워드별 랜딩</t>
        </is>
      </c>
      <c r="N6" s="9" t="n">
        <v>0.0189</v>
      </c>
      <c r="O6" s="10" t="inlineStr">
        <is>
          <t>Media</t>
        </is>
      </c>
      <c r="P6" s="8" t="inlineStr">
        <is>
          <t>로레알 파리 립스틱</t>
        </is>
      </c>
      <c r="Q6" s="12" t="n">
        <v>0.04</v>
      </c>
      <c r="R6" s="10" t="inlineStr">
        <is>
          <t>Trend</t>
        </is>
      </c>
      <c r="S6" s="11" t="inlineStr">
        <is>
          <t>tubble 제조사</t>
        </is>
      </c>
      <c r="T6" s="9" t="n">
        <v>0.0667</v>
      </c>
      <c r="U6" s="10" t="inlineStr">
        <is>
          <t>About</t>
        </is>
      </c>
    </row>
    <row r="7" ht="15.75" customHeight="1" s="1">
      <c r="A7" s="8" t="inlineStr">
        <is>
          <t>중고거래 플랫폼 비교</t>
        </is>
      </c>
      <c r="B7" s="9" t="n">
        <v>0.0303</v>
      </c>
      <c r="C7" s="10" t="inlineStr">
        <is>
          <t>Trend</t>
        </is>
      </c>
      <c r="D7" s="11" t="inlineStr">
        <is>
          <t>tv홈쇼핑 스킨케어 순위 2025</t>
        </is>
      </c>
      <c r="E7" s="9" t="n">
        <v>0.0189</v>
      </c>
      <c r="F7" s="10" t="inlineStr">
        <is>
          <t>Trend</t>
        </is>
      </c>
      <c r="G7" s="8" t="inlineStr">
        <is>
          <t>앰플리튜드 고유 유저가 중복 집계되는 경우</t>
        </is>
      </c>
      <c r="H7" s="9" t="n">
        <v>0.0556</v>
      </c>
      <c r="I7" s="10" t="inlineStr">
        <is>
          <t>Data</t>
        </is>
      </c>
      <c r="J7" s="8" t="inlineStr">
        <is>
          <t>뷰티 브랜드 카카오 플러스친구 운영 성공 사례 알려주세요</t>
        </is>
      </c>
      <c r="K7" s="9" t="n">
        <v>0.009599999999999999</v>
      </c>
      <c r="L7" s="10" t="inlineStr">
        <is>
          <t>Media</t>
        </is>
      </c>
      <c r="M7" s="8" t="inlineStr">
        <is>
          <t>쇼박스 노션</t>
        </is>
      </c>
      <c r="N7" s="9" t="n">
        <v>0.0189</v>
      </c>
      <c r="O7" s="10" t="inlineStr">
        <is>
          <t>Trend</t>
        </is>
      </c>
      <c r="P7" s="8" t="inlineStr">
        <is>
          <t>어드민나이트</t>
        </is>
      </c>
      <c r="Q7" s="12" t="n">
        <v>0.04</v>
      </c>
      <c r="R7" s="10" t="inlineStr">
        <is>
          <t>Trend</t>
        </is>
      </c>
      <c r="S7" s="8" t="inlineStr">
        <is>
          <t>독일 슈퍼마켓 페니</t>
        </is>
      </c>
      <c r="T7" s="9" t="n">
        <v>0.0667</v>
      </c>
      <c r="U7" s="10" t="inlineStr">
        <is>
          <t>Trend</t>
        </is>
      </c>
    </row>
    <row r="8" ht="15.75" customHeight="1" s="1">
      <c r="A8" s="8" t="inlineStr">
        <is>
          <t>토스 광고 CPC 계산 방법 알려주세요</t>
        </is>
      </c>
      <c r="B8" s="9" t="n">
        <v>0.0303</v>
      </c>
      <c r="C8" s="10" t="inlineStr">
        <is>
          <t>Media</t>
        </is>
      </c>
      <c r="D8" s="8" t="inlineStr">
        <is>
          <t>디엠씨미디어</t>
        </is>
      </c>
      <c r="E8" s="9" t="n">
        <v>0.0189</v>
      </c>
      <c r="F8" s="10" t="inlineStr">
        <is>
          <t>About</t>
        </is>
      </c>
      <c r="G8" s="8" t="inlineStr">
        <is>
          <t>어드민나이트</t>
        </is>
      </c>
      <c r="H8" s="9" t="n">
        <v>0.0556</v>
      </c>
      <c r="I8" s="10" t="inlineStr">
        <is>
          <t>Trend</t>
        </is>
      </c>
      <c r="J8" s="8" t="inlineStr">
        <is>
          <t>카카오 asap프로그램</t>
        </is>
      </c>
      <c r="K8" s="9" t="n">
        <v>0.009599999999999999</v>
      </c>
      <c r="L8" s="10" t="inlineStr">
        <is>
          <t>About</t>
        </is>
      </c>
      <c r="M8" s="8" t="inlineStr">
        <is>
          <t>카카오채널 웰컴메시지 템플릿 예시 알려주세요</t>
        </is>
      </c>
      <c r="N8" s="9" t="n">
        <v>0.0189</v>
      </c>
      <c r="O8" s="10" t="inlineStr">
        <is>
          <t>Media</t>
        </is>
      </c>
      <c r="P8" s="8" t="inlineStr">
        <is>
          <t>젠슨 황 CPT만듬</t>
        </is>
      </c>
      <c r="Q8" s="12" t="n">
        <v>0.04</v>
      </c>
      <c r="R8" s="10" t="inlineStr">
        <is>
          <t>Trend</t>
        </is>
      </c>
      <c r="S8" s="8" t="inlineStr">
        <is>
          <t>네이버 쇼핑 선물하기</t>
        </is>
      </c>
      <c r="T8" s="9" t="n">
        <v>0.0667</v>
      </c>
      <c r="U8" s="10" t="inlineStr">
        <is>
          <t>Media</t>
        </is>
      </c>
    </row>
    <row r="9" ht="15.75" customHeight="1" s="1">
      <c r="A9" s="8" t="inlineStr">
        <is>
          <t>타불라</t>
        </is>
      </c>
      <c r="B9" s="9" t="n">
        <v>0.0606</v>
      </c>
      <c r="C9" s="10" t="inlineStr">
        <is>
          <t>Media</t>
        </is>
      </c>
      <c r="D9" s="8" t="inlineStr">
        <is>
          <t>왕과 사는 남자 노션 마케팅</t>
        </is>
      </c>
      <c r="E9" s="9" t="n">
        <v>0.0189</v>
      </c>
      <c r="F9" s="10" t="inlineStr">
        <is>
          <t>Trend</t>
        </is>
      </c>
      <c r="G9" s="8" t="inlineStr">
        <is>
          <t>하이네켄 페스티벌</t>
        </is>
      </c>
      <c r="H9" s="9" t="n">
        <v>0.0556</v>
      </c>
      <c r="I9" s="10" t="inlineStr">
        <is>
          <t>Trend</t>
        </is>
      </c>
      <c r="J9" s="8" t="inlineStr">
        <is>
          <t>타불라 광고</t>
        </is>
      </c>
      <c r="K9" s="9" t="n">
        <v>0.009599999999999999</v>
      </c>
      <c r="L9" s="10" t="inlineStr">
        <is>
          <t>Media</t>
        </is>
      </c>
      <c r="M9" s="8" t="inlineStr">
        <is>
          <t>타불라</t>
        </is>
      </c>
      <c r="N9" s="9" t="n">
        <v>0.0189</v>
      </c>
      <c r="O9" s="10" t="inlineStr">
        <is>
          <t>Media</t>
        </is>
      </c>
      <c r="P9" s="8" t="inlineStr">
        <is>
          <t>타불라</t>
        </is>
      </c>
      <c r="Q9" s="12" t="n">
        <v>0.04</v>
      </c>
      <c r="R9" s="10" t="inlineStr">
        <is>
          <t>Media</t>
        </is>
      </c>
      <c r="S9" s="8" t="inlineStr">
        <is>
          <t>타불라</t>
        </is>
      </c>
      <c r="T9" s="9" t="n">
        <v>0.0667</v>
      </c>
      <c r="U9" s="10" t="inlineStr">
        <is>
          <t>Media</t>
        </is>
      </c>
    </row>
    <row r="10" ht="15.75" customHeight="1" s="1">
      <c r="A10" s="11" t="inlineStr">
        <is>
          <t>sns 사회비교 이론 10대 청소년</t>
        </is>
      </c>
      <c r="B10" s="9" t="n">
        <v>0.0303</v>
      </c>
      <c r="C10" s="10" t="inlineStr">
        <is>
          <t>Trend</t>
        </is>
      </c>
      <c r="D10" s="8" t="inlineStr">
        <is>
          <t>타불라 AI</t>
        </is>
      </c>
      <c r="E10" s="9" t="n">
        <v>0.0189</v>
      </c>
      <c r="F10" s="10" t="inlineStr">
        <is>
          <t>Media</t>
        </is>
      </c>
      <c r="G10" s="8" t="inlineStr">
        <is>
          <t>디지털 마케팅 suprt</t>
        </is>
      </c>
      <c r="H10" s="9" t="n">
        <v>0.1667</v>
      </c>
      <c r="I10" s="10" t="inlineStr">
        <is>
          <t>Trend</t>
        </is>
      </c>
      <c r="J10" s="11" t="inlineStr">
        <is>
          <t>AI가 검색어 광고의 효율성을 높이는 방법은?</t>
        </is>
      </c>
      <c r="K10" s="9" t="n">
        <v>0.009599999999999999</v>
      </c>
      <c r="L10" s="10" t="inlineStr">
        <is>
          <t>Media</t>
        </is>
      </c>
      <c r="M10" s="8" t="inlineStr">
        <is>
          <t>타불라 광고</t>
        </is>
      </c>
      <c r="N10" s="9" t="n">
        <v>0.0189</v>
      </c>
      <c r="O10" s="10" t="inlineStr">
        <is>
          <t>Media</t>
        </is>
      </c>
      <c r="P10" s="8" t="inlineStr">
        <is>
          <t>타뷸라코리아</t>
        </is>
      </c>
      <c r="Q10" s="12" t="n">
        <v>0.04</v>
      </c>
      <c r="R10" s="10" t="inlineStr">
        <is>
          <t>Media</t>
        </is>
      </c>
      <c r="S10" s="11" t="n"/>
      <c r="T10" s="13" t="n"/>
      <c r="U10" s="10" t="n"/>
    </row>
    <row r="11" ht="15.75" customHeight="1" s="1">
      <c r="A11" s="8" t="inlineStr">
        <is>
          <t>왕사남 촬영실록</t>
        </is>
      </c>
      <c r="B11" s="9" t="n">
        <v>0.0303</v>
      </c>
      <c r="C11" s="10" t="inlineStr">
        <is>
          <t>Trend</t>
        </is>
      </c>
      <c r="D11" s="8" t="inlineStr">
        <is>
          <t>토스애즈</t>
        </is>
      </c>
      <c r="E11" s="9" t="n">
        <v>0.0189</v>
      </c>
      <c r="F11" s="10" t="inlineStr">
        <is>
          <t>Media</t>
        </is>
      </c>
      <c r="G11" s="8" t="inlineStr">
        <is>
          <t>카카오톡 채널 문자메세지의공유하기 방법</t>
        </is>
      </c>
      <c r="H11" s="9" t="n">
        <v>0.0556</v>
      </c>
      <c r="I11" s="10" t="inlineStr">
        <is>
          <t>Media</t>
        </is>
      </c>
      <c r="J11" s="11" t="inlineStr">
        <is>
          <t>dmc미디어 창립기념일</t>
        </is>
      </c>
      <c r="K11" s="9" t="n">
        <v>0.009599999999999999</v>
      </c>
      <c r="L11" s="10" t="inlineStr">
        <is>
          <t>About</t>
        </is>
      </c>
      <c r="M11" s="8" t="inlineStr">
        <is>
          <t>토스리워드광고</t>
        </is>
      </c>
      <c r="N11" s="9" t="n">
        <v>0.0189</v>
      </c>
      <c r="O11" s="10" t="inlineStr">
        <is>
          <t>Media</t>
        </is>
      </c>
      <c r="P11" s="11" t="n"/>
      <c r="Q11" s="13" t="n"/>
      <c r="R11" s="10" t="n"/>
      <c r="S11" s="11" t="n"/>
      <c r="T11" s="13" t="n"/>
      <c r="U11" s="10" t="n"/>
    </row>
    <row r="12" ht="15.75" customHeight="1" s="1">
      <c r="A12" s="8" t="inlineStr">
        <is>
          <t>타블라 광고</t>
        </is>
      </c>
      <c r="B12" s="9" t="n">
        <v>0.0303</v>
      </c>
      <c r="C12" s="10" t="inlineStr">
        <is>
          <t>Media</t>
        </is>
      </c>
      <c r="D12" s="8" t="inlineStr">
        <is>
          <t>네이티브 광고</t>
        </is>
      </c>
      <c r="E12" s="9" t="n">
        <v>0.0189</v>
      </c>
      <c r="F12" s="10" t="inlineStr">
        <is>
          <t>Media</t>
        </is>
      </c>
      <c r="G12" s="8" t="inlineStr">
        <is>
          <t>올리브영 터블</t>
        </is>
      </c>
      <c r="H12" s="9" t="n">
        <v>0.0556</v>
      </c>
      <c r="I12" s="10" t="inlineStr">
        <is>
          <t>About</t>
        </is>
      </c>
      <c r="J12" s="8" t="inlineStr">
        <is>
          <t>더마 코스메틱 브랜드</t>
        </is>
      </c>
      <c r="K12" s="9" t="n">
        <v>0.009599999999999999</v>
      </c>
      <c r="L12" s="10" t="inlineStr">
        <is>
          <t>Trend</t>
        </is>
      </c>
      <c r="M12" s="8" t="inlineStr">
        <is>
          <t>공식 에스파 핀터레스트</t>
        </is>
      </c>
      <c r="N12" s="9" t="n">
        <v>0.0189</v>
      </c>
      <c r="O12" s="10" t="inlineStr">
        <is>
          <t>Trend</t>
        </is>
      </c>
      <c r="P12" s="11" t="n"/>
      <c r="Q12" s="13" t="n"/>
      <c r="R12" s="10" t="n"/>
      <c r="S12" s="11" t="n"/>
      <c r="T12" s="13" t="n"/>
      <c r="U12" s="10" t="n"/>
    </row>
    <row r="13" ht="15.75" customHeight="1" s="1">
      <c r="A13" s="11" t="n"/>
      <c r="B13" s="9" t="n"/>
      <c r="C13" s="10" t="n"/>
      <c r="D13" s="8" t="inlineStr">
        <is>
          <t>메타 슬라이드형 광고</t>
        </is>
      </c>
      <c r="E13" s="9" t="n">
        <v>0.0189</v>
      </c>
      <c r="F13" s="10" t="inlineStr">
        <is>
          <t>About</t>
        </is>
      </c>
      <c r="G13" s="11" t="n"/>
      <c r="H13" s="13" t="n"/>
      <c r="I13" s="10" t="n"/>
      <c r="J13" s="8" t="inlineStr">
        <is>
          <t>디지털 플랫폼 거래란</t>
        </is>
      </c>
      <c r="K13" s="9" t="n">
        <v>0.009599999999999999</v>
      </c>
      <c r="L13" s="10" t="inlineStr">
        <is>
          <t>Trend</t>
        </is>
      </c>
      <c r="M13" s="8" t="inlineStr">
        <is>
          <t>라로슈포제 시너</t>
        </is>
      </c>
      <c r="N13" s="9" t="n">
        <v>0.0189</v>
      </c>
      <c r="O13" s="10" t="inlineStr">
        <is>
          <t>Trend</t>
        </is>
      </c>
      <c r="P13" s="11" t="n"/>
      <c r="Q13" s="13" t="n"/>
      <c r="R13" s="10" t="n"/>
      <c r="S13" s="11" t="n"/>
      <c r="T13" s="13" t="n"/>
      <c r="U13" s="10" t="n"/>
    </row>
    <row r="14" ht="15.75" customHeight="1" s="1">
      <c r="A14" s="11" t="n"/>
      <c r="B14" s="9" t="n"/>
      <c r="C14" s="10" t="n"/>
      <c r="D14" s="8" t="inlineStr">
        <is>
          <t>시고르잡화점 캐릭터 굿즈 만든계기 및 캐릭터</t>
        </is>
      </c>
      <c r="E14" s="9" t="n">
        <v>0.0189</v>
      </c>
      <c r="F14" s="10" t="inlineStr">
        <is>
          <t>Trend</t>
        </is>
      </c>
      <c r="G14" s="11" t="n"/>
      <c r="H14" s="13" t="n"/>
      <c r="I14" s="10" t="n"/>
      <c r="J14" s="8" t="inlineStr">
        <is>
          <t>크리테오 실행사</t>
        </is>
      </c>
      <c r="K14" s="9" t="n">
        <v>0.009599999999999999</v>
      </c>
      <c r="L14" s="10" t="inlineStr">
        <is>
          <t>About</t>
        </is>
      </c>
      <c r="M14" s="8" t="inlineStr">
        <is>
          <t>라로슈포제 안뗄리오스 공식</t>
        </is>
      </c>
      <c r="N14" s="9" t="n">
        <v>0.0189</v>
      </c>
      <c r="O14" s="10" t="inlineStr">
        <is>
          <t>Trend</t>
        </is>
      </c>
      <c r="P14" s="11" t="n"/>
      <c r="Q14" s="13" t="n"/>
      <c r="R14" s="10" t="n"/>
      <c r="S14" s="11" t="n"/>
      <c r="T14" s="13" t="n"/>
      <c r="U14" s="10" t="n"/>
    </row>
    <row r="15" ht="15.75" customHeight="1" s="1">
      <c r="A15" s="11" t="n"/>
      <c r="B15" s="9" t="n"/>
      <c r="C15" s="10" t="n"/>
      <c r="D15" s="8" t="inlineStr">
        <is>
          <t>어드민나이트</t>
        </is>
      </c>
      <c r="E15" s="9" t="n">
        <v>0.0189</v>
      </c>
      <c r="F15" s="10" t="inlineStr">
        <is>
          <t>Trend</t>
        </is>
      </c>
      <c r="G15" s="11" t="n"/>
      <c r="H15" s="13" t="n"/>
      <c r="I15" s="10" t="n"/>
      <c r="J15" s="8" t="inlineStr">
        <is>
          <t>타불라 광고</t>
        </is>
      </c>
      <c r="K15" s="9" t="n">
        <v>0.009599999999999999</v>
      </c>
      <c r="L15" s="10" t="inlineStr">
        <is>
          <t>Media</t>
        </is>
      </c>
      <c r="M15" s="8" t="inlineStr">
        <is>
          <t>소비자리포트 루태인 지아잔틴 고르는법</t>
        </is>
      </c>
      <c r="N15" s="9" t="n">
        <v>0.0189</v>
      </c>
      <c r="O15" s="10" t="inlineStr">
        <is>
          <t>Trend</t>
        </is>
      </c>
      <c r="P15" s="11" t="n"/>
      <c r="Q15" s="13" t="n"/>
      <c r="R15" s="10" t="n"/>
      <c r="S15" s="11" t="n"/>
      <c r="T15" s="13" t="n"/>
      <c r="U15" s="10" t="n"/>
    </row>
    <row r="16" ht="15.75" customHeight="1" s="1">
      <c r="A16" s="11" t="n"/>
      <c r="B16" s="9" t="n"/>
      <c r="C16" s="10" t="n"/>
      <c r="D16" s="8" t="inlineStr">
        <is>
          <t>웬즈데이 웬디스</t>
        </is>
      </c>
      <c r="E16" s="9" t="n">
        <v>0.0189</v>
      </c>
      <c r="F16" s="10" t="inlineStr">
        <is>
          <t>Trend</t>
        </is>
      </c>
      <c r="G16" s="11" t="n"/>
      <c r="H16" s="13" t="n"/>
      <c r="I16" s="10" t="n"/>
      <c r="J16" s="8" t="inlineStr">
        <is>
          <t>디엠씨미디어 복지</t>
        </is>
      </c>
      <c r="K16" s="9" t="n">
        <v>0.009599999999999999</v>
      </c>
      <c r="L16" s="10" t="inlineStr">
        <is>
          <t>About</t>
        </is>
      </c>
      <c r="M16" s="8" t="inlineStr">
        <is>
          <t>왕과사는남자 촬영실록</t>
        </is>
      </c>
      <c r="N16" s="9" t="n">
        <v>0.0189</v>
      </c>
      <c r="O16" s="10" t="inlineStr">
        <is>
          <t>Trend</t>
        </is>
      </c>
      <c r="P16" s="11" t="n"/>
      <c r="Q16" s="13" t="n"/>
      <c r="R16" s="10" t="n"/>
      <c r="S16" s="11" t="n"/>
      <c r="T16" s="13" t="n"/>
      <c r="U16" s="10" t="n"/>
    </row>
    <row r="17" ht="15.75" customHeight="1" s="1">
      <c r="A17" s="11" t="n"/>
      <c r="B17" s="13" t="n"/>
      <c r="C17" s="10" t="n"/>
      <c r="D17" s="8" t="inlineStr">
        <is>
          <t>인스턴트 메신저 종류</t>
        </is>
      </c>
      <c r="E17" s="9" t="n">
        <v>0.0189</v>
      </c>
      <c r="F17" s="10" t="n"/>
      <c r="G17" s="11" t="n"/>
      <c r="H17" s="13" t="n"/>
      <c r="I17" s="10" t="n"/>
      <c r="J17" s="8" t="inlineStr">
        <is>
          <t>중저가 의류 브랜드</t>
        </is>
      </c>
      <c r="K17" s="9" t="n">
        <v>0.009599999999999999</v>
      </c>
      <c r="L17" s="10" t="n"/>
      <c r="M17" s="8" t="inlineStr">
        <is>
          <t>카카오톡 프로필 광고</t>
        </is>
      </c>
      <c r="N17" s="9" t="n">
        <v>0.0189</v>
      </c>
      <c r="O17" s="10" t="inlineStr">
        <is>
          <t>About</t>
        </is>
      </c>
      <c r="P17" s="11" t="n"/>
      <c r="Q17" s="13" t="n"/>
      <c r="R17" s="10" t="n"/>
      <c r="S17" s="11" t="n"/>
      <c r="T17" s="13" t="n"/>
      <c r="U17" s="10" t="n"/>
    </row>
    <row r="18" ht="15.75" customHeight="1" s="1">
      <c r="A18" s="11" t="n"/>
      <c r="B18" s="13" t="n"/>
      <c r="C18" s="10" t="n"/>
      <c r="D18" s="8" t="inlineStr">
        <is>
          <t>핀터 에스파 공식계정</t>
        </is>
      </c>
      <c r="E18" s="9" t="n">
        <v>0.0189</v>
      </c>
      <c r="F18" s="10" t="inlineStr">
        <is>
          <t>Trend</t>
        </is>
      </c>
      <c r="G18" s="11" t="n"/>
      <c r="H18" s="13" t="n"/>
      <c r="I18" s="10" t="n"/>
      <c r="J18" s="11" t="n"/>
      <c r="K18" s="13" t="n"/>
      <c r="L18" s="10" t="n"/>
      <c r="M18" s="8" t="inlineStr">
        <is>
          <t>토스광고 리워드</t>
        </is>
      </c>
      <c r="N18" s="9" t="n">
        <v>0.0189</v>
      </c>
      <c r="O18" s="10" t="inlineStr">
        <is>
          <t>Media</t>
        </is>
      </c>
      <c r="P18" s="11" t="n"/>
      <c r="Q18" s="13" t="n"/>
      <c r="R18" s="10" t="n"/>
      <c r="S18" s="11" t="n"/>
      <c r="T18" s="13" t="n"/>
      <c r="U18" s="10" t="n"/>
    </row>
    <row r="19" ht="15.75" customHeight="1" s="1">
      <c r="A19" s="11" t="n"/>
      <c r="B19" s="13" t="n"/>
      <c r="C19" s="10" t="n"/>
      <c r="D19" s="8" t="inlineStr">
        <is>
          <t>하이네켄 페스티벌</t>
        </is>
      </c>
      <c r="E19" s="9" t="n">
        <v>0.0189</v>
      </c>
      <c r="F19" s="10" t="inlineStr">
        <is>
          <t>Trend</t>
        </is>
      </c>
      <c r="G19" s="11" t="n"/>
      <c r="H19" s="13" t="n"/>
      <c r="I19" s="10" t="n"/>
      <c r="J19" s="11" t="n"/>
      <c r="K19" s="13" t="n"/>
      <c r="L19" s="10" t="n"/>
      <c r="M19" s="8" t="inlineStr">
        <is>
          <t>토스애즈 페르소나</t>
        </is>
      </c>
      <c r="N19" s="9" t="n">
        <v>0.0189</v>
      </c>
      <c r="O19" s="10" t="inlineStr">
        <is>
          <t>Media</t>
        </is>
      </c>
      <c r="P19" s="11" t="n"/>
      <c r="Q19" s="13" t="n"/>
      <c r="R19" s="10" t="n"/>
      <c r="S19" s="11" t="n"/>
      <c r="T19" s="13" t="n"/>
      <c r="U19" s="10" t="n"/>
    </row>
    <row r="20" ht="15.75" customHeight="1" s="1">
      <c r="A20" s="11" t="n"/>
      <c r="B20" s="13" t="n"/>
      <c r="C20" s="10" t="n"/>
      <c r="D20" s="8" t="inlineStr">
        <is>
          <t>헌혈 아이돌</t>
        </is>
      </c>
      <c r="E20" s="9" t="n">
        <v>0.0189</v>
      </c>
      <c r="F20" s="10" t="inlineStr">
        <is>
          <t>Trend</t>
        </is>
      </c>
      <c r="G20" s="11" t="n"/>
      <c r="H20" s="13" t="n"/>
      <c r="I20" s="10" t="n"/>
      <c r="J20" s="11" t="n"/>
      <c r="K20" s="13" t="n"/>
      <c r="L20" s="10" t="n"/>
      <c r="M20" s="8" t="inlineStr">
        <is>
          <t>앰플리튜드</t>
        </is>
      </c>
      <c r="N20" s="9" t="n">
        <v>0.0189</v>
      </c>
      <c r="O20" s="10" t="inlineStr">
        <is>
          <t>Data</t>
        </is>
      </c>
      <c r="P20" s="11" t="n"/>
      <c r="Q20" s="13" t="n"/>
      <c r="R20" s="10" t="n"/>
      <c r="S20" s="11" t="n"/>
      <c r="T20" s="13" t="n"/>
      <c r="U20" s="10" t="n"/>
    </row>
    <row r="21" ht="15.75" customHeight="1" s="1">
      <c r="A21" s="11" t="n"/>
      <c r="B21" s="13" t="n"/>
      <c r="C21" s="10" t="n"/>
      <c r="D21" s="8" t="inlineStr">
        <is>
          <t>디엠씨미디어</t>
        </is>
      </c>
      <c r="E21" s="9" t="n">
        <v>0.0189</v>
      </c>
      <c r="F21" s="10" t="inlineStr">
        <is>
          <t>About</t>
        </is>
      </c>
      <c r="G21" s="11" t="n"/>
      <c r="H21" s="13" t="n"/>
      <c r="I21" s="10" t="n"/>
      <c r="J21" s="11" t="n"/>
      <c r="K21" s="13" t="n"/>
      <c r="L21" s="10" t="n"/>
      <c r="M21" s="11" t="n"/>
      <c r="N21" s="13" t="n"/>
      <c r="O21" s="10" t="n"/>
      <c r="P21" s="11" t="n"/>
      <c r="Q21" s="13" t="n"/>
      <c r="R21" s="10" t="n"/>
      <c r="S21" s="11" t="n"/>
      <c r="T21" s="13" t="n"/>
      <c r="U21" s="10" t="n"/>
    </row>
    <row r="22" ht="15.75" customHeight="1" s="1">
      <c r="A22" s="11" t="n"/>
      <c r="B22" s="13" t="n"/>
      <c r="C22" s="10" t="n"/>
      <c r="D22" s="8" t="inlineStr">
        <is>
          <t>야닉시너</t>
        </is>
      </c>
      <c r="E22" s="9" t="n">
        <v>0.0189</v>
      </c>
      <c r="F22" s="10" t="inlineStr">
        <is>
          <t>Trend</t>
        </is>
      </c>
      <c r="G22" s="11" t="n"/>
      <c r="H22" s="13" t="n"/>
      <c r="I22" s="10" t="n"/>
      <c r="J22" s="11" t="n"/>
      <c r="K22" s="13" t="n"/>
      <c r="L22" s="10" t="n"/>
      <c r="M22" s="11" t="n"/>
      <c r="N22" s="13" t="n"/>
      <c r="O22" s="10" t="n"/>
      <c r="P22" s="11" t="n"/>
      <c r="Q22" s="13" t="n"/>
      <c r="R22" s="10" t="n"/>
      <c r="S22" s="11" t="n"/>
      <c r="T22" s="13" t="n"/>
      <c r="U22" s="10" t="n"/>
    </row>
    <row r="23" ht="15.75" customHeight="1" s="1">
      <c r="A23" s="14" t="n"/>
      <c r="B23" s="15" t="n"/>
      <c r="C23" s="16" t="n"/>
      <c r="D23" s="14" t="n"/>
      <c r="E23" s="15" t="n"/>
      <c r="F23" s="16" t="n"/>
      <c r="G23" s="14" t="n"/>
      <c r="H23" s="15" t="n"/>
      <c r="I23" s="16" t="n"/>
      <c r="J23" s="14" t="n"/>
      <c r="K23" s="15" t="n"/>
      <c r="L23" s="16" t="n"/>
      <c r="M23" s="14" t="n"/>
      <c r="N23" s="15" t="n"/>
      <c r="O23" s="16" t="n"/>
      <c r="P23" s="14" t="n"/>
      <c r="Q23" s="15" t="n"/>
      <c r="R23" s="16" t="n"/>
      <c r="S23" s="14" t="n"/>
      <c r="T23" s="15" t="n"/>
      <c r="U23" s="16" t="n"/>
    </row>
    <row r="24" ht="15.75" customHeight="1" s="1">
      <c r="A24" s="5">
        <f>IF(8&lt;=DAY(EOMONTH(DATE(2026,$B$1,1),0)),$B$1&amp;"월 8일","")</f>
        <v/>
      </c>
      <c r="B24" s="6" t="n"/>
      <c r="C24" s="7" t="n"/>
      <c r="D24" s="5">
        <f>IF(9&lt;=DAY(EOMONTH(DATE(2026,$B$1,1),0)),$B$1&amp;"월 9일","")</f>
        <v/>
      </c>
      <c r="E24" s="6" t="n"/>
      <c r="F24" s="7" t="n"/>
      <c r="G24" s="5">
        <f>IF(10&lt;=DAY(EOMONTH(DATE(2026,$B$1,1),0)),$B$1&amp;"월 10일","")</f>
        <v/>
      </c>
      <c r="H24" s="6" t="n"/>
      <c r="I24" s="7" t="n"/>
      <c r="J24" s="5">
        <f>IF(11&lt;=DAY(EOMONTH(DATE(2026,$B$1,1),0)),$B$1&amp;"월 11일","")</f>
        <v/>
      </c>
      <c r="K24" s="6" t="n"/>
      <c r="L24" s="7" t="n"/>
      <c r="M24" s="5">
        <f>IF(12&lt;=DAY(EOMONTH(DATE(2026,$B$1,1),0)),$B$1&amp;"월 12일","")</f>
        <v/>
      </c>
      <c r="N24" s="6" t="n"/>
      <c r="O24" s="7" t="n"/>
      <c r="P24" s="5">
        <f>IF(13&lt;=DAY(EOMONTH(DATE(2026,$B$1,1),0)),$B$1&amp;"월 13일","")</f>
        <v/>
      </c>
      <c r="Q24" s="6" t="n"/>
      <c r="R24" s="7" t="n"/>
      <c r="S24" s="5">
        <f>IF(14&lt;=DAY(EOMONTH(DATE(2026,$B$1,1),0)),$B$1&amp;"월 14일","")</f>
        <v/>
      </c>
      <c r="T24" s="6" t="n"/>
      <c r="U24" s="7" t="n"/>
    </row>
    <row r="25" ht="15.75" customHeight="1" s="1">
      <c r="A25" s="11" t="inlineStr">
        <is>
          <t>CPT 배너 단가</t>
        </is>
      </c>
      <c r="B25" s="9" t="n">
        <v>0.0233</v>
      </c>
      <c r="C25" s="10" t="inlineStr">
        <is>
          <t>About</t>
        </is>
      </c>
      <c r="D25" s="8" t="inlineStr">
        <is>
          <t>디지털 마케팅 suprt</t>
        </is>
      </c>
      <c r="E25" s="9" t="n">
        <v>0.075</v>
      </c>
      <c r="F25" s="10" t="inlineStr">
        <is>
          <t>Trend</t>
        </is>
      </c>
      <c r="G25" s="8" t="inlineStr">
        <is>
          <t>디지털 마케팅 suprt</t>
        </is>
      </c>
      <c r="H25" s="9" t="n">
        <v>0.0261</v>
      </c>
      <c r="I25" s="10" t="inlineStr">
        <is>
          <t>Trend</t>
        </is>
      </c>
      <c r="J25" s="8" t="inlineStr">
        <is>
          <t>크리테오ㅍclv</t>
        </is>
      </c>
      <c r="K25" s="9" t="n">
        <v>0.0513</v>
      </c>
      <c r="L25" s="10" t="inlineStr">
        <is>
          <t>Media</t>
        </is>
      </c>
      <c r="M25" s="8" t="inlineStr">
        <is>
          <t>디엠씨미디어</t>
        </is>
      </c>
      <c r="N25" s="9" t="n">
        <v>0.0417</v>
      </c>
      <c r="O25" s="10" t="inlineStr">
        <is>
          <t>About</t>
        </is>
      </c>
      <c r="P25" s="8" t="inlineStr">
        <is>
          <t>어드민나이트</t>
        </is>
      </c>
      <c r="Q25" s="12" t="n">
        <v>0.25</v>
      </c>
      <c r="R25" s="10" t="inlineStr">
        <is>
          <t>Trend</t>
        </is>
      </c>
      <c r="S25" s="8" t="inlineStr">
        <is>
          <t>더마 코스메틱 브랜드</t>
        </is>
      </c>
      <c r="T25" s="9" t="n">
        <v>0.125</v>
      </c>
      <c r="U25" s="10" t="inlineStr">
        <is>
          <t>Trend</t>
        </is>
      </c>
    </row>
    <row r="26" ht="15.75" customHeight="1" s="1">
      <c r="A26" s="11" t="inlineStr">
        <is>
          <t>abbe</t>
        </is>
      </c>
      <c r="B26" s="9" t="n">
        <v>0.0233</v>
      </c>
      <c r="C26" s="10" t="inlineStr">
        <is>
          <t>About</t>
        </is>
      </c>
      <c r="D26" s="8" t="inlineStr">
        <is>
          <t>디엠씨미디어 채용</t>
        </is>
      </c>
      <c r="E26" s="12" t="n">
        <v>0.05</v>
      </c>
      <c r="F26" s="10" t="inlineStr">
        <is>
          <t>People</t>
        </is>
      </c>
      <c r="G26" s="11" t="inlineStr">
        <is>
          <t>DMC 미디어</t>
        </is>
      </c>
      <c r="H26" s="9" t="n">
        <v>0.008699999999999999</v>
      </c>
      <c r="I26" s="10" t="inlineStr">
        <is>
          <t>About</t>
        </is>
      </c>
      <c r="J26" s="8" t="inlineStr">
        <is>
          <t>타불라</t>
        </is>
      </c>
      <c r="K26" s="9" t="n">
        <v>0.0513</v>
      </c>
      <c r="L26" s="10" t="inlineStr">
        <is>
          <t>Media</t>
        </is>
      </c>
      <c r="M26" s="8" t="inlineStr">
        <is>
          <t>타불라</t>
        </is>
      </c>
      <c r="N26" s="9" t="n">
        <v>0.0417</v>
      </c>
      <c r="O26" s="10" t="inlineStr">
        <is>
          <t>Media</t>
        </is>
      </c>
      <c r="P26" s="8" t="inlineStr">
        <is>
          <t>타불라</t>
        </is>
      </c>
      <c r="Q26" s="9" t="n">
        <v>0.0625</v>
      </c>
      <c r="R26" s="10" t="inlineStr">
        <is>
          <t>Media</t>
        </is>
      </c>
      <c r="S26" s="8" t="inlineStr">
        <is>
          <t>어드민나이트</t>
        </is>
      </c>
      <c r="T26" s="9" t="n">
        <v>0.125</v>
      </c>
      <c r="U26" s="10" t="inlineStr">
        <is>
          <t>Trend</t>
        </is>
      </c>
    </row>
    <row r="27" ht="15.75" customHeight="1" s="1">
      <c r="A27" s="8" t="inlineStr">
        <is>
          <t>구글 크리에이터 파트너십 부스트</t>
        </is>
      </c>
      <c r="B27" s="9" t="n">
        <v>0.0233</v>
      </c>
      <c r="C27" s="10" t="inlineStr">
        <is>
          <t>About</t>
        </is>
      </c>
      <c r="D27" s="11" t="inlineStr">
        <is>
          <t>DMC미디어</t>
        </is>
      </c>
      <c r="E27" s="9" t="n">
        <v>0.025</v>
      </c>
      <c r="F27" s="10" t="inlineStr">
        <is>
          <t>About</t>
        </is>
      </c>
      <c r="G27" s="11" t="inlineStr">
        <is>
          <t>GA4 앰플리튜드 이벤트 네이밍 컨벤션</t>
        </is>
      </c>
      <c r="H27" s="9" t="n">
        <v>0.008699999999999999</v>
      </c>
      <c r="I27" s="10" t="inlineStr">
        <is>
          <t>Data</t>
        </is>
      </c>
      <c r="J27" s="11" t="inlineStr">
        <is>
          <t>DMC선크림</t>
        </is>
      </c>
      <c r="K27" s="9" t="n">
        <v>0.0256</v>
      </c>
      <c r="L27" s="10" t="inlineStr">
        <is>
          <t>Trend</t>
        </is>
      </c>
      <c r="M27" s="8" t="inlineStr">
        <is>
          <t>타블라광고</t>
        </is>
      </c>
      <c r="N27" s="9" t="n">
        <v>0.0417</v>
      </c>
      <c r="O27" s="10" t="inlineStr">
        <is>
          <t>Media</t>
        </is>
      </c>
      <c r="P27" s="8" t="inlineStr">
        <is>
          <t>타블라광고</t>
        </is>
      </c>
      <c r="Q27" s="9" t="n">
        <v>0.0625</v>
      </c>
      <c r="R27" s="10" t="inlineStr">
        <is>
          <t>Media</t>
        </is>
      </c>
      <c r="S27" s="8" t="inlineStr">
        <is>
          <t>타불라</t>
        </is>
      </c>
      <c r="T27" s="9" t="n">
        <v>0.125</v>
      </c>
      <c r="U27" s="10" t="inlineStr">
        <is>
          <t>Media</t>
        </is>
      </c>
    </row>
    <row r="28" ht="15.75" customHeight="1" s="1">
      <c r="A28" s="8" t="inlineStr">
        <is>
          <t>더마 브랜드 캠페인 일상</t>
        </is>
      </c>
      <c r="B28" s="9" t="n">
        <v>0.0233</v>
      </c>
      <c r="C28" s="10" t="inlineStr">
        <is>
          <t>Trend</t>
        </is>
      </c>
      <c r="D28" s="8" t="inlineStr">
        <is>
          <t>구글 크리에이터 파트너십 부스트</t>
        </is>
      </c>
      <c r="E28" s="9" t="n">
        <v>0.025</v>
      </c>
      <c r="F28" s="10" t="inlineStr">
        <is>
          <t>About</t>
        </is>
      </c>
      <c r="G28" s="11" t="inlineStr">
        <is>
          <t>dmcmedia</t>
        </is>
      </c>
      <c r="H28" s="9" t="n">
        <v>0.008699999999999999</v>
      </c>
      <c r="I28" s="10" t="inlineStr">
        <is>
          <t>About</t>
        </is>
      </c>
      <c r="J28" s="8" t="inlineStr">
        <is>
          <t>디엠씨미디어</t>
        </is>
      </c>
      <c r="K28" s="9" t="n">
        <v>0.0256</v>
      </c>
      <c r="L28" s="10" t="inlineStr">
        <is>
          <t>About</t>
        </is>
      </c>
      <c r="M28" s="8" t="inlineStr">
        <is>
          <t>하이네켄 페스티벌</t>
        </is>
      </c>
      <c r="N28" s="9" t="n">
        <v>0.0208</v>
      </c>
      <c r="O28" s="10" t="inlineStr">
        <is>
          <t>Trend</t>
        </is>
      </c>
      <c r="P28" s="8" t="inlineStr">
        <is>
          <t>토스 리워드광고 비용은 얼마나 되나요?</t>
        </is>
      </c>
      <c r="Q28" s="9" t="n">
        <v>0.0625</v>
      </c>
      <c r="R28" s="10" t="inlineStr">
        <is>
          <t>Media</t>
        </is>
      </c>
      <c r="S28" s="8" t="inlineStr">
        <is>
          <t>타블라 노출지면</t>
        </is>
      </c>
      <c r="T28" s="9" t="n">
        <v>0.125</v>
      </c>
      <c r="U28" s="10" t="inlineStr">
        <is>
          <t>Media</t>
        </is>
      </c>
    </row>
    <row r="29" ht="15.75" customHeight="1" s="1">
      <c r="A29" s="8" t="inlineStr">
        <is>
          <t>디지털 마케팅 suprt</t>
        </is>
      </c>
      <c r="B29" s="9" t="n">
        <v>0.0233</v>
      </c>
      <c r="C29" s="10" t="inlineStr">
        <is>
          <t>Trend</t>
        </is>
      </c>
      <c r="D29" s="8" t="inlineStr">
        <is>
          <t>디엠씨미디어 이준희</t>
        </is>
      </c>
      <c r="E29" s="9" t="n">
        <v>0.025</v>
      </c>
      <c r="F29" s="10" t="inlineStr">
        <is>
          <t>About</t>
        </is>
      </c>
      <c r="G29" s="8" t="inlineStr">
        <is>
          <t>디엠씨미디어 복지</t>
        </is>
      </c>
      <c r="H29" s="9" t="n">
        <v>0.008699999999999999</v>
      </c>
      <c r="I29" s="10" t="inlineStr">
        <is>
          <t>People</t>
        </is>
      </c>
      <c r="J29" s="8" t="inlineStr">
        <is>
          <t>육아 삼신기</t>
        </is>
      </c>
      <c r="K29" s="9" t="n">
        <v>0.0256</v>
      </c>
      <c r="L29" s="10" t="inlineStr">
        <is>
          <t>Trend</t>
        </is>
      </c>
      <c r="M29" s="11" t="inlineStr">
        <is>
          <t>DMC미디어</t>
        </is>
      </c>
      <c r="N29" s="9" t="n">
        <v>0.0208</v>
      </c>
      <c r="O29" s="10" t="inlineStr">
        <is>
          <t>About</t>
        </is>
      </c>
      <c r="P29" s="11" t="n"/>
      <c r="Q29" s="13" t="n"/>
      <c r="R29" s="10" t="n"/>
      <c r="S29" s="11" t="n"/>
      <c r="T29" s="13" t="n"/>
      <c r="U29" s="10" t="n"/>
    </row>
    <row r="30" ht="15.75" customHeight="1" s="1">
      <c r="A30" s="8" t="inlineStr">
        <is>
          <t>어드민나이트</t>
        </is>
      </c>
      <c r="B30" s="9" t="n">
        <v>0.0233</v>
      </c>
      <c r="C30" s="10" t="inlineStr">
        <is>
          <t>Trend</t>
        </is>
      </c>
      <c r="D30" s="8" t="inlineStr">
        <is>
          <t>어드민나이트</t>
        </is>
      </c>
      <c r="E30" s="9" t="n">
        <v>0.025</v>
      </c>
      <c r="F30" s="10" t="inlineStr">
        <is>
          <t>Trend</t>
        </is>
      </c>
      <c r="G30" s="8" t="inlineStr">
        <is>
          <t>타불라</t>
        </is>
      </c>
      <c r="H30" s="9" t="n">
        <v>0.008699999999999999</v>
      </c>
      <c r="I30" s="10" t="inlineStr">
        <is>
          <t>Media</t>
        </is>
      </c>
      <c r="J30" s="8" t="inlineStr">
        <is>
          <t>타불라 광고</t>
        </is>
      </c>
      <c r="K30" s="9" t="n">
        <v>0.0256</v>
      </c>
      <c r="L30" s="10" t="inlineStr">
        <is>
          <t>Media</t>
        </is>
      </c>
      <c r="M30" s="11" t="inlineStr">
        <is>
          <t>GEO 솔루션(D.SaiO</t>
        </is>
      </c>
      <c r="N30" s="9" t="n">
        <v>0.0208</v>
      </c>
      <c r="O30" s="10" t="inlineStr">
        <is>
          <t>About</t>
        </is>
      </c>
      <c r="P30" s="11" t="n"/>
      <c r="Q30" s="13" t="n"/>
      <c r="R30" s="10" t="n"/>
      <c r="S30" s="11" t="n"/>
      <c r="T30" s="13" t="n"/>
      <c r="U30" s="10" t="n"/>
    </row>
    <row r="31" ht="15.75" customHeight="1" s="1">
      <c r="A31" s="8" t="inlineStr">
        <is>
          <t>토스애즈</t>
        </is>
      </c>
      <c r="B31" s="9" t="n">
        <v>0.0233</v>
      </c>
      <c r="C31" s="10" t="inlineStr">
        <is>
          <t>Media</t>
        </is>
      </c>
      <c r="D31" s="8" t="inlineStr">
        <is>
          <t>크리테오 광고 뜻</t>
        </is>
      </c>
      <c r="E31" s="9" t="n">
        <v>0.025</v>
      </c>
      <c r="F31" s="10" t="inlineStr">
        <is>
          <t>Media</t>
        </is>
      </c>
      <c r="G31" s="8" t="inlineStr">
        <is>
          <t>타불라 광고</t>
        </is>
      </c>
      <c r="H31" s="9" t="n">
        <v>0.008699999999999999</v>
      </c>
      <c r="I31" s="10" t="inlineStr">
        <is>
          <t>Media</t>
        </is>
      </c>
      <c r="J31" s="8" t="inlineStr">
        <is>
          <t>디지털 마케팅 suprt</t>
        </is>
      </c>
      <c r="K31" s="9" t="n">
        <v>0.0513</v>
      </c>
      <c r="L31" s="10" t="inlineStr">
        <is>
          <t>Trend</t>
        </is>
      </c>
      <c r="M31" s="8" t="inlineStr">
        <is>
          <t>디엠씨미디어</t>
        </is>
      </c>
      <c r="N31" s="9" t="n">
        <v>0.0208</v>
      </c>
      <c r="O31" s="10" t="inlineStr">
        <is>
          <t>About</t>
        </is>
      </c>
      <c r="P31" s="11" t="n"/>
      <c r="Q31" s="13" t="n"/>
      <c r="R31" s="10" t="n"/>
      <c r="S31" s="11" t="n"/>
      <c r="T31" s="13" t="n"/>
      <c r="U31" s="10" t="n"/>
    </row>
    <row r="32" ht="15.75" customHeight="1" s="1">
      <c r="A32" s="8" t="inlineStr">
        <is>
          <t>타불라 코리아</t>
        </is>
      </c>
      <c r="B32" s="9" t="n">
        <v>0.0465</v>
      </c>
      <c r="C32" s="10" t="inlineStr">
        <is>
          <t>Media</t>
        </is>
      </c>
      <c r="D32" s="8" t="inlineStr">
        <is>
          <t>토스애즈</t>
        </is>
      </c>
      <c r="E32" s="9" t="n">
        <v>0.025</v>
      </c>
      <c r="F32" s="10" t="inlineStr">
        <is>
          <t>Media</t>
        </is>
      </c>
      <c r="G32" s="8" t="inlineStr">
        <is>
          <t>타불라광고</t>
        </is>
      </c>
      <c r="H32" s="9" t="n">
        <v>0.008699999999999999</v>
      </c>
      <c r="I32" s="10" t="inlineStr">
        <is>
          <t>Media</t>
        </is>
      </c>
      <c r="J32" s="8" t="inlineStr">
        <is>
          <t>디프레임 디엠씨</t>
        </is>
      </c>
      <c r="K32" s="9" t="n">
        <v>0.0256</v>
      </c>
      <c r="L32" s="10" t="inlineStr">
        <is>
          <t>About</t>
        </is>
      </c>
      <c r="M32" s="8" t="inlineStr">
        <is>
          <t>디엠씨미디어 CRM</t>
        </is>
      </c>
      <c r="N32" s="9" t="n">
        <v>0.0208</v>
      </c>
      <c r="O32" s="10" t="inlineStr">
        <is>
          <t>About</t>
        </is>
      </c>
      <c r="P32" s="11" t="n"/>
      <c r="Q32" s="13" t="n"/>
      <c r="R32" s="10" t="n"/>
      <c r="S32" s="11" t="n"/>
      <c r="T32" s="13" t="n"/>
      <c r="U32" s="10" t="n"/>
    </row>
    <row r="33" ht="15.75" customHeight="1" s="1">
      <c r="A33" s="8" t="inlineStr">
        <is>
          <t>타불라</t>
        </is>
      </c>
      <c r="B33" s="9" t="n">
        <v>0.0233</v>
      </c>
      <c r="C33" s="10" t="inlineStr">
        <is>
          <t>Media</t>
        </is>
      </c>
      <c r="D33" s="8" t="inlineStr">
        <is>
          <t>하이네켄 the clinker</t>
        </is>
      </c>
      <c r="E33" s="9" t="n">
        <v>0.025</v>
      </c>
      <c r="F33" s="10" t="inlineStr">
        <is>
          <t>Trend</t>
        </is>
      </c>
      <c r="G33" s="8" t="inlineStr">
        <is>
          <t>토스 애즈 광고</t>
        </is>
      </c>
      <c r="H33" s="9" t="n">
        <v>0.008699999999999999</v>
      </c>
      <c r="I33" s="10" t="inlineStr">
        <is>
          <t>Media</t>
        </is>
      </c>
      <c r="J33" s="8" t="inlineStr">
        <is>
          <t>왕과 사는 남자 촬영실록</t>
        </is>
      </c>
      <c r="K33" s="9" t="n">
        <v>0.0256</v>
      </c>
      <c r="L33" s="10" t="inlineStr">
        <is>
          <t>Trend</t>
        </is>
      </c>
      <c r="M33" s="11" t="inlineStr">
        <is>
          <t>ai seo aeo geo 솔루션</t>
        </is>
      </c>
      <c r="N33" s="9" t="n">
        <v>0.0208</v>
      </c>
      <c r="O33" s="10" t="inlineStr">
        <is>
          <t>About</t>
        </is>
      </c>
      <c r="P33" s="11" t="n"/>
      <c r="Q33" s="13" t="n"/>
      <c r="R33" s="10" t="n"/>
      <c r="S33" s="11" t="n"/>
      <c r="T33" s="13" t="n"/>
      <c r="U33" s="10" t="n"/>
    </row>
    <row r="34" ht="15.75" customHeight="1" s="1">
      <c r="A34" s="8" t="inlineStr">
        <is>
          <t>소비자가 광고를 통해 상품 구매</t>
        </is>
      </c>
      <c r="B34" s="9" t="n">
        <v>0.0233</v>
      </c>
      <c r="C34" s="10" t="inlineStr">
        <is>
          <t>Trend</t>
        </is>
      </c>
      <c r="D34" s="8" t="inlineStr">
        <is>
          <t>하이네켄 페스티벌</t>
        </is>
      </c>
      <c r="E34" s="9" t="n">
        <v>0.025</v>
      </c>
      <c r="F34" s="10" t="inlineStr">
        <is>
          <t>Trend</t>
        </is>
      </c>
      <c r="G34" s="8" t="inlineStr">
        <is>
          <t>타불라 광고</t>
        </is>
      </c>
      <c r="H34" s="9" t="n">
        <v>0.0174</v>
      </c>
      <c r="I34" s="10" t="inlineStr">
        <is>
          <t>Media</t>
        </is>
      </c>
      <c r="J34" s="8" t="inlineStr">
        <is>
          <t>중저가 로드샵 화장품 브랜드</t>
        </is>
      </c>
      <c r="K34" s="9" t="n">
        <v>0.0256</v>
      </c>
      <c r="L34" s="10" t="inlineStr">
        <is>
          <t>Trend</t>
        </is>
      </c>
      <c r="M34" s="8" t="inlineStr">
        <is>
          <t>네이버쇼핑 선물하기</t>
        </is>
      </c>
      <c r="N34" s="9" t="n">
        <v>0.0208</v>
      </c>
      <c r="O34" s="10" t="inlineStr">
        <is>
          <t>Media</t>
        </is>
      </c>
      <c r="P34" s="11" t="n"/>
      <c r="Q34" s="13" t="n"/>
      <c r="R34" s="10" t="n"/>
      <c r="S34" s="11" t="n"/>
      <c r="T34" s="13" t="n"/>
      <c r="U34" s="10" t="n"/>
    </row>
    <row r="35" ht="15.75" customHeight="1" s="1">
      <c r="A35" s="11" t="n"/>
      <c r="B35" s="13" t="n"/>
      <c r="C35" s="10" t="n"/>
      <c r="D35" s="8" t="inlineStr">
        <is>
          <t>하이네켄 하우스 코첼라</t>
        </is>
      </c>
      <c r="E35" s="9" t="n">
        <v>0.025</v>
      </c>
      <c r="F35" s="10" t="inlineStr">
        <is>
          <t>Trend</t>
        </is>
      </c>
      <c r="G35" s="11" t="inlineStr">
        <is>
          <t>dmc 미디어 해운대</t>
        </is>
      </c>
      <c r="H35" s="9" t="n">
        <v>0.008699999999999999</v>
      </c>
      <c r="I35" s="10" t="inlineStr">
        <is>
          <t>About</t>
        </is>
      </c>
      <c r="J35" s="8" t="inlineStr">
        <is>
          <t>프로스포츠 굿즈 유형별 판매량 분석</t>
        </is>
      </c>
      <c r="K35" s="9" t="n">
        <v>0.0256</v>
      </c>
      <c r="L35" s="10" t="inlineStr">
        <is>
          <t>Trend</t>
        </is>
      </c>
      <c r="M35" s="11" t="n"/>
      <c r="N35" s="13" t="n"/>
      <c r="O35" s="10" t="n"/>
      <c r="P35" s="11" t="n"/>
      <c r="Q35" s="13" t="n"/>
      <c r="R35" s="10" t="n"/>
      <c r="S35" s="11" t="n"/>
      <c r="T35" s="13" t="n"/>
      <c r="U35" s="10" t="n"/>
    </row>
    <row r="36" ht="15.75" customHeight="1" s="1">
      <c r="A36" s="11" t="n"/>
      <c r="B36" s="13" t="n"/>
      <c r="C36" s="10" t="n"/>
      <c r="D36" s="8" t="inlineStr">
        <is>
          <t>디지털 마케팅 suprt</t>
        </is>
      </c>
      <c r="E36" s="12" t="n">
        <v>0.05</v>
      </c>
      <c r="F36" s="10" t="inlineStr">
        <is>
          <t>Trend</t>
        </is>
      </c>
      <c r="G36" s="8" t="inlineStr">
        <is>
          <t>하이네켄</t>
        </is>
      </c>
      <c r="H36" s="9" t="n">
        <v>0.008699999999999999</v>
      </c>
      <c r="I36" s="10" t="inlineStr">
        <is>
          <t>Trend</t>
        </is>
      </c>
      <c r="J36" s="11" t="n"/>
      <c r="K36" s="13" t="n"/>
      <c r="L36" s="10" t="n"/>
      <c r="M36" s="11" t="n"/>
      <c r="N36" s="13" t="n"/>
      <c r="O36" s="10" t="n"/>
      <c r="P36" s="11" t="n"/>
      <c r="Q36" s="13" t="n"/>
      <c r="R36" s="10" t="n"/>
      <c r="S36" s="11" t="n"/>
      <c r="T36" s="13" t="n"/>
      <c r="U36" s="10" t="n"/>
    </row>
    <row r="37" ht="15.75" customHeight="1" s="1">
      <c r="A37" s="11" t="n"/>
      <c r="B37" s="13" t="n"/>
      <c r="C37" s="10" t="n"/>
      <c r="D37" s="8" t="inlineStr">
        <is>
          <t>격주</t>
        </is>
      </c>
      <c r="E37" s="9" t="n">
        <v>0.025</v>
      </c>
      <c r="F37" s="10" t="inlineStr">
        <is>
          <t>People</t>
        </is>
      </c>
      <c r="G37" s="8" t="inlineStr">
        <is>
          <t>디엠씨미디어 이준희</t>
        </is>
      </c>
      <c r="H37" s="9" t="n">
        <v>0.008699999999999999</v>
      </c>
      <c r="I37" s="10" t="inlineStr">
        <is>
          <t>About</t>
        </is>
      </c>
      <c r="J37" s="11" t="n"/>
      <c r="K37" s="13" t="n"/>
      <c r="L37" s="10" t="n"/>
      <c r="M37" s="11" t="n"/>
      <c r="N37" s="13" t="n"/>
      <c r="O37" s="10" t="n"/>
      <c r="P37" s="11" t="n"/>
      <c r="Q37" s="13" t="n"/>
      <c r="R37" s="10" t="n"/>
      <c r="S37" s="11" t="n"/>
      <c r="T37" s="13" t="n"/>
      <c r="U37" s="10" t="n"/>
    </row>
    <row r="38" ht="15.75" customHeight="1" s="1">
      <c r="A38" s="11" t="n"/>
      <c r="B38" s="13" t="n"/>
      <c r="C38" s="10" t="n"/>
      <c r="D38" s="8" t="inlineStr">
        <is>
          <t>모비엠</t>
        </is>
      </c>
      <c r="E38" s="9" t="n">
        <v>0.025</v>
      </c>
      <c r="F38" s="10" t="inlineStr">
        <is>
          <t>About</t>
        </is>
      </c>
      <c r="G38" s="11" t="n"/>
      <c r="H38" s="13" t="n"/>
      <c r="I38" s="10" t="n"/>
      <c r="J38" s="11" t="n"/>
      <c r="K38" s="13" t="n"/>
      <c r="L38" s="10" t="n"/>
      <c r="M38" s="11" t="n"/>
      <c r="N38" s="13" t="n"/>
      <c r="O38" s="10" t="n"/>
      <c r="P38" s="11" t="n"/>
      <c r="Q38" s="13" t="n"/>
      <c r="R38" s="10" t="n"/>
      <c r="S38" s="11" t="n"/>
      <c r="T38" s="13" t="n"/>
      <c r="U38" s="10" t="n"/>
    </row>
    <row r="39" ht="15.75" customHeight="1" s="1">
      <c r="A39" s="11" t="n"/>
      <c r="B39" s="13" t="n"/>
      <c r="C39" s="10" t="n"/>
      <c r="D39" s="8" t="inlineStr">
        <is>
          <t>토스애즈 터처블 2026</t>
        </is>
      </c>
      <c r="E39" s="9" t="n">
        <v>0.025</v>
      </c>
      <c r="F39" s="10" t="inlineStr">
        <is>
          <t>Media</t>
        </is>
      </c>
      <c r="G39" s="11" t="n"/>
      <c r="H39" s="13" t="n"/>
      <c r="I39" s="10" t="n"/>
      <c r="J39" s="11" t="n"/>
      <c r="K39" s="13" t="n"/>
      <c r="L39" s="10" t="n"/>
      <c r="M39" s="11" t="n"/>
      <c r="N39" s="13" t="n"/>
      <c r="O39" s="10" t="n"/>
      <c r="P39" s="11" t="n"/>
      <c r="Q39" s="13" t="n"/>
      <c r="R39" s="10" t="n"/>
      <c r="S39" s="11" t="n"/>
      <c r="T39" s="13" t="n"/>
      <c r="U39" s="10" t="n"/>
    </row>
    <row r="40" ht="15.75" customHeight="1" s="1">
      <c r="A40" s="11" t="n"/>
      <c r="B40" s="13" t="n"/>
      <c r="C40" s="10" t="n"/>
      <c r="D40" s="11" t="n"/>
      <c r="E40" s="13" t="n"/>
      <c r="F40" s="10" t="n"/>
      <c r="G40" s="11" t="n"/>
      <c r="H40" s="13" t="n"/>
      <c r="I40" s="10" t="n"/>
      <c r="J40" s="11" t="n"/>
      <c r="K40" s="13" t="n"/>
      <c r="L40" s="10" t="n"/>
      <c r="M40" s="11" t="n"/>
      <c r="N40" s="13" t="n"/>
      <c r="O40" s="10" t="n"/>
      <c r="P40" s="11" t="n"/>
      <c r="Q40" s="13" t="n"/>
      <c r="R40" s="10" t="n"/>
      <c r="S40" s="11" t="n"/>
      <c r="T40" s="13" t="n"/>
      <c r="U40" s="10" t="n"/>
    </row>
    <row r="41" ht="15.75" customHeight="1" s="1">
      <c r="A41" s="11" t="n"/>
      <c r="B41" s="13" t="n"/>
      <c r="C41" s="10" t="n"/>
      <c r="D41" s="11" t="n"/>
      <c r="E41" s="13" t="n"/>
      <c r="F41" s="10" t="n"/>
      <c r="G41" s="11" t="n"/>
      <c r="H41" s="13" t="n"/>
      <c r="I41" s="10" t="n"/>
      <c r="J41" s="11" t="n"/>
      <c r="K41" s="13" t="n"/>
      <c r="L41" s="10" t="n"/>
      <c r="M41" s="11" t="n"/>
      <c r="N41" s="13" t="n"/>
      <c r="O41" s="10" t="n"/>
      <c r="P41" s="11" t="n"/>
      <c r="Q41" s="13" t="n"/>
      <c r="R41" s="10" t="n"/>
      <c r="S41" s="11" t="n"/>
      <c r="T41" s="13" t="n"/>
      <c r="U41" s="10" t="n"/>
    </row>
    <row r="42" ht="15.75" customHeight="1" s="1">
      <c r="A42" s="11" t="n"/>
      <c r="B42" s="13" t="n"/>
      <c r="C42" s="10" t="n"/>
      <c r="D42" s="11" t="n"/>
      <c r="E42" s="13" t="n"/>
      <c r="F42" s="10" t="n"/>
      <c r="G42" s="11" t="n"/>
      <c r="H42" s="13" t="n"/>
      <c r="I42" s="10" t="n"/>
      <c r="J42" s="11" t="n"/>
      <c r="K42" s="13" t="n"/>
      <c r="L42" s="10" t="n"/>
      <c r="M42" s="11" t="n"/>
      <c r="N42" s="13" t="n"/>
      <c r="O42" s="10" t="n"/>
      <c r="P42" s="11" t="n"/>
      <c r="Q42" s="13" t="n"/>
      <c r="R42" s="10" t="n"/>
      <c r="S42" s="11" t="n"/>
      <c r="T42" s="13" t="n"/>
      <c r="U42" s="10" t="n"/>
    </row>
    <row r="43" ht="15.75" customHeight="1" s="1">
      <c r="A43" s="11" t="n"/>
      <c r="B43" s="13" t="n"/>
      <c r="C43" s="10" t="n"/>
      <c r="D43" s="11" t="n"/>
      <c r="E43" s="13" t="n"/>
      <c r="F43" s="10" t="n"/>
      <c r="G43" s="11" t="n"/>
      <c r="H43" s="13" t="n"/>
      <c r="I43" s="10" t="n"/>
      <c r="J43" s="11" t="n"/>
      <c r="K43" s="13" t="n"/>
      <c r="L43" s="10" t="n"/>
      <c r="M43" s="11" t="n"/>
      <c r="N43" s="13" t="n"/>
      <c r="O43" s="10" t="n"/>
      <c r="P43" s="11" t="n"/>
      <c r="Q43" s="13" t="n"/>
      <c r="R43" s="10" t="n"/>
      <c r="S43" s="11" t="n"/>
      <c r="T43" s="13" t="n"/>
      <c r="U43" s="10" t="n"/>
    </row>
    <row r="44" ht="15.75" customHeight="1" s="1">
      <c r="A44" s="14" t="n"/>
      <c r="B44" s="15" t="n"/>
      <c r="C44" s="16" t="n"/>
      <c r="D44" s="14" t="n"/>
      <c r="E44" s="15" t="n"/>
      <c r="F44" s="16" t="n"/>
      <c r="G44" s="14" t="n"/>
      <c r="H44" s="15" t="n"/>
      <c r="I44" s="16" t="n"/>
      <c r="J44" s="14" t="n"/>
      <c r="K44" s="15" t="n"/>
      <c r="L44" s="16" t="n"/>
      <c r="M44" s="14" t="n"/>
      <c r="N44" s="15" t="n"/>
      <c r="O44" s="16" t="n"/>
      <c r="P44" s="14" t="n"/>
      <c r="Q44" s="15" t="n"/>
      <c r="R44" s="16" t="n"/>
      <c r="S44" s="14" t="n"/>
      <c r="T44" s="15" t="n"/>
      <c r="U44" s="16" t="n"/>
    </row>
    <row r="45" ht="15.75" customHeight="1" s="1">
      <c r="A45" s="5">
        <f>IF(15&lt;=DAY(EOMONTH(DATE(2026,$B$1,1),0)),$B$1&amp;"월 15일","")</f>
        <v/>
      </c>
      <c r="B45" s="6" t="n"/>
      <c r="C45" s="7" t="n"/>
      <c r="D45" s="5">
        <f>IF(16&lt;=DAY(EOMONTH(DATE(2026,$B$1,1),0)),$B$1&amp;"월 16일","")</f>
        <v/>
      </c>
      <c r="E45" s="6" t="n"/>
      <c r="F45" s="7" t="n"/>
      <c r="G45" s="5">
        <f>IF(17&lt;=DAY(EOMONTH(DATE(2026,$B$1,1),0)),$B$1&amp;"월 17일","")</f>
        <v/>
      </c>
      <c r="H45" s="6" t="n"/>
      <c r="I45" s="7" t="n"/>
      <c r="J45" s="5">
        <f>IF(18&lt;=DAY(EOMONTH(DATE(2026,$B$1,1),0)),$B$1&amp;"월 18일","")</f>
        <v/>
      </c>
      <c r="K45" s="6" t="n"/>
      <c r="L45" s="7" t="n"/>
      <c r="M45" s="5">
        <f>IF(19&lt;=DAY(EOMONTH(DATE(2026,$B$1,1),0)),$B$1&amp;"월 19일","")</f>
        <v/>
      </c>
      <c r="N45" s="6" t="n"/>
      <c r="O45" s="7" t="n"/>
      <c r="P45" s="5">
        <f>IF(20&lt;=DAY(EOMONTH(DATE(2026,$B$1,1),0)),$B$1&amp;"월 20일","")</f>
        <v/>
      </c>
      <c r="Q45" s="6" t="n"/>
      <c r="R45" s="7" t="n"/>
      <c r="S45" s="5">
        <f>IF(21&lt;=DAY(EOMONTH(DATE(2026,$B$1,1),0)),$B$1&amp;"월 21일","")</f>
        <v/>
      </c>
      <c r="T45" s="6" t="n"/>
      <c r="U45" s="7" t="n"/>
    </row>
    <row r="46" ht="15.75" customHeight="1" s="1">
      <c r="A46" s="8" t="inlineStr">
        <is>
          <t>타불라</t>
        </is>
      </c>
      <c r="B46" s="9" t="n">
        <v>0.0571</v>
      </c>
      <c r="C46" s="10" t="inlineStr">
        <is>
          <t>Media</t>
        </is>
      </c>
      <c r="D46" s="8" t="inlineStr">
        <is>
          <t>타불라</t>
        </is>
      </c>
      <c r="E46" s="9" t="n">
        <v>0.0612</v>
      </c>
      <c r="F46" s="10" t="inlineStr">
        <is>
          <t>Media</t>
        </is>
      </c>
      <c r="G46" s="8" t="inlineStr">
        <is>
          <t>타불라</t>
        </is>
      </c>
      <c r="H46" s="9" t="n">
        <v>0.0968</v>
      </c>
      <c r="I46" s="10" t="inlineStr">
        <is>
          <t>Media</t>
        </is>
      </c>
      <c r="J46" s="8" t="inlineStr">
        <is>
          <t>디엠씨미디어</t>
        </is>
      </c>
      <c r="K46" s="9" t="n">
        <v>0.0326</v>
      </c>
      <c r="L46" s="10" t="inlineStr">
        <is>
          <t>About</t>
        </is>
      </c>
      <c r="M46" s="8" t="inlineStr">
        <is>
          <t>온드미디어</t>
        </is>
      </c>
      <c r="N46" s="9" t="n">
        <v>0.0351</v>
      </c>
      <c r="O46" s="10" t="inlineStr">
        <is>
          <t>Media</t>
        </is>
      </c>
      <c r="P46" s="8" t="inlineStr">
        <is>
          <t>네이티브 광고</t>
        </is>
      </c>
      <c r="Q46" s="9" t="n">
        <v>0.0833</v>
      </c>
      <c r="R46" s="10" t="inlineStr">
        <is>
          <t>Media</t>
        </is>
      </c>
      <c r="S46" s="8" t="inlineStr">
        <is>
          <t>더마코스메틱 화장품</t>
        </is>
      </c>
      <c r="T46" s="9" t="n">
        <v>0.6429</v>
      </c>
      <c r="U46" s="10" t="inlineStr">
        <is>
          <t>Trend</t>
        </is>
      </c>
    </row>
    <row r="47" ht="15.75" customHeight="1" s="1">
      <c r="A47" s="8" t="inlineStr">
        <is>
          <t>더마코스메틱 브랜드</t>
        </is>
      </c>
      <c r="B47" s="9" t="n">
        <v>0.0286</v>
      </c>
      <c r="C47" s="10" t="inlineStr">
        <is>
          <t>Trend</t>
        </is>
      </c>
      <c r="D47" s="11" t="inlineStr">
        <is>
          <t>DMC리포트 디지털 광고 효율 분석표</t>
        </is>
      </c>
      <c r="E47" s="9" t="n">
        <v>0.0204</v>
      </c>
      <c r="F47" s="10" t="inlineStr">
        <is>
          <t>About</t>
        </is>
      </c>
      <c r="G47" s="8" t="inlineStr">
        <is>
          <t>더마코스메틱 화장품</t>
        </is>
      </c>
      <c r="H47" s="9" t="n">
        <v>0.0323</v>
      </c>
      <c r="I47" s="10" t="inlineStr">
        <is>
          <t>Trend</t>
        </is>
      </c>
      <c r="J47" s="8" t="inlineStr">
        <is>
          <t>타불라</t>
        </is>
      </c>
      <c r="K47" s="9" t="n">
        <v>0.0326</v>
      </c>
      <c r="L47" s="10" t="inlineStr">
        <is>
          <t>Media</t>
        </is>
      </c>
      <c r="M47" s="8" t="inlineStr">
        <is>
          <t>타불라</t>
        </is>
      </c>
      <c r="N47" s="9" t="n">
        <v>0.0351</v>
      </c>
      <c r="O47" s="10" t="inlineStr">
        <is>
          <t>Media</t>
        </is>
      </c>
      <c r="P47" s="8" t="inlineStr">
        <is>
          <t>디엠씨미디어</t>
        </is>
      </c>
      <c r="Q47" s="9" t="n">
        <v>0.0833</v>
      </c>
      <c r="R47" s="10" t="inlineStr">
        <is>
          <t>About</t>
        </is>
      </c>
      <c r="S47" s="8" t="inlineStr">
        <is>
          <t>타불라</t>
        </is>
      </c>
      <c r="T47" s="9" t="n">
        <v>0.07140000000000001</v>
      </c>
      <c r="U47" s="10" t="inlineStr">
        <is>
          <t>Media</t>
        </is>
      </c>
    </row>
    <row r="48" ht="15.75" customHeight="1" s="1">
      <c r="A48" s="8" t="inlineStr">
        <is>
          <t>디엠씨미디어</t>
        </is>
      </c>
      <c r="B48" s="9" t="n">
        <v>0.0286</v>
      </c>
      <c r="C48" s="10" t="inlineStr">
        <is>
          <t>About</t>
        </is>
      </c>
      <c r="D48" s="11" t="inlineStr">
        <is>
          <t>DMC미디어</t>
        </is>
      </c>
      <c r="E48" s="9" t="n">
        <v>0.0204</v>
      </c>
      <c r="F48" s="10" t="inlineStr">
        <is>
          <t>About</t>
        </is>
      </c>
      <c r="G48" s="8" t="inlineStr">
        <is>
          <t>디엠씨미디어</t>
        </is>
      </c>
      <c r="H48" s="9" t="n">
        <v>0.0323</v>
      </c>
      <c r="I48" s="10" t="inlineStr">
        <is>
          <t>About</t>
        </is>
      </c>
      <c r="J48" s="8" t="inlineStr">
        <is>
          <t>타블라 광고</t>
        </is>
      </c>
      <c r="K48" s="9" t="n">
        <v>0.0109</v>
      </c>
      <c r="L48" s="10" t="inlineStr">
        <is>
          <t>Media</t>
        </is>
      </c>
      <c r="M48" s="8" t="inlineStr">
        <is>
          <t>메타광고 CTR 공식 벤치마크</t>
        </is>
      </c>
      <c r="N48" s="9" t="n">
        <v>0.0175</v>
      </c>
      <c r="O48" s="10" t="inlineStr">
        <is>
          <t>About</t>
        </is>
      </c>
      <c r="P48" s="8" t="inlineStr">
        <is>
          <t>왕사남 마케팅</t>
        </is>
      </c>
      <c r="Q48" s="9" t="n">
        <v>0.0833</v>
      </c>
      <c r="R48" s="10" t="inlineStr">
        <is>
          <t>Trend</t>
        </is>
      </c>
      <c r="S48" s="11" t="inlineStr">
        <is>
          <t>DMC 방탈출</t>
        </is>
      </c>
      <c r="T48" s="9" t="n">
        <v>0.0357</v>
      </c>
      <c r="U48" s="10" t="inlineStr">
        <is>
          <t>Trend</t>
        </is>
      </c>
    </row>
    <row r="49" ht="15.75" customHeight="1" s="1">
      <c r="A49" s="8" t="inlineStr">
        <is>
          <t>모비엠</t>
        </is>
      </c>
      <c r="B49" s="9" t="n">
        <v>0.0286</v>
      </c>
      <c r="C49" s="10" t="inlineStr">
        <is>
          <t>About</t>
        </is>
      </c>
      <c r="D49" s="11" t="inlineStr">
        <is>
          <t>Search에서 Answer로 : AI 검색이 바꾸는 소비자 구매 여정과 대응 전략</t>
        </is>
      </c>
      <c r="E49" s="9" t="n">
        <v>0.0204</v>
      </c>
      <c r="F49" s="10" t="inlineStr">
        <is>
          <t>Media</t>
        </is>
      </c>
      <c r="G49" s="8" t="inlineStr">
        <is>
          <t>디지털 마케팅 suprt</t>
        </is>
      </c>
      <c r="H49" s="9" t="n">
        <v>0.0323</v>
      </c>
      <c r="I49" s="10" t="inlineStr">
        <is>
          <t>Trend</t>
        </is>
      </c>
      <c r="J49" s="8" t="inlineStr">
        <is>
          <t>티맵 로컬 핀 광고</t>
        </is>
      </c>
      <c r="K49" s="9" t="n">
        <v>0.0109</v>
      </c>
      <c r="L49" s="10" t="inlineStr">
        <is>
          <t>Media</t>
        </is>
      </c>
      <c r="M49" s="11" t="inlineStr">
        <is>
          <t>nosp 부킹 브랜딩 DA 적용 타겟팅</t>
        </is>
      </c>
      <c r="N49" s="9" t="n">
        <v>0.0175</v>
      </c>
      <c r="O49" s="10" t="inlineStr">
        <is>
          <t>About</t>
        </is>
      </c>
      <c r="P49" s="8" t="inlineStr">
        <is>
          <t>타블라광고</t>
        </is>
      </c>
      <c r="Q49" s="9" t="n">
        <v>0.0833</v>
      </c>
      <c r="R49" s="10" t="inlineStr">
        <is>
          <t>Media</t>
        </is>
      </c>
      <c r="S49" s="11" t="inlineStr">
        <is>
          <t>tubble</t>
        </is>
      </c>
      <c r="T49" s="9" t="n">
        <v>0.0357</v>
      </c>
      <c r="U49" s="10" t="inlineStr">
        <is>
          <t>About</t>
        </is>
      </c>
    </row>
    <row r="50" ht="15.75" customHeight="1" s="1">
      <c r="A50" s="8" t="inlineStr">
        <is>
          <t>카카오 asap 프로그램</t>
        </is>
      </c>
      <c r="B50" s="9" t="n">
        <v>0.0286</v>
      </c>
      <c r="C50" s="10" t="inlineStr">
        <is>
          <t>About</t>
        </is>
      </c>
      <c r="D50" s="8" t="inlineStr">
        <is>
          <t>대규모 개편 이후의 카카오톡 광고상품 변화</t>
        </is>
      </c>
      <c r="E50" s="9" t="n">
        <v>0.0204</v>
      </c>
      <c r="F50" s="10" t="inlineStr">
        <is>
          <t>Media</t>
        </is>
      </c>
      <c r="G50" s="8" t="inlineStr">
        <is>
          <t>라로슈포제 더마코스메틱</t>
        </is>
      </c>
      <c r="H50" s="9" t="n">
        <v>0.0323</v>
      </c>
      <c r="I50" s="10" t="inlineStr">
        <is>
          <t>Trend</t>
        </is>
      </c>
      <c r="J50" s="8" t="inlineStr">
        <is>
          <t>타불라 간식 이벤트</t>
        </is>
      </c>
      <c r="K50" s="9" t="n">
        <v>0.0109</v>
      </c>
      <c r="L50" s="10" t="inlineStr">
        <is>
          <t>Media</t>
        </is>
      </c>
      <c r="M50" s="8" t="inlineStr">
        <is>
          <t>네이버 스페셜 da 9:16</t>
        </is>
      </c>
      <c r="N50" s="9" t="n">
        <v>0.0175</v>
      </c>
      <c r="O50" s="10" t="n"/>
      <c r="P50" s="8" t="inlineStr">
        <is>
          <t>네이버 advoost 광고소재</t>
        </is>
      </c>
      <c r="Q50" s="9" t="n">
        <v>0.0833</v>
      </c>
      <c r="R50" s="10" t="inlineStr">
        <is>
          <t>Media</t>
        </is>
      </c>
      <c r="S50" s="8" t="inlineStr">
        <is>
          <t>타블라광고</t>
        </is>
      </c>
      <c r="T50" s="9" t="n">
        <v>0.0357</v>
      </c>
      <c r="U50" s="10" t="inlineStr">
        <is>
          <t>Media</t>
        </is>
      </c>
    </row>
    <row r="51" ht="15.75" customHeight="1" s="1">
      <c r="A51" s="8" t="inlineStr">
        <is>
          <t>케이스티파이 케릭터상품이 예전만못하고 디자인도 상품도없다</t>
        </is>
      </c>
      <c r="B51" s="9" t="n">
        <v>0.0286</v>
      </c>
      <c r="C51" s="10" t="inlineStr">
        <is>
          <t>Trend</t>
        </is>
      </c>
      <c r="D51" s="8" t="inlineStr">
        <is>
          <t>모비엠</t>
        </is>
      </c>
      <c r="E51" s="9" t="n">
        <v>0.0204</v>
      </c>
      <c r="F51" s="10" t="inlineStr">
        <is>
          <t>About</t>
        </is>
      </c>
      <c r="G51" s="8" t="inlineStr">
        <is>
          <t>앰플리튜드 event</t>
        </is>
      </c>
      <c r="H51" s="9" t="n">
        <v>0.0323</v>
      </c>
      <c r="I51" s="10" t="inlineStr">
        <is>
          <t>Data</t>
        </is>
      </c>
      <c r="J51" s="8" t="inlineStr">
        <is>
          <t>타불라코리아</t>
        </is>
      </c>
      <c r="K51" s="9" t="n">
        <v>0.0109</v>
      </c>
      <c r="L51" s="10" t="inlineStr">
        <is>
          <t>Media</t>
        </is>
      </c>
      <c r="M51" s="8" t="inlineStr">
        <is>
          <t>챌린저스 앱</t>
        </is>
      </c>
      <c r="N51" s="9" t="n">
        <v>0.0175</v>
      </c>
      <c r="O51" s="10" t="inlineStr">
        <is>
          <t>About</t>
        </is>
      </c>
      <c r="P51" s="8" t="inlineStr">
        <is>
          <t>로스트 웬디스</t>
        </is>
      </c>
      <c r="Q51" s="9" t="n">
        <v>0.0833</v>
      </c>
      <c r="R51" s="10" t="inlineStr">
        <is>
          <t>Trend</t>
        </is>
      </c>
      <c r="S51" s="8" t="inlineStr">
        <is>
          <t>컬리n마트 보고서</t>
        </is>
      </c>
      <c r="T51" s="9" t="n">
        <v>0.07140000000000001</v>
      </c>
      <c r="U51" s="10" t="inlineStr">
        <is>
          <t>Trend</t>
        </is>
      </c>
    </row>
    <row r="52" ht="15.75" customHeight="1" s="1">
      <c r="A52" s="8" t="inlineStr">
        <is>
          <t>타불라 광고</t>
        </is>
      </c>
      <c r="B52" s="9" t="n">
        <v>0.0286</v>
      </c>
      <c r="C52" s="10" t="inlineStr">
        <is>
          <t>Media</t>
        </is>
      </c>
      <c r="D52" s="8" t="inlineStr">
        <is>
          <t>왕사남 촬영실록 노션</t>
        </is>
      </c>
      <c r="E52" s="9" t="n">
        <v>0.0204</v>
      </c>
      <c r="F52" s="10" t="inlineStr">
        <is>
          <t>Trend</t>
        </is>
      </c>
      <c r="G52" s="8" t="inlineStr">
        <is>
          <t>타불라</t>
        </is>
      </c>
      <c r="H52" s="9" t="n">
        <v>0.0645</v>
      </c>
      <c r="I52" s="10" t="inlineStr">
        <is>
          <t>Media</t>
        </is>
      </c>
      <c r="J52" s="8" t="inlineStr">
        <is>
          <t>앰플리튜드 세그먼트 차트</t>
        </is>
      </c>
      <c r="K52" s="9" t="n">
        <v>0.0109</v>
      </c>
      <c r="L52" s="10" t="inlineStr">
        <is>
          <t>Data</t>
        </is>
      </c>
      <c r="M52" s="8" t="inlineStr">
        <is>
          <t>타불라</t>
        </is>
      </c>
      <c r="N52" s="9" t="n">
        <v>0.0175</v>
      </c>
      <c r="O52" s="10" t="inlineStr">
        <is>
          <t>Media</t>
        </is>
      </c>
      <c r="P52" s="11" t="n"/>
      <c r="Q52" s="13" t="n"/>
      <c r="R52" s="10" t="n"/>
      <c r="S52" s="11" t="n"/>
      <c r="T52" s="13" t="n"/>
      <c r="U52" s="10" t="n"/>
    </row>
    <row r="53" ht="15.75" customHeight="1" s="1">
      <c r="A53" s="8" t="inlineStr">
        <is>
          <t>타불라코리아</t>
        </is>
      </c>
      <c r="B53" s="9" t="n">
        <v>0.0286</v>
      </c>
      <c r="C53" s="10" t="inlineStr">
        <is>
          <t>Media</t>
        </is>
      </c>
      <c r="D53" s="8" t="inlineStr">
        <is>
          <t>타불라 광고</t>
        </is>
      </c>
      <c r="E53" s="9" t="n">
        <v>0.0204</v>
      </c>
      <c r="F53" s="10" t="inlineStr">
        <is>
          <t>Media</t>
        </is>
      </c>
      <c r="G53" s="8" t="inlineStr">
        <is>
          <t>타블라광고</t>
        </is>
      </c>
      <c r="H53" s="9" t="n">
        <v>0.0323</v>
      </c>
      <c r="I53" s="10" t="inlineStr">
        <is>
          <t>Media</t>
        </is>
      </c>
      <c r="J53" s="8" t="inlineStr">
        <is>
          <t>타불라</t>
        </is>
      </c>
      <c r="K53" s="9" t="n">
        <v>0.0109</v>
      </c>
      <c r="L53" s="10" t="inlineStr">
        <is>
          <t>Media</t>
        </is>
      </c>
      <c r="M53" s="8" t="inlineStr">
        <is>
          <t>하이네켄 캠페인</t>
        </is>
      </c>
      <c r="N53" s="9" t="n">
        <v>0.0175</v>
      </c>
      <c r="O53" s="10" t="inlineStr">
        <is>
          <t>Trend</t>
        </is>
      </c>
      <c r="P53" s="11" t="n"/>
      <c r="Q53" s="13" t="n"/>
      <c r="R53" s="10" t="n"/>
      <c r="S53" s="11" t="n"/>
      <c r="T53" s="13" t="n"/>
      <c r="U53" s="10" t="n"/>
    </row>
    <row r="54" ht="15.75" customHeight="1" s="1">
      <c r="A54" s="8" t="inlineStr">
        <is>
          <t>타블라 광고</t>
        </is>
      </c>
      <c r="B54" s="9" t="n">
        <v>0.0286</v>
      </c>
      <c r="C54" s="10" t="inlineStr">
        <is>
          <t>Media</t>
        </is>
      </c>
      <c r="D54" s="8" t="inlineStr">
        <is>
          <t>토스애즈</t>
        </is>
      </c>
      <c r="E54" s="9" t="n">
        <v>0.0204</v>
      </c>
      <c r="F54" s="10" t="inlineStr">
        <is>
          <t>Media</t>
        </is>
      </c>
      <c r="G54" s="8" t="inlineStr">
        <is>
          <t>터블공식몰</t>
        </is>
      </c>
      <c r="H54" s="9" t="n">
        <v>0.0323</v>
      </c>
      <c r="I54" s="10" t="inlineStr">
        <is>
          <t>About</t>
        </is>
      </c>
      <c r="J54" s="8" t="inlineStr">
        <is>
          <t>카카오톡 비즈보드 광고</t>
        </is>
      </c>
      <c r="K54" s="9" t="n">
        <v>0.0109</v>
      </c>
      <c r="L54" s="10" t="inlineStr">
        <is>
          <t>Media</t>
        </is>
      </c>
      <c r="M54" s="8" t="inlineStr">
        <is>
          <t>디엠씨미디어 광고팀</t>
        </is>
      </c>
      <c r="N54" s="9" t="n">
        <v>0.0175</v>
      </c>
      <c r="O54" s="10" t="inlineStr">
        <is>
          <t>About</t>
        </is>
      </c>
      <c r="P54" s="11" t="n"/>
      <c r="Q54" s="13" t="n"/>
      <c r="R54" s="10" t="n"/>
      <c r="S54" s="11" t="n"/>
      <c r="T54" s="13" t="n"/>
      <c r="U54" s="10" t="n"/>
    </row>
    <row r="55" ht="15.75" customHeight="1" s="1">
      <c r="A55" s="8" t="inlineStr">
        <is>
          <t>하이네켄</t>
        </is>
      </c>
      <c r="B55" s="9" t="n">
        <v>0.0286</v>
      </c>
      <c r="C55" s="10" t="inlineStr">
        <is>
          <t>Trend</t>
        </is>
      </c>
      <c r="D55" s="8" t="inlineStr">
        <is>
          <t>타불라 광고</t>
        </is>
      </c>
      <c r="E55" s="9" t="n">
        <v>0.0408</v>
      </c>
      <c r="F55" s="10" t="inlineStr">
        <is>
          <t>Media</t>
        </is>
      </c>
      <c r="G55" s="11" t="n"/>
      <c r="H55" s="13" t="n"/>
      <c r="I55" s="10" t="n"/>
      <c r="J55" s="11" t="n"/>
      <c r="K55" s="13" t="n"/>
      <c r="L55" s="10" t="n"/>
      <c r="M55" s="11" t="n"/>
      <c r="N55" s="13" t="n"/>
      <c r="O55" s="10" t="n"/>
      <c r="P55" s="11" t="n"/>
      <c r="Q55" s="13" t="n"/>
      <c r="R55" s="10" t="n"/>
      <c r="S55" s="11" t="n"/>
      <c r="T55" s="13" t="n"/>
      <c r="U55" s="10" t="n"/>
    </row>
    <row r="56" ht="15.75" customHeight="1" s="1">
      <c r="A56" s="8" t="inlineStr">
        <is>
          <t>타불라</t>
        </is>
      </c>
      <c r="B56" s="9" t="n">
        <v>0.0857</v>
      </c>
      <c r="C56" s="10" t="inlineStr">
        <is>
          <t>Media</t>
        </is>
      </c>
      <c r="D56" s="8" t="inlineStr">
        <is>
          <t>디엠씨미디어</t>
        </is>
      </c>
      <c r="E56" s="9" t="n">
        <v>0.0204</v>
      </c>
      <c r="F56" s="10" t="inlineStr">
        <is>
          <t>About</t>
        </is>
      </c>
      <c r="G56" s="11" t="n"/>
      <c r="H56" s="13" t="n"/>
      <c r="I56" s="10" t="n"/>
      <c r="J56" s="11" t="n"/>
      <c r="K56" s="13" t="n"/>
      <c r="L56" s="10" t="n"/>
      <c r="M56" s="11" t="n"/>
      <c r="N56" s="13" t="n"/>
      <c r="O56" s="10" t="n"/>
      <c r="P56" s="11" t="n"/>
      <c r="Q56" s="13" t="n"/>
      <c r="R56" s="10" t="n"/>
      <c r="S56" s="11" t="n"/>
      <c r="T56" s="13" t="n"/>
      <c r="U56" s="10" t="n"/>
    </row>
    <row r="57" ht="15.75" customHeight="1" s="1">
      <c r="A57" s="8" t="inlineStr">
        <is>
          <t>디엠씨미디어</t>
        </is>
      </c>
      <c r="B57" s="9" t="n">
        <v>0.0286</v>
      </c>
      <c r="C57" s="10" t="inlineStr">
        <is>
          <t>About</t>
        </is>
      </c>
      <c r="D57" s="8" t="inlineStr">
        <is>
          <t>카카오톡 채널 요일별 메시지 전략 알려주세요</t>
        </is>
      </c>
      <c r="E57" s="9" t="n">
        <v>0.0204</v>
      </c>
      <c r="F57" s="10" t="inlineStr">
        <is>
          <t>Media</t>
        </is>
      </c>
      <c r="G57" s="11" t="n"/>
      <c r="H57" s="13" t="n"/>
      <c r="I57" s="10" t="n"/>
      <c r="J57" s="11" t="n"/>
      <c r="K57" s="13" t="n"/>
      <c r="L57" s="10" t="n"/>
      <c r="M57" s="11" t="n"/>
      <c r="N57" s="13" t="n"/>
      <c r="O57" s="10" t="n"/>
      <c r="P57" s="11" t="n"/>
      <c r="Q57" s="13" t="n"/>
      <c r="R57" s="10" t="n"/>
      <c r="S57" s="11" t="n"/>
      <c r="T57" s="13" t="n"/>
      <c r="U57" s="10" t="n"/>
    </row>
    <row r="58" ht="15.75" customHeight="1" s="1">
      <c r="A58" s="8" t="inlineStr">
        <is>
          <t>디프레임</t>
        </is>
      </c>
      <c r="B58" s="9" t="n">
        <v>0.0286</v>
      </c>
      <c r="C58" s="10" t="inlineStr">
        <is>
          <t>About</t>
        </is>
      </c>
      <c r="D58" s="8" t="inlineStr">
        <is>
          <t>타불라</t>
        </is>
      </c>
      <c r="E58" s="9" t="n">
        <v>0.0204</v>
      </c>
      <c r="F58" s="10" t="inlineStr">
        <is>
          <t>Media</t>
        </is>
      </c>
      <c r="G58" s="11" t="n"/>
      <c r="H58" s="13" t="n"/>
      <c r="I58" s="10" t="n"/>
      <c r="J58" s="11" t="n"/>
      <c r="K58" s="13" t="n"/>
      <c r="L58" s="10" t="n"/>
      <c r="M58" s="11" t="n"/>
      <c r="N58" s="13" t="n"/>
      <c r="O58" s="10" t="n"/>
      <c r="P58" s="11" t="n"/>
      <c r="Q58" s="13" t="n"/>
      <c r="R58" s="10" t="n"/>
      <c r="S58" s="11" t="n"/>
      <c r="T58" s="13" t="n"/>
      <c r="U58" s="10" t="n"/>
    </row>
    <row r="59" ht="15.75" customHeight="1" s="1">
      <c r="A59" s="8" t="inlineStr">
        <is>
          <t>버티컬 매체 추천</t>
        </is>
      </c>
      <c r="B59" s="9" t="n">
        <v>0.0286</v>
      </c>
      <c r="C59" s="10" t="inlineStr">
        <is>
          <t>Media</t>
        </is>
      </c>
      <c r="D59" s="8" t="inlineStr">
        <is>
          <t>타불라 신청</t>
        </is>
      </c>
      <c r="E59" s="9" t="n">
        <v>0.0204</v>
      </c>
      <c r="F59" s="10" t="inlineStr">
        <is>
          <t>Media</t>
        </is>
      </c>
      <c r="G59" s="11" t="n"/>
      <c r="H59" s="13" t="n"/>
      <c r="I59" s="10" t="n"/>
      <c r="J59" s="11" t="n"/>
      <c r="K59" s="13" t="n"/>
      <c r="L59" s="10" t="n"/>
      <c r="M59" s="11" t="n"/>
      <c r="N59" s="13" t="n"/>
      <c r="O59" s="10" t="n"/>
      <c r="P59" s="11" t="n"/>
      <c r="Q59" s="13" t="n"/>
      <c r="R59" s="10" t="n"/>
      <c r="S59" s="11" t="n"/>
      <c r="T59" s="13" t="n"/>
      <c r="U59" s="10" t="n"/>
    </row>
    <row r="60" ht="15.75" customHeight="1" s="1">
      <c r="A60" s="8" t="inlineStr">
        <is>
          <t>스플래시 매체 엠넷플러스</t>
        </is>
      </c>
      <c r="B60" s="9" t="n">
        <v>0.0286</v>
      </c>
      <c r="C60" s="10" t="inlineStr">
        <is>
          <t>Media</t>
        </is>
      </c>
      <c r="D60" s="8" t="inlineStr">
        <is>
          <t>하이네켄</t>
        </is>
      </c>
      <c r="E60" s="9" t="n">
        <v>0.0204</v>
      </c>
      <c r="F60" s="10" t="inlineStr">
        <is>
          <t>Trend</t>
        </is>
      </c>
      <c r="G60" s="11" t="n"/>
      <c r="H60" s="13" t="n"/>
      <c r="I60" s="10" t="n"/>
      <c r="J60" s="11" t="n"/>
      <c r="K60" s="13" t="n"/>
      <c r="L60" s="10" t="n"/>
      <c r="M60" s="11" t="n"/>
      <c r="N60" s="13" t="n"/>
      <c r="O60" s="10" t="n"/>
      <c r="P60" s="11" t="n"/>
      <c r="Q60" s="13" t="n"/>
      <c r="R60" s="10" t="n"/>
      <c r="S60" s="11" t="n"/>
      <c r="T60" s="13" t="n"/>
      <c r="U60" s="10" t="n"/>
    </row>
    <row r="61" ht="15.75" customHeight="1" s="1">
      <c r="A61" s="8" t="inlineStr">
        <is>
          <t>네이버 쇼핑 선물하기</t>
        </is>
      </c>
      <c r="B61" s="9" t="n">
        <v>0.0286</v>
      </c>
      <c r="C61" s="10" t="inlineStr">
        <is>
          <t>Media</t>
        </is>
      </c>
      <c r="D61" s="8" t="inlineStr">
        <is>
          <t>중저가브랜드의류</t>
        </is>
      </c>
      <c r="E61" s="9" t="n">
        <v>0.0204</v>
      </c>
      <c r="F61" s="10" t="inlineStr">
        <is>
          <t>Trend</t>
        </is>
      </c>
      <c r="G61" s="11" t="n"/>
      <c r="H61" s="13" t="n"/>
      <c r="I61" s="10" t="n"/>
      <c r="J61" s="11" t="n"/>
      <c r="K61" s="13" t="n"/>
      <c r="L61" s="10" t="n"/>
      <c r="M61" s="11" t="n"/>
      <c r="N61" s="13" t="n"/>
      <c r="O61" s="10" t="n"/>
      <c r="P61" s="11" t="n"/>
      <c r="Q61" s="13" t="n"/>
      <c r="R61" s="10" t="n"/>
      <c r="S61" s="11" t="n"/>
      <c r="T61" s="13" t="n"/>
      <c r="U61" s="10" t="n"/>
    </row>
    <row r="62" ht="15.75" customHeight="1" s="1">
      <c r="A62" s="11" t="n"/>
      <c r="B62" s="13" t="n"/>
      <c r="C62" s="10" t="n"/>
      <c r="D62" s="11" t="n"/>
      <c r="E62" s="13" t="n"/>
      <c r="F62" s="10" t="n"/>
      <c r="G62" s="11" t="n"/>
      <c r="H62" s="13" t="n"/>
      <c r="I62" s="10" t="n"/>
      <c r="J62" s="11" t="n"/>
      <c r="K62" s="13" t="n"/>
      <c r="L62" s="10" t="n"/>
      <c r="M62" s="11" t="n"/>
      <c r="N62" s="13" t="n"/>
      <c r="O62" s="10" t="n"/>
      <c r="P62" s="11" t="n"/>
      <c r="Q62" s="13" t="n"/>
      <c r="R62" s="10" t="n"/>
      <c r="S62" s="11" t="n"/>
      <c r="T62" s="13" t="n"/>
      <c r="U62" s="10" t="n"/>
    </row>
    <row r="63" ht="15.75" customHeight="1" s="1">
      <c r="A63" s="11" t="n"/>
      <c r="B63" s="13" t="n"/>
      <c r="C63" s="10" t="n"/>
      <c r="D63" s="11" t="n"/>
      <c r="E63" s="13" t="n"/>
      <c r="F63" s="10" t="n"/>
      <c r="G63" s="11" t="n"/>
      <c r="H63" s="13" t="n"/>
      <c r="I63" s="10" t="n"/>
      <c r="J63" s="11" t="n"/>
      <c r="K63" s="13" t="n"/>
      <c r="L63" s="10" t="n"/>
      <c r="M63" s="11" t="n"/>
      <c r="N63" s="13" t="n"/>
      <c r="O63" s="10" t="n"/>
      <c r="P63" s="11" t="n"/>
      <c r="Q63" s="13" t="n"/>
      <c r="R63" s="10" t="n"/>
      <c r="S63" s="11" t="n"/>
      <c r="T63" s="13" t="n"/>
      <c r="U63" s="10" t="n"/>
    </row>
    <row r="64" ht="15.75" customHeight="1" s="1">
      <c r="A64" s="11" t="n"/>
      <c r="B64" s="13" t="n"/>
      <c r="C64" s="10" t="n"/>
      <c r="D64" s="11" t="n"/>
      <c r="E64" s="13" t="n"/>
      <c r="F64" s="10" t="n"/>
      <c r="G64" s="11" t="n"/>
      <c r="H64" s="13" t="n"/>
      <c r="I64" s="10" t="n"/>
      <c r="J64" s="11" t="n"/>
      <c r="K64" s="13" t="n"/>
      <c r="L64" s="10" t="n"/>
      <c r="M64" s="11" t="n"/>
      <c r="N64" s="13" t="n"/>
      <c r="O64" s="10" t="n"/>
      <c r="P64" s="11" t="n"/>
      <c r="Q64" s="13" t="n"/>
      <c r="R64" s="10" t="n"/>
      <c r="S64" s="11" t="n"/>
      <c r="T64" s="13" t="n"/>
      <c r="U64" s="10" t="n"/>
    </row>
    <row r="65" ht="15.75" customHeight="1" s="1">
      <c r="A65" s="14" t="n"/>
      <c r="B65" s="15" t="n"/>
      <c r="C65" s="16" t="n"/>
      <c r="D65" s="14" t="n"/>
      <c r="E65" s="15" t="n"/>
      <c r="F65" s="16" t="n"/>
      <c r="G65" s="14" t="n"/>
      <c r="H65" s="15" t="n"/>
      <c r="I65" s="16" t="n"/>
      <c r="J65" s="14" t="n"/>
      <c r="K65" s="15" t="n"/>
      <c r="L65" s="16" t="n"/>
      <c r="M65" s="14" t="n"/>
      <c r="N65" s="15" t="n"/>
      <c r="O65" s="16" t="n"/>
      <c r="P65" s="14" t="n"/>
      <c r="Q65" s="15" t="n"/>
      <c r="R65" s="16" t="n"/>
      <c r="S65" s="14" t="n"/>
      <c r="T65" s="15" t="n"/>
      <c r="U65" s="16" t="n"/>
    </row>
    <row r="66" ht="15.75" customHeight="1" s="1">
      <c r="A66" s="5">
        <f>IF(22&lt;=DAY(EOMONTH(DATE(2026,$B$1,1),0)),$B$1&amp;"월 22일","")</f>
        <v/>
      </c>
      <c r="B66" s="6" t="n"/>
      <c r="C66" s="7" t="n"/>
      <c r="D66" s="5">
        <f>IF(23&lt;=DAY(EOMONTH(DATE(2026,$B$1,1),0)),$B$1&amp;"월 23일","")</f>
        <v/>
      </c>
      <c r="E66" s="6" t="n"/>
      <c r="F66" s="7" t="n"/>
      <c r="G66" s="5">
        <f>IF(24&lt;=DAY(EOMONTH(DATE(2026,$B$1,1),0)),$B$1&amp;"월 24일","")</f>
        <v/>
      </c>
      <c r="H66" s="6" t="n"/>
      <c r="I66" s="7" t="n"/>
      <c r="J66" s="5">
        <f>IF(25&lt;=DAY(EOMONTH(DATE(2026,$B$1,1),0)),$B$1&amp;"월 25일","")</f>
        <v/>
      </c>
      <c r="K66" s="6" t="n"/>
      <c r="L66" s="7" t="n"/>
      <c r="M66" s="5">
        <f>IF(26&lt;=DAY(EOMONTH(DATE(2026,$B$1,1),0)),$B$1&amp;"월 26일","")</f>
        <v/>
      </c>
      <c r="N66" s="6" t="n"/>
      <c r="O66" s="7" t="n"/>
      <c r="P66" s="5">
        <f>IF(27&lt;=DAY(EOMONTH(DATE(2026,$B$1,1),0)),$B$1&amp;"월 27일","")</f>
        <v/>
      </c>
      <c r="Q66" s="6" t="n"/>
      <c r="R66" s="7" t="n"/>
      <c r="S66" s="5">
        <f>IF(28&lt;=DAY(EOMONTH(DATE(2026,$B$1,1),0)),$B$1&amp;"월 28일","")</f>
        <v/>
      </c>
      <c r="T66" s="6" t="n"/>
      <c r="U66" s="7" t="n"/>
    </row>
    <row r="67" ht="15.75" customHeight="1" s="1">
      <c r="A67" s="11" t="inlineStr">
        <is>
          <t>amplitude MTU</t>
        </is>
      </c>
      <c r="B67" s="9" t="n">
        <v>0.0345</v>
      </c>
      <c r="C67" s="10" t="inlineStr">
        <is>
          <t>Data</t>
        </is>
      </c>
      <c r="D67" s="8" t="inlineStr">
        <is>
          <t>리테일 미디어 뜻</t>
        </is>
      </c>
      <c r="E67" s="9" t="n">
        <v>0.0638</v>
      </c>
      <c r="F67" s="10" t="inlineStr">
        <is>
          <t>Media</t>
        </is>
      </c>
      <c r="G67" s="8" t="inlineStr">
        <is>
          <t>더마 코스메틱 브랜드</t>
        </is>
      </c>
      <c r="H67" s="9" t="n">
        <v>0.0588</v>
      </c>
      <c r="I67" s="10" t="inlineStr">
        <is>
          <t>Trend</t>
        </is>
      </c>
      <c r="J67" s="11" t="inlineStr">
        <is>
          <t>nosp 부킹 일정</t>
        </is>
      </c>
      <c r="K67" s="9" t="n">
        <v>0.009599999999999999</v>
      </c>
      <c r="L67" s="10" t="inlineStr">
        <is>
          <t>About</t>
        </is>
      </c>
      <c r="M67" s="8" t="inlineStr">
        <is>
          <t>코카콜라 월드컵</t>
        </is>
      </c>
      <c r="N67" s="9" t="n">
        <v>0.1429</v>
      </c>
      <c r="O67" s="10" t="inlineStr">
        <is>
          <t>Trend</t>
        </is>
      </c>
      <c r="P67" s="8" t="inlineStr">
        <is>
          <t>더마코스메틱 화장품</t>
        </is>
      </c>
      <c r="Q67" s="9" t="n">
        <v>0.2308</v>
      </c>
      <c r="R67" s="10" t="inlineStr">
        <is>
          <t>Trend</t>
        </is>
      </c>
      <c r="S67" s="8" t="inlineStr">
        <is>
          <t>코카콜라 월드컵</t>
        </is>
      </c>
      <c r="T67" s="9" t="n">
        <v>0.0533</v>
      </c>
      <c r="U67" s="10" t="inlineStr">
        <is>
          <t>Trend</t>
        </is>
      </c>
    </row>
    <row r="68" ht="15.75" customHeight="1" s="1">
      <c r="A68" s="8" t="inlineStr">
        <is>
          <t>더마코스메틱 화장품</t>
        </is>
      </c>
      <c r="B68" s="9" t="n">
        <v>0.0345</v>
      </c>
      <c r="C68" s="10" t="inlineStr">
        <is>
          <t>Trend</t>
        </is>
      </c>
      <c r="D68" s="8" t="inlineStr">
        <is>
          <t>디엠씨미디어</t>
        </is>
      </c>
      <c r="E68" s="9" t="n">
        <v>0.0426</v>
      </c>
      <c r="F68" s="10" t="inlineStr">
        <is>
          <t>About</t>
        </is>
      </c>
      <c r="G68" s="8" t="inlineStr">
        <is>
          <t>디엠씨미디어</t>
        </is>
      </c>
      <c r="H68" s="9" t="n">
        <v>0.0294</v>
      </c>
      <c r="I68" s="10" t="inlineStr">
        <is>
          <t>About</t>
        </is>
      </c>
      <c r="J68" s="8" t="inlineStr">
        <is>
          <t>광고 cpt</t>
        </is>
      </c>
      <c r="K68" s="9" t="n">
        <v>0.009599999999999999</v>
      </c>
      <c r="L68" s="10" t="inlineStr">
        <is>
          <t>Media</t>
        </is>
      </c>
      <c r="M68" s="11" t="inlineStr">
        <is>
          <t>20대 여성 인기 초저가 의류 플랫폼 추천해 주세요</t>
        </is>
      </c>
      <c r="N68" s="9" t="n">
        <v>0.0286</v>
      </c>
      <c r="O68" s="10" t="inlineStr">
        <is>
          <t>Trend</t>
        </is>
      </c>
      <c r="P68" s="11" t="inlineStr">
        <is>
          <t>taboola</t>
        </is>
      </c>
      <c r="Q68" s="9" t="n">
        <v>0.0769</v>
      </c>
      <c r="R68" s="10" t="inlineStr">
        <is>
          <t>Media</t>
        </is>
      </c>
      <c r="S68" s="8" t="inlineStr">
        <is>
          <t>더마코스메틱 화장품</t>
        </is>
      </c>
      <c r="T68" s="12" t="n">
        <v>0.04</v>
      </c>
      <c r="U68" s="10" t="inlineStr">
        <is>
          <t>Trend</t>
        </is>
      </c>
    </row>
    <row r="69" ht="15.75" customHeight="1" s="1">
      <c r="A69" s="8" t="inlineStr">
        <is>
          <t>스페셜da 9:16</t>
        </is>
      </c>
      <c r="B69" s="9" t="n">
        <v>0.0345</v>
      </c>
      <c r="C69" s="10" t="inlineStr">
        <is>
          <t>About</t>
        </is>
      </c>
      <c r="D69" s="11" t="inlineStr">
        <is>
          <t>dmc미디어</t>
        </is>
      </c>
      <c r="E69" s="9" t="n">
        <v>0.0213</v>
      </c>
      <c r="F69" s="10" t="inlineStr">
        <is>
          <t>About</t>
        </is>
      </c>
      <c r="G69" s="8" t="inlineStr">
        <is>
          <t>디엠씨미디어 이준희</t>
        </is>
      </c>
      <c r="H69" s="9" t="n">
        <v>0.0294</v>
      </c>
      <c r="I69" s="10" t="inlineStr">
        <is>
          <t>About</t>
        </is>
      </c>
      <c r="J69" s="8" t="inlineStr">
        <is>
          <t>타불라 광고</t>
        </is>
      </c>
      <c r="K69" s="9" t="n">
        <v>0.009599999999999999</v>
      </c>
      <c r="L69" s="10" t="inlineStr">
        <is>
          <t>Media</t>
        </is>
      </c>
      <c r="M69" s="11" t="inlineStr">
        <is>
          <t>dmc미디어</t>
        </is>
      </c>
      <c r="N69" s="9" t="n">
        <v>0.0286</v>
      </c>
      <c r="O69" s="10" t="inlineStr">
        <is>
          <t>About</t>
        </is>
      </c>
      <c r="P69" s="8" t="inlineStr">
        <is>
          <t>구글 디맨드젠 신규 기능</t>
        </is>
      </c>
      <c r="Q69" s="9" t="n">
        <v>0.0769</v>
      </c>
      <c r="R69" s="10" t="inlineStr">
        <is>
          <t>About</t>
        </is>
      </c>
      <c r="S69" s="8" t="inlineStr">
        <is>
          <t>타불라</t>
        </is>
      </c>
      <c r="T69" s="12" t="n">
        <v>0.04</v>
      </c>
      <c r="U69" s="10" t="inlineStr">
        <is>
          <t>Media</t>
        </is>
      </c>
    </row>
    <row r="70" ht="15.75" customHeight="1" s="1">
      <c r="A70" s="8" t="inlineStr">
        <is>
          <t>타불라 광고</t>
        </is>
      </c>
      <c r="B70" s="9" t="n">
        <v>0.0345</v>
      </c>
      <c r="C70" s="10" t="inlineStr">
        <is>
          <t>Media</t>
        </is>
      </c>
      <c r="D70" s="8" t="inlineStr">
        <is>
          <t>네이버 메인화면 6월 dmc미디어</t>
        </is>
      </c>
      <c r="E70" s="9" t="n">
        <v>0.0213</v>
      </c>
      <c r="F70" s="10" t="inlineStr">
        <is>
          <t>About</t>
        </is>
      </c>
      <c r="G70" s="8" t="inlineStr">
        <is>
          <t>쇼박스 노션</t>
        </is>
      </c>
      <c r="H70" s="9" t="n">
        <v>0.0294</v>
      </c>
      <c r="I70" s="10" t="inlineStr">
        <is>
          <t>Trend</t>
        </is>
      </c>
      <c r="J70" s="8" t="inlineStr">
        <is>
          <t>네이버 검색광고 업종별 cvr</t>
        </is>
      </c>
      <c r="K70" s="9" t="n">
        <v>0.009599999999999999</v>
      </c>
      <c r="L70" s="10" t="inlineStr">
        <is>
          <t>Media</t>
        </is>
      </c>
      <c r="M70" s="8" t="inlineStr">
        <is>
          <t>더마코스메틱 화장품</t>
        </is>
      </c>
      <c r="N70" s="9" t="n">
        <v>0.0286</v>
      </c>
      <c r="O70" s="10" t="inlineStr">
        <is>
          <t>Trend</t>
        </is>
      </c>
      <c r="P70" s="8" t="inlineStr">
        <is>
          <t>롯데 칸초광고</t>
        </is>
      </c>
      <c r="Q70" s="9" t="n">
        <v>0.0769</v>
      </c>
      <c r="R70" s="10" t="inlineStr">
        <is>
          <t>Trend</t>
        </is>
      </c>
      <c r="S70" s="8" t="inlineStr">
        <is>
          <t>월드컵 코카콜라</t>
        </is>
      </c>
      <c r="T70" s="9" t="n">
        <v>0.0133</v>
      </c>
      <c r="U70" s="10" t="inlineStr">
        <is>
          <t>Trend</t>
        </is>
      </c>
    </row>
    <row r="71" ht="15.75" customHeight="1" s="1">
      <c r="A71" s="8" t="inlineStr">
        <is>
          <t>구글 pmax</t>
        </is>
      </c>
      <c r="B71" s="9" t="n">
        <v>0.0345</v>
      </c>
      <c r="C71" s="10" t="inlineStr">
        <is>
          <t>About</t>
        </is>
      </c>
      <c r="D71" s="8" t="inlineStr">
        <is>
          <t>네이버대행사 dmc</t>
        </is>
      </c>
      <c r="E71" s="9" t="n">
        <v>0.0213</v>
      </c>
      <c r="F71" s="10" t="inlineStr">
        <is>
          <t>Media</t>
        </is>
      </c>
      <c r="G71" s="8" t="inlineStr">
        <is>
          <t>이인성 박사</t>
        </is>
      </c>
      <c r="H71" s="9" t="n">
        <v>0.0294</v>
      </c>
      <c r="I71" s="10" t="inlineStr">
        <is>
          <t>About</t>
        </is>
      </c>
      <c r="J71" s="8" t="inlineStr">
        <is>
          <t>디엠씨미디어</t>
        </is>
      </c>
      <c r="K71" s="9" t="n">
        <v>0.009599999999999999</v>
      </c>
      <c r="L71" s="10" t="inlineStr">
        <is>
          <t>About</t>
        </is>
      </c>
      <c r="M71" s="8" t="inlineStr">
        <is>
          <t>디엠씨</t>
        </is>
      </c>
      <c r="N71" s="9" t="n">
        <v>0.0286</v>
      </c>
      <c r="O71" s="10" t="inlineStr">
        <is>
          <t>About</t>
        </is>
      </c>
      <c r="P71" s="8" t="inlineStr">
        <is>
          <t>월드컵 코카콜라</t>
        </is>
      </c>
      <c r="Q71" s="9" t="n">
        <v>0.0769</v>
      </c>
      <c r="R71" s="10" t="inlineStr">
        <is>
          <t>Trend</t>
        </is>
      </c>
      <c r="S71" s="8" t="inlineStr">
        <is>
          <t>코카콜라 축구선수 스티커</t>
        </is>
      </c>
      <c r="T71" s="9" t="n">
        <v>0.0133</v>
      </c>
      <c r="U71" s="10" t="inlineStr">
        <is>
          <t>Trend</t>
        </is>
      </c>
    </row>
    <row r="72" ht="15.75" customHeight="1" s="1">
      <c r="A72" s="8" t="inlineStr">
        <is>
          <t>더마코스메틱 화장품</t>
        </is>
      </c>
      <c r="B72" s="9" t="n">
        <v>0.0345</v>
      </c>
      <c r="C72" s="10" t="inlineStr">
        <is>
          <t>Trend</t>
        </is>
      </c>
      <c r="D72" s="8" t="inlineStr">
        <is>
          <t>라로슈포제 플루이드</t>
        </is>
      </c>
      <c r="E72" s="9" t="n">
        <v>0.0213</v>
      </c>
      <c r="F72" s="10" t="inlineStr">
        <is>
          <t>Trend</t>
        </is>
      </c>
      <c r="G72" s="8" t="inlineStr">
        <is>
          <t>타불라</t>
        </is>
      </c>
      <c r="H72" s="9" t="n">
        <v>0.0294</v>
      </c>
      <c r="I72" s="10" t="inlineStr">
        <is>
          <t>Media</t>
        </is>
      </c>
      <c r="J72" s="8" t="inlineStr">
        <is>
          <t>디엠씨미디어</t>
        </is>
      </c>
      <c r="K72" s="9" t="n">
        <v>0.009599999999999999</v>
      </c>
      <c r="L72" s="10" t="inlineStr">
        <is>
          <t>About</t>
        </is>
      </c>
      <c r="M72" s="8" t="inlineStr">
        <is>
          <t>탸불라</t>
        </is>
      </c>
      <c r="N72" s="9" t="n">
        <v>0.0286</v>
      </c>
      <c r="O72" s="10" t="inlineStr">
        <is>
          <t>Media</t>
        </is>
      </c>
      <c r="P72" s="8" t="inlineStr">
        <is>
          <t>월드컵 코카콜라 광고</t>
        </is>
      </c>
      <c r="Q72" s="9" t="n">
        <v>0.0769</v>
      </c>
      <c r="R72" s="10" t="inlineStr">
        <is>
          <t>Trend</t>
        </is>
      </c>
      <c r="S72" s="11" t="inlineStr">
        <is>
          <t>Mnet Plus 광고 상품</t>
        </is>
      </c>
      <c r="T72" s="9" t="n">
        <v>0.0133</v>
      </c>
      <c r="U72" s="10" t="inlineStr">
        <is>
          <t>Media</t>
        </is>
      </c>
    </row>
    <row r="73" ht="15.75" customHeight="1" s="1">
      <c r="A73" s="11" t="n"/>
      <c r="B73" s="13" t="n"/>
      <c r="C73" s="10" t="n"/>
      <c r="D73" s="8" t="inlineStr">
        <is>
          <t>카카오톡 낚시 메시지 예시를 알려주세요</t>
        </is>
      </c>
      <c r="E73" s="9" t="n">
        <v>0.0213</v>
      </c>
      <c r="F73" s="10" t="inlineStr">
        <is>
          <t>Media</t>
        </is>
      </c>
      <c r="G73" s="8" t="inlineStr">
        <is>
          <t>타불라 광고영역</t>
        </is>
      </c>
      <c r="H73" s="9" t="n">
        <v>0.0294</v>
      </c>
      <c r="I73" s="10" t="inlineStr">
        <is>
          <t>Media</t>
        </is>
      </c>
      <c r="J73" s="11" t="n"/>
      <c r="K73" s="13" t="n"/>
      <c r="L73" s="10" t="n"/>
      <c r="M73" s="11" t="inlineStr">
        <is>
          <t>SAIO</t>
        </is>
      </c>
      <c r="N73" s="9" t="n">
        <v>0.0286</v>
      </c>
      <c r="O73" s="10" t="inlineStr">
        <is>
          <t>About</t>
        </is>
      </c>
      <c r="P73" s="8" t="inlineStr">
        <is>
          <t>카카오톡 6-1008번 채널 정체 알려주세요</t>
        </is>
      </c>
      <c r="Q73" s="9" t="n">
        <v>0.0769</v>
      </c>
      <c r="R73" s="10" t="inlineStr">
        <is>
          <t>Media</t>
        </is>
      </c>
      <c r="S73" s="8" t="inlineStr">
        <is>
          <t>더마코스메틱 화장품</t>
        </is>
      </c>
      <c r="T73" s="9" t="n">
        <v>0.0133</v>
      </c>
      <c r="U73" s="10" t="inlineStr">
        <is>
          <t>Trend</t>
        </is>
      </c>
    </row>
    <row r="74" ht="15.75" customHeight="1" s="1">
      <c r="A74" s="11" t="n"/>
      <c r="B74" s="13" t="n"/>
      <c r="C74" s="10" t="n"/>
      <c r="D74" s="8" t="inlineStr">
        <is>
          <t>타불라</t>
        </is>
      </c>
      <c r="E74" s="9" t="n">
        <v>0.0213</v>
      </c>
      <c r="F74" s="10" t="inlineStr">
        <is>
          <t>Media</t>
        </is>
      </c>
      <c r="G74" s="8" t="inlineStr">
        <is>
          <t>타불라코리아</t>
        </is>
      </c>
      <c r="H74" s="9" t="n">
        <v>0.0294</v>
      </c>
      <c r="I74" s="10" t="inlineStr">
        <is>
          <t>Media</t>
        </is>
      </c>
      <c r="J74" s="11" t="n"/>
      <c r="K74" s="13" t="n"/>
      <c r="L74" s="10" t="n"/>
      <c r="M74" s="8" t="inlineStr">
        <is>
          <t>가전 구매 리포트</t>
        </is>
      </c>
      <c r="N74" s="9" t="n">
        <v>0.0286</v>
      </c>
      <c r="O74" s="10" t="inlineStr">
        <is>
          <t>Trend</t>
        </is>
      </c>
      <c r="P74" s="8" t="inlineStr">
        <is>
          <t>코카콜라 월드컵</t>
        </is>
      </c>
      <c r="Q74" s="9" t="n">
        <v>0.0769</v>
      </c>
      <c r="R74" s="10" t="inlineStr">
        <is>
          <t>Trend</t>
        </is>
      </c>
      <c r="S74" s="8" t="inlineStr">
        <is>
          <t>온드미디어</t>
        </is>
      </c>
      <c r="T74" s="9" t="n">
        <v>0.0133</v>
      </c>
      <c r="U74" s="10" t="inlineStr">
        <is>
          <t>Media</t>
        </is>
      </c>
    </row>
    <row r="75" ht="15.75" customHeight="1" s="1">
      <c r="A75" s="11" t="n"/>
      <c r="B75" s="13" t="n"/>
      <c r="C75" s="10" t="n"/>
      <c r="D75" s="8" t="inlineStr">
        <is>
          <t>타블라광고</t>
        </is>
      </c>
      <c r="E75" s="9" t="n">
        <v>0.0213</v>
      </c>
      <c r="F75" s="10" t="inlineStr">
        <is>
          <t>Media</t>
        </is>
      </c>
      <c r="G75" s="8" t="inlineStr">
        <is>
          <t>토스애즈 광고</t>
        </is>
      </c>
      <c r="H75" s="9" t="n">
        <v>0.0294</v>
      </c>
      <c r="I75" s="10" t="inlineStr">
        <is>
          <t>Media</t>
        </is>
      </c>
      <c r="J75" s="11" t="n"/>
      <c r="K75" s="13" t="n"/>
      <c r="L75" s="10" t="n"/>
      <c r="M75" s="8" t="inlineStr">
        <is>
          <t>더마 코스메틱 브랜드</t>
        </is>
      </c>
      <c r="N75" s="9" t="n">
        <v>0.0286</v>
      </c>
      <c r="O75" s="10" t="inlineStr">
        <is>
          <t>Trend</t>
        </is>
      </c>
      <c r="P75" s="8" t="inlineStr">
        <is>
          <t>코카콜라 축구선수 스티카ㅗ</t>
        </is>
      </c>
      <c r="Q75" s="9" t="n">
        <v>0.0769</v>
      </c>
      <c r="R75" s="10" t="inlineStr">
        <is>
          <t>Trend</t>
        </is>
      </c>
      <c r="S75" s="8" t="inlineStr">
        <is>
          <t>타불라</t>
        </is>
      </c>
      <c r="T75" s="9" t="n">
        <v>0.0133</v>
      </c>
      <c r="U75" s="10" t="inlineStr">
        <is>
          <t>Media</t>
        </is>
      </c>
    </row>
    <row r="76" ht="15.75" customHeight="1" s="1">
      <c r="A76" s="11" t="n"/>
      <c r="B76" s="13" t="n"/>
      <c r="C76" s="10" t="n"/>
      <c r="D76" s="8" t="inlineStr">
        <is>
          <t>온드미디어</t>
        </is>
      </c>
      <c r="E76" s="9" t="n">
        <v>0.0426</v>
      </c>
      <c r="F76" s="10" t="inlineStr">
        <is>
          <t>Media</t>
        </is>
      </c>
      <c r="G76" s="8" t="inlineStr">
        <is>
          <t>디엠씨미디어</t>
        </is>
      </c>
      <c r="H76" s="9" t="n">
        <v>0.0588</v>
      </c>
      <c r="I76" s="10" t="inlineStr">
        <is>
          <t>About</t>
        </is>
      </c>
      <c r="J76" s="11" t="n"/>
      <c r="K76" s="13" t="n"/>
      <c r="L76" s="10" t="n"/>
      <c r="M76" s="8" t="inlineStr">
        <is>
          <t>디엠씨미디어 소셜미디어 이용행태</t>
        </is>
      </c>
      <c r="N76" s="9" t="n">
        <v>0.0286</v>
      </c>
      <c r="O76" s="10" t="inlineStr">
        <is>
          <t>Trend</t>
        </is>
      </c>
      <c r="P76" s="11" t="n"/>
      <c r="Q76" s="13" t="n"/>
      <c r="R76" s="10" t="n"/>
      <c r="S76" s="11" t="n"/>
      <c r="T76" s="13" t="n"/>
      <c r="U76" s="10" t="n"/>
    </row>
    <row r="77" ht="15.75" customHeight="1" s="1">
      <c r="A77" s="11" t="n"/>
      <c r="B77" s="13" t="n"/>
      <c r="C77" s="10" t="n"/>
      <c r="D77" s="8" t="inlineStr">
        <is>
          <t>타불라</t>
        </is>
      </c>
      <c r="E77" s="9" t="n">
        <v>0.0426</v>
      </c>
      <c r="F77" s="10" t="inlineStr">
        <is>
          <t>Media</t>
        </is>
      </c>
      <c r="G77" s="8" t="inlineStr">
        <is>
          <t>타불라</t>
        </is>
      </c>
      <c r="H77" s="9" t="n">
        <v>0.0588</v>
      </c>
      <c r="I77" s="10" t="inlineStr">
        <is>
          <t>Media</t>
        </is>
      </c>
      <c r="J77" s="11" t="n"/>
      <c r="K77" s="13" t="n"/>
      <c r="L77" s="10" t="n"/>
      <c r="M77" s="8" t="inlineStr">
        <is>
          <t>코카콜라 월드컵</t>
        </is>
      </c>
      <c r="N77" s="9" t="n">
        <v>0.0286</v>
      </c>
      <c r="O77" s="10" t="inlineStr">
        <is>
          <t>Trend</t>
        </is>
      </c>
      <c r="P77" s="11" t="n"/>
      <c r="Q77" s="13" t="n"/>
      <c r="R77" s="10" t="n"/>
      <c r="S77" s="11" t="n"/>
      <c r="T77" s="13" t="n"/>
      <c r="U77" s="10" t="n"/>
    </row>
    <row r="78" ht="15.75" customHeight="1" s="1">
      <c r="A78" s="11" t="n"/>
      <c r="B78" s="13" t="n"/>
      <c r="C78" s="10" t="n"/>
      <c r="D78" s="11" t="inlineStr">
        <is>
          <t>d.saio</t>
        </is>
      </c>
      <c r="E78" s="9" t="n">
        <v>0.0213</v>
      </c>
      <c r="F78" s="10" t="inlineStr">
        <is>
          <t>About</t>
        </is>
      </c>
      <c r="G78" s="8" t="inlineStr">
        <is>
          <t>더마코스메틱 화장품</t>
        </is>
      </c>
      <c r="H78" s="9" t="n">
        <v>0.0294</v>
      </c>
      <c r="I78" s="10" t="inlineStr">
        <is>
          <t>Trend</t>
        </is>
      </c>
      <c r="J78" s="11" t="n"/>
      <c r="K78" s="13" t="n"/>
      <c r="L78" s="10" t="n"/>
      <c r="M78" s="8" t="inlineStr">
        <is>
          <t>코카콜라 월드컵 스티커</t>
        </is>
      </c>
      <c r="N78" s="9" t="n">
        <v>0.0286</v>
      </c>
      <c r="O78" s="10" t="inlineStr">
        <is>
          <t>Trend</t>
        </is>
      </c>
      <c r="P78" s="11" t="n"/>
      <c r="Q78" s="13" t="n"/>
      <c r="R78" s="10" t="n"/>
      <c r="S78" s="11" t="n"/>
      <c r="T78" s="13" t="n"/>
      <c r="U78" s="10" t="n"/>
    </row>
    <row r="79" ht="15.75" customHeight="1" s="1">
      <c r="A79" s="11" t="n"/>
      <c r="B79" s="13" t="n"/>
      <c r="C79" s="10" t="n"/>
      <c r="D79" s="8" t="inlineStr">
        <is>
          <t>더마 코스메틱 브랜드</t>
        </is>
      </c>
      <c r="E79" s="9" t="n">
        <v>0.0213</v>
      </c>
      <c r="F79" s="10" t="inlineStr">
        <is>
          <t>Trend</t>
        </is>
      </c>
      <c r="G79" s="8" t="inlineStr">
        <is>
          <t>타불라 광고</t>
        </is>
      </c>
      <c r="H79" s="9" t="n">
        <v>0.0294</v>
      </c>
      <c r="I79" s="10" t="inlineStr">
        <is>
          <t>Media</t>
        </is>
      </c>
      <c r="J79" s="11" t="n"/>
      <c r="K79" s="13" t="n"/>
      <c r="L79" s="10" t="n"/>
      <c r="M79" s="8" t="inlineStr">
        <is>
          <t>토스애즈</t>
        </is>
      </c>
      <c r="N79" s="9" t="n">
        <v>0.0286</v>
      </c>
      <c r="O79" s="10" t="inlineStr">
        <is>
          <t>Media</t>
        </is>
      </c>
      <c r="P79" s="11" t="n"/>
      <c r="Q79" s="13" t="n"/>
      <c r="R79" s="10" t="n"/>
      <c r="S79" s="11" t="n"/>
      <c r="T79" s="13" t="n"/>
      <c r="U79" s="10" t="n"/>
    </row>
    <row r="80" ht="15.75" customHeight="1" s="1">
      <c r="A80" s="11" t="n"/>
      <c r="B80" s="13" t="n"/>
      <c r="C80" s="10" t="n"/>
      <c r="D80" s="8" t="inlineStr">
        <is>
          <t>왕과사는 남자 노션</t>
        </is>
      </c>
      <c r="E80" s="9" t="n">
        <v>0.0213</v>
      </c>
      <c r="F80" s="10" t="inlineStr">
        <is>
          <t>Trend</t>
        </is>
      </c>
      <c r="G80" s="8" t="inlineStr">
        <is>
          <t>토스애드</t>
        </is>
      </c>
      <c r="H80" s="9" t="n">
        <v>0.0294</v>
      </c>
      <c r="I80" s="10" t="inlineStr">
        <is>
          <t>Media</t>
        </is>
      </c>
      <c r="J80" s="11" t="n"/>
      <c r="K80" s="13" t="n"/>
      <c r="L80" s="10" t="n"/>
      <c r="M80" s="8" t="inlineStr">
        <is>
          <t>디엠씨미디어</t>
        </is>
      </c>
      <c r="N80" s="9" t="n">
        <v>0.0286</v>
      </c>
      <c r="O80" s="10" t="inlineStr">
        <is>
          <t>About</t>
        </is>
      </c>
      <c r="P80" s="11" t="n"/>
      <c r="Q80" s="13" t="n"/>
      <c r="R80" s="10" t="n"/>
      <c r="S80" s="11" t="n"/>
      <c r="T80" s="13" t="n"/>
      <c r="U80" s="10" t="n"/>
    </row>
    <row r="81" ht="15.75" customHeight="1" s="1">
      <c r="A81" s="11" t="n"/>
      <c r="B81" s="13" t="n"/>
      <c r="C81" s="10" t="n"/>
      <c r="D81" s="8" t="inlineStr">
        <is>
          <t>웬즈데이 웬디스</t>
        </is>
      </c>
      <c r="E81" s="9" t="n">
        <v>0.0213</v>
      </c>
      <c r="F81" s="10" t="inlineStr">
        <is>
          <t>Trend</t>
        </is>
      </c>
      <c r="G81" s="8" t="inlineStr">
        <is>
          <t>헌혈 아이돌 앨범</t>
        </is>
      </c>
      <c r="H81" s="9" t="n">
        <v>0.0294</v>
      </c>
      <c r="I81" s="10" t="inlineStr">
        <is>
          <t>Trend</t>
        </is>
      </c>
      <c r="J81" s="11" t="n"/>
      <c r="K81" s="13" t="n"/>
      <c r="L81" s="10" t="n"/>
      <c r="M81" s="8" t="inlineStr">
        <is>
          <t>파니니 월드컵 스티커</t>
        </is>
      </c>
      <c r="N81" s="9" t="n">
        <v>0.0286</v>
      </c>
      <c r="O81" s="10" t="inlineStr">
        <is>
          <t>Trend</t>
        </is>
      </c>
      <c r="P81" s="11" t="n"/>
      <c r="Q81" s="13" t="n"/>
      <c r="R81" s="10" t="n"/>
      <c r="S81" s="11" t="n"/>
      <c r="T81" s="13" t="n"/>
      <c r="U81" s="10" t="n"/>
    </row>
    <row r="82" ht="15.75" customHeight="1" s="1">
      <c r="A82" s="11" t="n"/>
      <c r="B82" s="13" t="n"/>
      <c r="C82" s="10" t="n"/>
      <c r="D82" s="8" t="inlineStr">
        <is>
          <t>타불라 광고</t>
        </is>
      </c>
      <c r="E82" s="9" t="n">
        <v>0.0213</v>
      </c>
      <c r="F82" s="10" t="inlineStr">
        <is>
          <t>Media</t>
        </is>
      </c>
      <c r="G82" s="11" t="n"/>
      <c r="H82" s="13" t="n"/>
      <c r="I82" s="10" t="n"/>
      <c r="J82" s="11" t="n"/>
      <c r="K82" s="13" t="n"/>
      <c r="L82" s="10" t="n"/>
      <c r="M82" s="8" t="inlineStr">
        <is>
          <t>파니니 월드컵 스티커</t>
        </is>
      </c>
      <c r="N82" s="9" t="n">
        <v>0.0286</v>
      </c>
      <c r="O82" s="10" t="inlineStr">
        <is>
          <t>Trend</t>
        </is>
      </c>
      <c r="P82" s="11" t="n"/>
      <c r="Q82" s="13" t="n"/>
      <c r="R82" s="10" t="n"/>
      <c r="S82" s="11" t="n"/>
      <c r="T82" s="13" t="n"/>
      <c r="U82" s="10" t="n"/>
    </row>
    <row r="83" ht="15.75" customHeight="1" s="1">
      <c r="A83" s="11" t="n"/>
      <c r="B83" s="13" t="n"/>
      <c r="C83" s="10" t="n"/>
      <c r="D83" s="8" t="inlineStr">
        <is>
          <t>하이네켄 캠페인</t>
        </is>
      </c>
      <c r="E83" s="9" t="n">
        <v>0.0213</v>
      </c>
      <c r="F83" s="10" t="inlineStr">
        <is>
          <t>Trend</t>
        </is>
      </c>
      <c r="G83" s="11" t="n"/>
      <c r="H83" s="13" t="n"/>
      <c r="I83" s="10" t="n"/>
      <c r="J83" s="11" t="n"/>
      <c r="K83" s="13" t="n"/>
      <c r="L83" s="10" t="n"/>
      <c r="M83" s="8" t="inlineStr">
        <is>
          <t>그사람이 바로 나에요</t>
        </is>
      </c>
      <c r="N83" s="9" t="n">
        <v>0.0286</v>
      </c>
      <c r="O83" s="10" t="n"/>
      <c r="P83" s="11" t="n"/>
      <c r="Q83" s="13" t="n"/>
      <c r="R83" s="10" t="n"/>
      <c r="S83" s="11" t="n"/>
      <c r="T83" s="13" t="n"/>
      <c r="U83" s="10" t="n"/>
    </row>
    <row r="84" ht="15.75" customHeight="1" s="1">
      <c r="A84" s="11" t="n"/>
      <c r="B84" s="13" t="n"/>
      <c r="C84" s="10" t="n"/>
      <c r="D84" s="11" t="inlineStr">
        <is>
          <t>Taboola AI</t>
        </is>
      </c>
      <c r="E84" s="9" t="n">
        <v>0.0213</v>
      </c>
      <c r="F84" s="10" t="inlineStr">
        <is>
          <t>Media</t>
        </is>
      </c>
      <c r="G84" s="11" t="n"/>
      <c r="H84" s="13" t="n"/>
      <c r="I84" s="10" t="n"/>
      <c r="J84" s="11" t="n"/>
      <c r="K84" s="13" t="n"/>
      <c r="L84" s="10" t="n"/>
      <c r="M84" s="11" t="n"/>
      <c r="N84" s="13" t="n"/>
      <c r="O84" s="10" t="n"/>
      <c r="P84" s="11" t="n"/>
      <c r="Q84" s="13" t="n"/>
      <c r="R84" s="10" t="n"/>
      <c r="S84" s="11" t="n"/>
      <c r="T84" s="13" t="n"/>
      <c r="U84" s="10" t="n"/>
    </row>
    <row r="85" ht="15.75" customHeight="1" s="1">
      <c r="A85" s="11" t="n"/>
      <c r="B85" s="13" t="n"/>
      <c r="C85" s="10" t="n"/>
      <c r="D85" s="11" t="inlineStr">
        <is>
          <t>Taboola realize 오픈웹</t>
        </is>
      </c>
      <c r="E85" s="9" t="n">
        <v>0.0213</v>
      </c>
      <c r="F85" s="10" t="inlineStr">
        <is>
          <t>Media</t>
        </is>
      </c>
      <c r="G85" s="11" t="n"/>
      <c r="H85" s="13" t="n"/>
      <c r="I85" s="10" t="n"/>
      <c r="J85" s="11" t="n"/>
      <c r="K85" s="13" t="n"/>
      <c r="L85" s="10" t="n"/>
      <c r="M85" s="11" t="n"/>
      <c r="N85" s="13" t="n"/>
      <c r="O85" s="10" t="n"/>
      <c r="P85" s="11" t="n"/>
      <c r="Q85" s="13" t="n"/>
      <c r="R85" s="10" t="n"/>
      <c r="S85" s="11" t="n"/>
      <c r="T85" s="13" t="n"/>
      <c r="U85" s="10" t="n"/>
    </row>
    <row r="86" ht="15.75" customHeight="1" s="1">
      <c r="A86" s="17" t="n"/>
      <c r="B86" s="18" t="n"/>
      <c r="C86" s="19" t="n"/>
      <c r="D86" s="32" t="inlineStr">
        <is>
          <t>타불라 이벤트</t>
        </is>
      </c>
      <c r="E86" s="20" t="n">
        <v>0.0213</v>
      </c>
      <c r="F86" s="19" t="inlineStr">
        <is>
          <t>Media</t>
        </is>
      </c>
      <c r="G86" s="17" t="n"/>
      <c r="H86" s="18" t="n"/>
      <c r="I86" s="19" t="n"/>
      <c r="J86" s="17" t="n"/>
      <c r="K86" s="18" t="n"/>
      <c r="L86" s="19" t="n"/>
      <c r="M86" s="17" t="n"/>
      <c r="N86" s="18" t="n"/>
      <c r="O86" s="19" t="n"/>
      <c r="P86" s="17" t="n"/>
      <c r="Q86" s="18" t="n"/>
      <c r="R86" s="19" t="n"/>
      <c r="S86" s="17" t="n"/>
      <c r="T86" s="18" t="n"/>
      <c r="U86" s="19" t="n"/>
    </row>
    <row r="87" ht="15.75" customHeight="1" s="1">
      <c r="A87" s="14" t="n"/>
      <c r="B87" s="15" t="n"/>
      <c r="C87" s="16" t="n"/>
      <c r="D87" s="14" t="n"/>
      <c r="E87" s="15" t="n"/>
      <c r="F87" s="16" t="n"/>
      <c r="G87" s="14" t="n"/>
      <c r="H87" s="15" t="n"/>
      <c r="I87" s="16" t="n"/>
      <c r="J87" s="14" t="n"/>
      <c r="K87" s="15" t="n"/>
      <c r="L87" s="16" t="n"/>
      <c r="M87" s="14" t="n"/>
      <c r="N87" s="15" t="n"/>
      <c r="O87" s="16" t="n"/>
      <c r="P87" s="14" t="n"/>
      <c r="Q87" s="15" t="n"/>
      <c r="R87" s="16" t="n"/>
      <c r="S87" s="14" t="n"/>
      <c r="T87" s="15" t="n"/>
      <c r="U87" s="16" t="n"/>
    </row>
    <row r="88" ht="15.75" customHeight="1" s="1">
      <c r="A88" s="5">
        <f>IF(29&lt;=DAY(EOMONTH(DATE(2026,$B$1,1),0)),$B$1&amp;"월 29일","")</f>
        <v/>
      </c>
      <c r="B88" s="6" t="n"/>
      <c r="C88" s="7" t="n"/>
      <c r="D88" s="5">
        <f>IF(30&lt;=DAY(EOMONTH(DATE(2026,$B$1,1),0)),$B$1&amp;"월 30일","")</f>
        <v/>
      </c>
      <c r="E88" s="6" t="n"/>
      <c r="F88" s="7" t="n"/>
      <c r="G88" s="5">
        <f>IF(31&lt;=DAY(EOMONTH(DATE(2026,$B$1,1),0)),$B$1&amp;"월 31일","")</f>
        <v/>
      </c>
      <c r="H88" s="6" t="n"/>
      <c r="I88" s="7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</row>
    <row r="89" ht="15.75" customHeight="1" s="1">
      <c r="A89" s="11" t="inlineStr">
        <is>
          <t>NDA 광고 과금방식</t>
        </is>
      </c>
      <c r="B89" s="9" t="n">
        <v>0.0227</v>
      </c>
      <c r="C89" s="10" t="inlineStr">
        <is>
          <t>About</t>
        </is>
      </c>
      <c r="D89" s="11" t="inlineStr">
        <is>
          <t>TOSS ADS</t>
        </is>
      </c>
      <c r="E89" s="9" t="n">
        <v>0.008399999999999999</v>
      </c>
      <c r="F89" s="10" t="inlineStr">
        <is>
          <t>Media</t>
        </is>
      </c>
      <c r="G89" s="11" t="n"/>
      <c r="H89" s="13" t="n"/>
      <c r="I89" s="10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 ht="15.75" customHeight="1" s="1">
      <c r="A90" s="11" t="inlineStr">
        <is>
          <t>dmc미디어 geo</t>
        </is>
      </c>
      <c r="B90" s="9" t="n">
        <v>0.0227</v>
      </c>
      <c r="C90" s="10" t="inlineStr">
        <is>
          <t>About</t>
        </is>
      </c>
      <c r="D90" s="11" t="inlineStr">
        <is>
          <t>dmc미디어</t>
        </is>
      </c>
      <c r="E90" s="9" t="n">
        <v>0.008399999999999999</v>
      </c>
      <c r="F90" s="10" t="inlineStr">
        <is>
          <t>About</t>
        </is>
      </c>
      <c r="G90" s="11" t="n"/>
      <c r="H90" s="13" t="n"/>
      <c r="I90" s="10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</row>
    <row r="91" ht="15.75" customHeight="1" s="1">
      <c r="A91" s="8" t="inlineStr">
        <is>
          <t>네이버 검색 프로모션 에스파</t>
        </is>
      </c>
      <c r="B91" s="9" t="n">
        <v>0.0227</v>
      </c>
      <c r="C91" s="10" t="inlineStr">
        <is>
          <t>Trend</t>
        </is>
      </c>
      <c r="D91" s="8" t="inlineStr">
        <is>
          <t>더마코스메틱 대상</t>
        </is>
      </c>
      <c r="E91" s="9" t="n">
        <v>0.008399999999999999</v>
      </c>
      <c r="F91" s="10" t="inlineStr">
        <is>
          <t>Trend</t>
        </is>
      </c>
      <c r="G91" s="11" t="n"/>
      <c r="H91" s="13" t="n"/>
      <c r="I91" s="10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</row>
    <row r="92" ht="15.75" customHeight="1" s="1">
      <c r="A92" s="8" t="inlineStr">
        <is>
          <t>네이티브 광고</t>
        </is>
      </c>
      <c r="B92" s="9" t="n">
        <v>0.0227</v>
      </c>
      <c r="C92" s="10" t="inlineStr">
        <is>
          <t>Media</t>
        </is>
      </c>
      <c r="D92" s="8" t="inlineStr">
        <is>
          <t>디엠씨미디어</t>
        </is>
      </c>
      <c r="E92" s="9" t="n">
        <v>0.008399999999999999</v>
      </c>
      <c r="F92" s="10" t="inlineStr">
        <is>
          <t>About</t>
        </is>
      </c>
      <c r="G92" s="11" t="n"/>
      <c r="H92" s="13" t="n"/>
      <c r="I92" s="10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</row>
    <row r="93" ht="15.75" customHeight="1" s="1">
      <c r="A93" s="8" t="inlineStr">
        <is>
          <t>식품업계에서 모디슈머를 활용한 마케팅 방법은?</t>
        </is>
      </c>
      <c r="B93" s="9" t="n">
        <v>0.0227</v>
      </c>
      <c r="C93" s="10" t="inlineStr">
        <is>
          <t>Trend</t>
        </is>
      </c>
      <c r="D93" s="8" t="inlineStr">
        <is>
          <t>월드컵 마케팅</t>
        </is>
      </c>
      <c r="E93" s="9" t="n">
        <v>0.008399999999999999</v>
      </c>
      <c r="F93" s="10" t="inlineStr">
        <is>
          <t>Trend</t>
        </is>
      </c>
      <c r="G93" s="11" t="n"/>
      <c r="H93" s="13" t="n"/>
      <c r="I93" s="10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</row>
    <row r="94" ht="15.75" customHeight="1" s="1">
      <c r="A94" s="8" t="inlineStr">
        <is>
          <t>월드컵 코카콜라</t>
        </is>
      </c>
      <c r="B94" s="9" t="n">
        <v>0.0227</v>
      </c>
      <c r="C94" s="10" t="inlineStr">
        <is>
          <t>Trend</t>
        </is>
      </c>
      <c r="D94" s="8" t="inlineStr">
        <is>
          <t>창립기념일 이벤트 벤치마킹</t>
        </is>
      </c>
      <c r="E94" s="9" t="n">
        <v>0.008399999999999999</v>
      </c>
      <c r="F94" s="10" t="inlineStr">
        <is>
          <t>People</t>
        </is>
      </c>
      <c r="G94" s="11" t="n"/>
      <c r="H94" s="13" t="n"/>
      <c r="I94" s="10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</row>
    <row r="95" ht="15.75" customHeight="1" s="1">
      <c r="A95" s="8" t="inlineStr">
        <is>
          <t>유튜브 마스트헤드 최신 가이드</t>
        </is>
      </c>
      <c r="B95" s="9" t="n">
        <v>0.0227</v>
      </c>
      <c r="C95" s="10" t="inlineStr">
        <is>
          <t>About</t>
        </is>
      </c>
      <c r="D95" s="8" t="inlineStr">
        <is>
          <t>창립기념일 현수막</t>
        </is>
      </c>
      <c r="E95" s="9" t="n">
        <v>0.008399999999999999</v>
      </c>
      <c r="F95" s="10" t="inlineStr">
        <is>
          <t>People</t>
        </is>
      </c>
      <c r="G95" s="11" t="n"/>
      <c r="H95" s="13" t="n"/>
      <c r="I95" s="10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</row>
    <row r="96" ht="15.75" customHeight="1" s="1">
      <c r="A96" s="8" t="inlineStr">
        <is>
          <t>카카오톡 채널톡 문의사항 종류별로</t>
        </is>
      </c>
      <c r="B96" s="9" t="n">
        <v>0.0227</v>
      </c>
      <c r="C96" s="10" t="inlineStr">
        <is>
          <t>Media</t>
        </is>
      </c>
      <c r="D96" s="8" t="inlineStr">
        <is>
          <t>타불라</t>
        </is>
      </c>
      <c r="E96" s="9" t="n">
        <v>0.008399999999999999</v>
      </c>
      <c r="F96" s="10" t="inlineStr">
        <is>
          <t>Media</t>
        </is>
      </c>
      <c r="G96" s="11" t="n"/>
      <c r="H96" s="13" t="n"/>
      <c r="I96" s="10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</row>
    <row r="97" ht="15.75" customHeight="1" s="1">
      <c r="A97" s="8" t="inlineStr">
        <is>
          <t>타불라</t>
        </is>
      </c>
      <c r="B97" s="9" t="n">
        <v>0.0227</v>
      </c>
      <c r="C97" s="10" t="inlineStr">
        <is>
          <t>Media</t>
        </is>
      </c>
      <c r="D97" s="8" t="inlineStr">
        <is>
          <t>타불라 광고</t>
        </is>
      </c>
      <c r="E97" s="9" t="n">
        <v>0.008399999999999999</v>
      </c>
      <c r="F97" s="10" t="inlineStr">
        <is>
          <t>Media</t>
        </is>
      </c>
      <c r="G97" s="11" t="n"/>
      <c r="H97" s="13" t="n"/>
      <c r="I97" s="10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5.75" customHeight="1" s="1">
      <c r="A98" s="8" t="inlineStr">
        <is>
          <t>롯데 칸초광고</t>
        </is>
      </c>
      <c r="B98" s="9" t="n">
        <v>0.0227</v>
      </c>
      <c r="C98" s="10" t="inlineStr">
        <is>
          <t>Trend</t>
        </is>
      </c>
      <c r="D98" s="8" t="inlineStr">
        <is>
          <t>토스 애즈</t>
        </is>
      </c>
      <c r="E98" s="9" t="n">
        <v>0.008399999999999999</v>
      </c>
      <c r="F98" s="10" t="inlineStr">
        <is>
          <t>Media</t>
        </is>
      </c>
      <c r="G98" s="11" t="n"/>
      <c r="H98" s="13" t="n"/>
      <c r="I98" s="10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</row>
    <row r="99" ht="15.75" customHeight="1" s="1">
      <c r="A99" s="8" t="inlineStr">
        <is>
          <t>왕사남 촬영실록 노션</t>
        </is>
      </c>
      <c r="B99" s="9" t="n">
        <v>0.0227</v>
      </c>
      <c r="C99" s="10" t="inlineStr">
        <is>
          <t>Trend</t>
        </is>
      </c>
      <c r="D99" s="8" t="inlineStr">
        <is>
          <t>토스애즈</t>
        </is>
      </c>
      <c r="E99" s="9" t="n">
        <v>0.008399999999999999</v>
      </c>
      <c r="F99" s="10" t="inlineStr">
        <is>
          <t>Media</t>
        </is>
      </c>
      <c r="G99" s="11" t="n"/>
      <c r="H99" s="13" t="n"/>
      <c r="I99" s="10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</row>
    <row r="100" ht="15.75" customHeight="1" s="1">
      <c r="A100" s="8" t="inlineStr">
        <is>
          <t>유튜브에서 '야호'라는 표현이 자주 쓰이는 맥락은 무엇인가요?</t>
        </is>
      </c>
      <c r="B100" s="9" t="n">
        <v>0.0227</v>
      </c>
      <c r="C100" s="10" t="n"/>
      <c r="D100" s="8" t="inlineStr">
        <is>
          <t>월드컵 파니니 스티커</t>
        </is>
      </c>
      <c r="E100" s="9" t="n">
        <v>0.0168</v>
      </c>
      <c r="F100" s="10" t="inlineStr">
        <is>
          <t>Trend</t>
        </is>
      </c>
      <c r="G100" s="11" t="n"/>
      <c r="H100" s="13" t="n"/>
      <c r="I100" s="10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 ht="15.75" customHeight="1" s="1">
      <c r="A101" s="8" t="inlineStr">
        <is>
          <t>타불라</t>
        </is>
      </c>
      <c r="B101" s="9" t="n">
        <v>0.0227</v>
      </c>
      <c r="C101" s="10" t="inlineStr">
        <is>
          <t>Media</t>
        </is>
      </c>
      <c r="D101" s="8" t="inlineStr">
        <is>
          <t>타불라</t>
        </is>
      </c>
      <c r="E101" s="9" t="n">
        <v>0.0168</v>
      </c>
      <c r="F101" s="10" t="inlineStr">
        <is>
          <t>Media</t>
        </is>
      </c>
      <c r="G101" s="11" t="n"/>
      <c r="H101" s="13" t="n"/>
      <c r="I101" s="10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 ht="15.75" customHeight="1" s="1">
      <c r="A102" s="8" t="inlineStr">
        <is>
          <t>디엠씨미디어</t>
        </is>
      </c>
      <c r="B102" s="9" t="n">
        <v>0.0227</v>
      </c>
      <c r="C102" s="10" t="inlineStr">
        <is>
          <t>About</t>
        </is>
      </c>
      <c r="D102" s="11" t="inlineStr">
        <is>
          <t>2026 월드컵에디션</t>
        </is>
      </c>
      <c r="E102" s="9" t="n">
        <v>0.008399999999999999</v>
      </c>
      <c r="F102" s="10" t="inlineStr">
        <is>
          <t>Trend</t>
        </is>
      </c>
      <c r="G102" s="11" t="n"/>
      <c r="H102" s="13" t="n"/>
      <c r="I102" s="10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</row>
    <row r="103" ht="15.75" customHeight="1" s="1">
      <c r="A103" s="11" t="inlineStr">
        <is>
          <t>10명 중 8명은 숏폼 시청 경험 유튜브</t>
        </is>
      </c>
      <c r="B103" s="9" t="n">
        <v>0.0227</v>
      </c>
      <c r="C103" s="10" t="inlineStr">
        <is>
          <t>Trend</t>
        </is>
      </c>
      <c r="D103" s="11" t="inlineStr">
        <is>
          <t>amplitude 축</t>
        </is>
      </c>
      <c r="E103" s="9" t="n">
        <v>0.008399999999999999</v>
      </c>
      <c r="F103" s="10" t="inlineStr">
        <is>
          <t>Data</t>
        </is>
      </c>
      <c r="G103" s="11" t="n"/>
      <c r="H103" s="13" t="n"/>
      <c r="I103" s="10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</row>
    <row r="104" ht="15.75" customHeight="1" s="1">
      <c r="A104" s="11" t="n"/>
      <c r="B104" s="13" t="n"/>
      <c r="C104" s="10" t="n"/>
      <c r="D104" s="8" t="inlineStr">
        <is>
          <t>더마코스메틱 화장품</t>
        </is>
      </c>
      <c r="E104" s="9" t="n">
        <v>0.008399999999999999</v>
      </c>
      <c r="F104" s="10" t="inlineStr">
        <is>
          <t>Trend</t>
        </is>
      </c>
      <c r="G104" s="11" t="n"/>
      <c r="H104" s="13" t="n"/>
      <c r="I104" s="10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</row>
    <row r="105" ht="15.75" customHeight="1" s="1">
      <c r="A105" s="11" t="n"/>
      <c r="B105" s="13" t="n"/>
      <c r="C105" s="10" t="n"/>
      <c r="D105" s="8" t="inlineStr">
        <is>
          <t>쇼박스 왕사남 촬영 실록</t>
        </is>
      </c>
      <c r="E105" s="9" t="n">
        <v>0.008399999999999999</v>
      </c>
      <c r="F105" s="10" t="inlineStr">
        <is>
          <t>Trend</t>
        </is>
      </c>
      <c r="G105" s="11" t="n"/>
      <c r="H105" s="13" t="n"/>
      <c r="I105" s="10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</row>
    <row r="106" ht="15.75" customHeight="1" s="1">
      <c r="A106" s="11" t="n"/>
      <c r="B106" s="13" t="n"/>
      <c r="C106" s="10" t="n"/>
      <c r="D106" s="8" t="inlineStr">
        <is>
          <t>월드컵 스티커 콜라</t>
        </is>
      </c>
      <c r="E106" s="9" t="n">
        <v>0.008399999999999999</v>
      </c>
      <c r="F106" s="10" t="inlineStr">
        <is>
          <t>Trend</t>
        </is>
      </c>
      <c r="G106" s="11" t="n"/>
      <c r="H106" s="13" t="n"/>
      <c r="I106" s="10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</row>
    <row r="107" ht="15.75" customHeight="1" s="1">
      <c r="A107" s="11" t="n"/>
      <c r="B107" s="13" t="n"/>
      <c r="C107" s="10" t="n"/>
      <c r="D107" s="8" t="inlineStr">
        <is>
          <t>코카콜라 2026 월드컵</t>
        </is>
      </c>
      <c r="E107" s="9" t="n">
        <v>0.008399999999999999</v>
      </c>
      <c r="F107" s="10" t="inlineStr">
        <is>
          <t>Trend</t>
        </is>
      </c>
      <c r="G107" s="11" t="n"/>
      <c r="H107" s="13" t="n"/>
      <c r="I107" s="10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 ht="15.75" customHeight="1" s="1">
      <c r="A108" s="11" t="n"/>
      <c r="B108" s="13" t="n"/>
      <c r="C108" s="10" t="n"/>
      <c r="D108" s="8" t="inlineStr">
        <is>
          <t>타블라 광고</t>
        </is>
      </c>
      <c r="E108" s="9" t="n">
        <v>0.008399999999999999</v>
      </c>
      <c r="F108" s="10" t="inlineStr">
        <is>
          <t>Media</t>
        </is>
      </c>
      <c r="G108" s="11" t="n"/>
      <c r="H108" s="13" t="n"/>
      <c r="I108" s="10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</row>
    <row r="109" ht="15.75" customHeight="1" s="1">
      <c r="A109" s="14" t="n"/>
      <c r="B109" s="15" t="n"/>
      <c r="C109" s="16" t="n"/>
      <c r="D109" s="14" t="n"/>
      <c r="E109" s="15" t="n"/>
      <c r="F109" s="16" t="n"/>
      <c r="G109" s="14" t="n"/>
      <c r="H109" s="15" t="n"/>
      <c r="I109" s="16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</row>
  </sheetData>
  <mergeCells count="1">
    <mergeCell ref="C1:U1"/>
  </mergeCells>
  <dataValidations count="2">
    <dataValidation sqref="B1" showDropDown="0" showInputMessage="0" showErrorMessage="0" allowBlank="0" type="list">
      <formula1>"1,2,3,4,5,6,7,8,9,10,11,12"</formula1>
      <formula2>0</formula2>
    </dataValidation>
    <dataValidation sqref="C3:C129 F3:F129 I3:I129 L3:L129 O3:O129 R3:R129 U3:U129" showDropDown="0" showInputMessage="0" showErrorMessage="0" allowBlank="1" type="list">
      <formula1>"Trend,Media,About,Data,People"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27"/>
  <sheetViews>
    <sheetView showGridLines="0" zoomScaleNormal="100" workbookViewId="0">
      <selection activeCell="I4" sqref="I4:K4"/>
    </sheetView>
  </sheetViews>
  <sheetFormatPr baseColWidth="8" defaultColWidth="8.6640625" defaultRowHeight="14.4"/>
  <cols>
    <col width="1.5546875" customWidth="1" style="1" min="1" max="1"/>
    <col width="16" customWidth="1" style="1" min="2" max="2"/>
    <col width="12" customWidth="1" style="1" min="3" max="3"/>
    <col width="2.44140625" customWidth="1" style="1" min="4" max="4"/>
    <col width="20" customWidth="1" style="1" min="5" max="5"/>
    <col width="10" customWidth="1" style="1" min="6" max="6"/>
    <col width="4.109375" customWidth="1" style="1" min="7" max="7"/>
    <col width="11.21875" customWidth="1" style="1" min="8" max="8"/>
    <col width="49.5546875" customWidth="1" style="1" min="11" max="11"/>
  </cols>
  <sheetData>
    <row r="1" ht="27.75" customHeight="1" s="1">
      <c r="B1" s="132" t="inlineStr">
        <is>
          <t>6월 데이터</t>
        </is>
      </c>
      <c r="C1" s="150" t="n"/>
      <c r="D1" s="150" t="n"/>
      <c r="E1" s="150" t="n"/>
      <c r="F1" s="150" t="n"/>
      <c r="G1" s="150" t="n"/>
      <c r="H1" s="150" t="n"/>
      <c r="I1" s="124" t="n"/>
      <c r="J1" s="124" t="n"/>
      <c r="K1" s="124" t="n"/>
      <c r="L1" s="124" t="n"/>
    </row>
    <row r="2" ht="19.2" customHeight="1" s="1" thickBot="1"/>
    <row r="3" ht="19.5" customHeight="1" s="1">
      <c r="B3" s="127" t="inlineStr">
        <is>
          <t>월간 방문 분석</t>
        </is>
      </c>
      <c r="C3" s="151" t="n"/>
      <c r="E3" s="127" t="inlineStr">
        <is>
          <t>유입분석</t>
        </is>
      </c>
      <c r="F3" s="151" t="n"/>
      <c r="H3" s="144" t="inlineStr">
        <is>
          <t>순위</t>
        </is>
      </c>
      <c r="I3" s="133" t="inlineStr">
        <is>
          <t>인기게시물 Top 10</t>
        </is>
      </c>
      <c r="J3" s="152" t="n"/>
      <c r="K3" s="152" t="n"/>
      <c r="L3" s="45" t="inlineStr">
        <is>
          <t>조회수</t>
        </is>
      </c>
    </row>
    <row r="4" ht="16.5" customHeight="1" s="1">
      <c r="B4" s="22" t="inlineStr">
        <is>
          <t>조회수</t>
        </is>
      </c>
      <c r="C4" s="33" t="n">
        <v>1686</v>
      </c>
      <c r="E4" s="22" t="inlineStr">
        <is>
          <t>네이버 블로그_PC</t>
        </is>
      </c>
      <c r="F4" s="34" t="n">
        <v>0.3281</v>
      </c>
      <c r="H4" s="30" t="n">
        <v>1</v>
      </c>
      <c r="I4" s="134" t="inlineStr">
        <is>
          <t>격주 DMCian l 때로는 나침반~ 때로는 버팀목~ 바쁘다바빠 디엠씨미디어 리더 사회♬</t>
        </is>
      </c>
      <c r="J4" s="150" t="n"/>
      <c r="K4" s="153" t="n"/>
      <c r="L4" s="48" t="n">
        <v>135</v>
      </c>
    </row>
    <row r="5" ht="16.5" customHeight="1" s="1">
      <c r="B5" s="8" t="inlineStr">
        <is>
          <t>순방문자수</t>
        </is>
      </c>
      <c r="C5" s="25" t="n">
        <v>799</v>
      </c>
      <c r="E5" s="11" t="inlineStr">
        <is>
          <t>gw.dmcmedia.co.kr</t>
        </is>
      </c>
      <c r="F5" s="35" t="n">
        <v>0.2051</v>
      </c>
      <c r="H5" s="31" t="n">
        <v>2</v>
      </c>
      <c r="I5" s="135" t="inlineStr">
        <is>
          <t>격주 DMCian l "성장 야호~" 업무 적응 종료→폭풍 활약 준비가 한창인 디엠씨미디어의 루키들</t>
        </is>
      </c>
      <c r="J5" s="150" t="n"/>
      <c r="K5" s="153" t="n"/>
      <c r="L5" s="49" t="n">
        <v>111</v>
      </c>
    </row>
    <row r="6" ht="16.5" customHeight="1" s="1">
      <c r="B6" s="22" t="inlineStr">
        <is>
          <t>방문횟수</t>
        </is>
      </c>
      <c r="C6" s="33" t="n">
        <v>1089</v>
      </c>
      <c r="E6" s="22" t="inlineStr">
        <is>
          <t>네이버 통합검색_모바일</t>
        </is>
      </c>
      <c r="F6" s="34" t="n">
        <v>0.1499</v>
      </c>
      <c r="H6" s="30" t="n">
        <v>3</v>
      </c>
      <c r="I6" s="136" t="inlineStr">
        <is>
          <t>AI 기술로 진화한 네이티브 광고 플랫폼 '타불라' 핵심 요약</t>
        </is>
      </c>
      <c r="J6" s="150" t="n"/>
      <c r="K6" s="153" t="n"/>
      <c r="L6" s="48" t="n">
        <v>108</v>
      </c>
    </row>
    <row r="7" ht="16.5" customHeight="1" s="1">
      <c r="B7" s="8" t="inlineStr">
        <is>
          <t>재방문율</t>
        </is>
      </c>
      <c r="C7" s="36" t="n">
        <v>0.113</v>
      </c>
      <c r="E7" s="8" t="inlineStr">
        <is>
          <t>네이버 통합검색_PC</t>
        </is>
      </c>
      <c r="F7" s="35" t="n">
        <v>0.1259</v>
      </c>
      <c r="H7" s="31" t="n">
        <v>4</v>
      </c>
      <c r="I7" s="135" t="inlineStr">
        <is>
          <t>디엠씨미디어의 사내 AI 활용 경진대회 'D.match 2026', 본선PT 현장 스케치</t>
        </is>
      </c>
      <c r="J7" s="150" t="n"/>
      <c r="K7" s="153" t="n"/>
      <c r="L7" s="49" t="n">
        <v>90</v>
      </c>
    </row>
    <row r="8" ht="16.5" customHeight="1" s="1" thickBot="1">
      <c r="B8" s="26" t="inlineStr">
        <is>
          <t>평균사용시간</t>
        </is>
      </c>
      <c r="C8" s="27" t="inlineStr">
        <is>
          <t>4m 46s</t>
        </is>
      </c>
      <c r="E8" s="26" t="inlineStr">
        <is>
          <t>네이버 블로그_모바일</t>
        </is>
      </c>
      <c r="F8" s="37" t="n">
        <v>0.0467</v>
      </c>
      <c r="H8" s="30" t="n">
        <v>5</v>
      </c>
      <c r="I8" s="136" t="inlineStr">
        <is>
          <t>디엠씨미디어 창립 24주년 기념행사 현장 스케치</t>
        </is>
      </c>
      <c r="J8" s="150" t="n"/>
      <c r="K8" s="153" t="n"/>
      <c r="L8" s="48" t="n">
        <v>77</v>
      </c>
    </row>
    <row r="9" ht="17.25" customHeight="1" s="1" thickBot="1">
      <c r="H9" s="31" t="n">
        <v>6</v>
      </c>
      <c r="I9" s="135" t="inlineStr">
        <is>
          <t>2040 여성 10명 중 4명이 아는 더마 코스메틱 브랜드, 라로슈포제가 그림자를 홍보대사로 발탁한 이유는?</t>
        </is>
      </c>
      <c r="J9" s="150" t="n"/>
      <c r="K9" s="153" t="n"/>
      <c r="L9" s="49" t="n">
        <v>65</v>
      </c>
    </row>
    <row r="10" ht="19.5" customHeight="1" s="1">
      <c r="B10" s="127" t="inlineStr">
        <is>
          <t>월간조회수 추이</t>
        </is>
      </c>
      <c r="C10" s="151" t="n"/>
      <c r="E10" s="127" t="inlineStr">
        <is>
          <t>기기별 분포</t>
        </is>
      </c>
      <c r="F10" s="151" t="n"/>
      <c r="H10" s="30" t="n">
        <v>7</v>
      </c>
      <c r="I10" s="136" t="inlineStr">
        <is>
          <t>격주 DMCian l 디엠씨미디어가 라디오 프로그램이라면, 이 경력직 3인방은 고정 게스트일거야</t>
        </is>
      </c>
      <c r="J10" s="150" t="n"/>
      <c r="K10" s="153" t="n"/>
      <c r="L10" s="48" t="n">
        <v>35</v>
      </c>
    </row>
    <row r="11" ht="16.5" customHeight="1" s="1">
      <c r="B11" s="24" t="inlineStr">
        <is>
          <t>2026.02</t>
        </is>
      </c>
      <c r="C11" s="33" t="n">
        <v>1267</v>
      </c>
      <c r="E11" s="22" t="inlineStr">
        <is>
          <t>모바일</t>
        </is>
      </c>
      <c r="F11" s="34" t="n">
        <v>0.254</v>
      </c>
      <c r="H11" s="31" t="n">
        <v>7</v>
      </c>
      <c r="I11" s="135" t="inlineStr">
        <is>
          <t>스티커 1개가 만드는 반복구매의 비밀! 2026월드컵 앞둔 코카콜라 마케팅 전략 분석</t>
        </is>
      </c>
      <c r="J11" s="150" t="n"/>
      <c r="K11" s="153" t="n"/>
      <c r="L11" s="50" t="n">
        <v>35</v>
      </c>
    </row>
    <row r="12" ht="18.75" customHeight="1" s="1" thickBot="1">
      <c r="B12" s="11" t="inlineStr">
        <is>
          <t>2026.03</t>
        </is>
      </c>
      <c r="C12" s="38" t="n">
        <v>2216</v>
      </c>
      <c r="E12" s="14" t="inlineStr">
        <is>
          <t>PC</t>
        </is>
      </c>
      <c r="F12" s="39" t="n">
        <v>0.746</v>
      </c>
      <c r="H12" s="30" t="n">
        <v>9</v>
      </c>
      <c r="I12" s="136" t="inlineStr">
        <is>
          <t>디엠씨미디어, ‘디싸이오(D.SaiO)’ 전략 고도화… GEO 측정 체계 강화</t>
        </is>
      </c>
      <c r="J12" s="150" t="n"/>
      <c r="K12" s="153" t="n"/>
      <c r="L12" s="51" t="n">
        <v>31</v>
      </c>
    </row>
    <row r="13" ht="15.75" customHeight="1" s="1" thickBot="1">
      <c r="B13" s="40" t="inlineStr">
        <is>
          <t>2026.04</t>
        </is>
      </c>
      <c r="C13" s="41" t="n">
        <v>1835</v>
      </c>
      <c r="H13" s="52" t="n">
        <v>10</v>
      </c>
      <c r="I13" s="137" t="inlineStr">
        <is>
          <t>격주 DMCian l 스트레스 많이 받을거지만 운동 많이 될 굿파트너, 승진자 그룹인터뷰</t>
        </is>
      </c>
      <c r="J13" s="154" t="n"/>
      <c r="K13" s="155" t="n"/>
      <c r="L13" s="53" t="n">
        <v>25</v>
      </c>
    </row>
    <row r="14" ht="19.5" customHeight="1" s="1">
      <c r="B14" s="42" t="n">
        <v>2026.05</v>
      </c>
      <c r="C14" s="43" t="n">
        <v>1114</v>
      </c>
      <c r="E14" s="127" t="inlineStr">
        <is>
          <t>월간순방문자 추이</t>
        </is>
      </c>
      <c r="F14" s="151" t="n"/>
    </row>
    <row r="15" ht="16.5" customHeight="1" s="1" thickBot="1">
      <c r="B15" s="46" t="n">
        <v>2026.06</v>
      </c>
      <c r="C15" s="47" t="n">
        <v>1686</v>
      </c>
      <c r="E15" s="24" t="inlineStr">
        <is>
          <t>2026.02</t>
        </is>
      </c>
      <c r="F15" s="33" t="n">
        <v>577</v>
      </c>
    </row>
    <row r="16" ht="16.5" customHeight="1" s="1" thickBot="1">
      <c r="E16" s="11" t="inlineStr">
        <is>
          <t>2026.03</t>
        </is>
      </c>
      <c r="F16" s="38" t="n">
        <v>1448</v>
      </c>
    </row>
    <row r="17" ht="16.5" customHeight="1" s="1">
      <c r="B17" s="127" t="inlineStr">
        <is>
          <t>유입 검색어</t>
        </is>
      </c>
      <c r="C17" s="151" t="n"/>
      <c r="E17" s="40" t="inlineStr">
        <is>
          <t>2026.04</t>
        </is>
      </c>
      <c r="F17" s="41" t="n">
        <v>1105</v>
      </c>
    </row>
    <row r="18" ht="16.5" customHeight="1" s="1">
      <c r="B18" s="22" t="inlineStr">
        <is>
          <t>타불라</t>
        </is>
      </c>
      <c r="C18" s="34" t="n">
        <v>0.1217</v>
      </c>
      <c r="E18" s="42" t="n">
        <v>2026.05</v>
      </c>
      <c r="F18" s="43" t="n">
        <v>630</v>
      </c>
    </row>
    <row r="19" ht="16.5" customHeight="1" s="1" thickBot="1">
      <c r="B19" s="8" t="inlineStr">
        <is>
          <t>더마코스메틱 화장품</t>
        </is>
      </c>
      <c r="C19" s="35" t="n">
        <v>0.074</v>
      </c>
      <c r="E19" s="46" t="n">
        <v>2026.06</v>
      </c>
      <c r="F19" s="47" t="n">
        <v>799</v>
      </c>
    </row>
    <row r="20" ht="16.5" customHeight="1" s="1">
      <c r="B20" s="22" t="inlineStr">
        <is>
          <t>디엠씨미디어</t>
        </is>
      </c>
      <c r="C20" s="34" t="n">
        <v>0.0597</v>
      </c>
    </row>
    <row r="21" ht="16.5" customHeight="1" s="1">
      <c r="B21" s="8" t="inlineStr">
        <is>
          <t>디지털 마케팅 suprt</t>
        </is>
      </c>
      <c r="C21" s="35" t="n">
        <v>0.0501</v>
      </c>
    </row>
    <row r="22" ht="16.5" customHeight="1" s="1">
      <c r="B22" s="22" t="inlineStr">
        <is>
          <t>타불라 광고</t>
        </is>
      </c>
      <c r="C22" s="34" t="n">
        <v>0.0382</v>
      </c>
    </row>
    <row r="23" ht="16.5" customHeight="1" s="1">
      <c r="B23" s="8" t="inlineStr">
        <is>
          <t>어드민나이트</t>
        </is>
      </c>
      <c r="C23" s="35" t="n">
        <v>0.0286</v>
      </c>
    </row>
    <row r="24" ht="16.5" customHeight="1" s="1">
      <c r="B24" s="22" t="inlineStr">
        <is>
          <t>코카콜라 월드컵</t>
        </is>
      </c>
      <c r="C24" s="34" t="n">
        <v>0.0263</v>
      </c>
    </row>
    <row r="25" ht="16.5" customHeight="1" s="1">
      <c r="B25" s="8" t="inlineStr">
        <is>
          <t>타블라광고</t>
        </is>
      </c>
      <c r="C25" s="35" t="n">
        <v>0.0167</v>
      </c>
    </row>
    <row r="26" ht="16.5" customHeight="1" s="1">
      <c r="B26" s="22" t="inlineStr">
        <is>
          <t>더마 코스메틱 브랜드</t>
        </is>
      </c>
      <c r="C26" s="34" t="n">
        <v>0.0143</v>
      </c>
    </row>
    <row r="27" ht="16.5" customHeight="1" s="1">
      <c r="B27" s="54" t="inlineStr">
        <is>
          <t>토스애즈</t>
        </is>
      </c>
      <c r="C27" s="39" t="n">
        <v>0.0143</v>
      </c>
    </row>
  </sheetData>
  <mergeCells count="18">
    <mergeCell ref="I3:K3"/>
    <mergeCell ref="I11:K11"/>
    <mergeCell ref="I10:K10"/>
    <mergeCell ref="I13:K13"/>
    <mergeCell ref="B1:H1"/>
    <mergeCell ref="B3:C3"/>
    <mergeCell ref="E10:F10"/>
    <mergeCell ref="I5:K5"/>
    <mergeCell ref="I9:K9"/>
    <mergeCell ref="B10:C10"/>
    <mergeCell ref="I8:K8"/>
    <mergeCell ref="E14:F14"/>
    <mergeCell ref="I12:K12"/>
    <mergeCell ref="B17:C17"/>
    <mergeCell ref="I4:K4"/>
    <mergeCell ref="I7:K7"/>
    <mergeCell ref="E3:F3"/>
    <mergeCell ref="I6:K6"/>
  </mergeCells>
  <hyperlinks>
    <hyperlink xmlns:r="http://schemas.openxmlformats.org/officeDocument/2006/relationships" ref="I4" display="격주 DMCian l 때로는 나침반~ 때로는 버팀목~ 바쁘다바빠 디엠씨미디어 리더 사회♬" r:id="rId1"/>
    <hyperlink xmlns:r="http://schemas.openxmlformats.org/officeDocument/2006/relationships" ref="I5" display="격주 DMCian l &quot;성장 야호~&quot; 업무 적응 종료→폭풍 활약 준비가 한창인 디엠씨미디어의 루키들" r:id="rId2"/>
    <hyperlink xmlns:r="http://schemas.openxmlformats.org/officeDocument/2006/relationships" ref="I6" display="AI 기술로 진화한 네이티브 광고 플랫폼 '타불라' 핵심 요약" r:id="rId3"/>
    <hyperlink xmlns:r="http://schemas.openxmlformats.org/officeDocument/2006/relationships" ref="I7" display="디엠씨미디어의 사내 AI 활용 경진대회 'D.match 2026', 본선PT 현장 스케치" r:id="rId4"/>
    <hyperlink xmlns:r="http://schemas.openxmlformats.org/officeDocument/2006/relationships" ref="I8" display="디엠씨미디어 창립 24주년 기념행사 현장 스케치" r:id="rId5"/>
    <hyperlink xmlns:r="http://schemas.openxmlformats.org/officeDocument/2006/relationships" ref="I9" display="2040 여성 10명 중 4명이 아는 더마 코스메틱 브랜드, 라로슈포제가 그림자를 홍보대사로 발탁한 이유는?" r:id="rId6"/>
    <hyperlink xmlns:r="http://schemas.openxmlformats.org/officeDocument/2006/relationships" ref="I10" display="격주 DMCian l 디엠씨미디어가 라디오 프로그램이라면, 이 경력직 3인방은 고정 게스트일거야" r:id="rId7"/>
    <hyperlink xmlns:r="http://schemas.openxmlformats.org/officeDocument/2006/relationships" ref="I11" display="스티커 1개가 만드는 반복구매의 비밀! 2026월드컵 앞둔 코카콜라 마케팅 전략 분석" r:id="rId8"/>
    <hyperlink xmlns:r="http://schemas.openxmlformats.org/officeDocument/2006/relationships" ref="I12" display="디엠씨미디어, ‘디싸이오(D.SaiO)’ 전략 고도화… GEO 측정 체계 강화" r:id="rId9"/>
    <hyperlink xmlns:r="http://schemas.openxmlformats.org/officeDocument/2006/relationships" ref="I13" display="격주 DMCian l 스트레스 많이 받을거지만 운동 많이 될 굿파트너, 승진자 그룹인터뷰" r:id="rId10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7"/>
  <sheetViews>
    <sheetView zoomScaleNormal="100" workbookViewId="0">
      <pane ySplit="1" topLeftCell="A182" activePane="bottomLeft" state="frozen"/>
      <selection pane="bottomLeft" activeCell="C210" sqref="C210"/>
    </sheetView>
  </sheetViews>
  <sheetFormatPr baseColWidth="8" defaultColWidth="8.6640625" defaultRowHeight="14.4"/>
  <cols>
    <col width="17.77734375" customWidth="1" style="1" min="1" max="1"/>
    <col width="11.109375" customWidth="1" style="1" min="2" max="2"/>
    <col width="51.109375" customWidth="1" style="1" min="3" max="3"/>
    <col width="11.109375" customWidth="1" style="1" min="4" max="6"/>
    <col width="9.77734375" customWidth="1" style="1" min="7" max="7"/>
    <col width="8.88671875" customWidth="1" style="1" min="8" max="8"/>
  </cols>
  <sheetData>
    <row r="1" ht="19.5" customHeight="1" s="1">
      <c r="A1" s="55" t="inlineStr">
        <is>
          <t>카테고리</t>
        </is>
      </c>
      <c r="B1" s="55" t="inlineStr">
        <is>
          <t>날짜</t>
        </is>
      </c>
      <c r="C1" s="55" t="inlineStr">
        <is>
          <t>키워드</t>
        </is>
      </c>
      <c r="D1" s="55" t="inlineStr">
        <is>
          <t>비중(%)</t>
        </is>
      </c>
      <c r="E1" s="55" t="inlineStr">
        <is>
          <t>환산 횟수</t>
        </is>
      </c>
      <c r="F1" s="55" t="inlineStr">
        <is>
          <t>섹션</t>
        </is>
      </c>
    </row>
    <row r="2" ht="15.75" customHeight="1" s="1">
      <c r="A2" s="56" t="inlineStr">
        <is>
          <t>타불라</t>
        </is>
      </c>
      <c r="B2" s="57" t="inlineStr">
        <is>
          <t>6월 10일</t>
        </is>
      </c>
      <c r="C2" s="56" t="inlineStr">
        <is>
          <t>타불라</t>
        </is>
      </c>
      <c r="D2" s="57" t="inlineStr">
        <is>
          <t>0.87%</t>
        </is>
      </c>
      <c r="E2" s="57" t="n">
        <v>1</v>
      </c>
      <c r="F2" s="58" t="inlineStr">
        <is>
          <t>Media</t>
        </is>
      </c>
    </row>
    <row r="3" ht="15.75" customHeight="1" s="1">
      <c r="A3" s="56" t="inlineStr">
        <is>
          <t>타불라</t>
        </is>
      </c>
      <c r="B3" s="57" t="inlineStr">
        <is>
          <t>6월 10일</t>
        </is>
      </c>
      <c r="C3" s="56" t="inlineStr">
        <is>
          <t>타불라 광고</t>
        </is>
      </c>
      <c r="D3" s="57" t="inlineStr">
        <is>
          <t>0.87%</t>
        </is>
      </c>
      <c r="E3" s="57" t="n">
        <v>1</v>
      </c>
      <c r="F3" s="58" t="inlineStr">
        <is>
          <t>Media</t>
        </is>
      </c>
    </row>
    <row r="4" ht="15.75" customHeight="1" s="1">
      <c r="A4" s="56" t="inlineStr">
        <is>
          <t>타불라</t>
        </is>
      </c>
      <c r="B4" s="57" t="inlineStr">
        <is>
          <t>6월 10일</t>
        </is>
      </c>
      <c r="C4" s="56" t="inlineStr">
        <is>
          <t>타불라광고</t>
        </is>
      </c>
      <c r="D4" s="57" t="inlineStr">
        <is>
          <t>0.87%</t>
        </is>
      </c>
      <c r="E4" s="57" t="n">
        <v>1</v>
      </c>
      <c r="F4" s="58" t="inlineStr">
        <is>
          <t>Media</t>
        </is>
      </c>
    </row>
    <row r="5" ht="15.75" customHeight="1" s="1">
      <c r="A5" s="56" t="inlineStr">
        <is>
          <t>타불라</t>
        </is>
      </c>
      <c r="B5" s="57" t="inlineStr">
        <is>
          <t>6월 10일</t>
        </is>
      </c>
      <c r="C5" s="56" t="inlineStr">
        <is>
          <t>타불라 광고</t>
        </is>
      </c>
      <c r="D5" s="57" t="inlineStr">
        <is>
          <t>1.74%</t>
        </is>
      </c>
      <c r="E5" s="57" t="n">
        <v>2</v>
      </c>
      <c r="F5" s="58" t="inlineStr">
        <is>
          <t>Media</t>
        </is>
      </c>
    </row>
    <row r="6" ht="15.75" customHeight="1" s="1">
      <c r="A6" s="56" t="inlineStr">
        <is>
          <t>타불라</t>
        </is>
      </c>
      <c r="B6" s="57" t="inlineStr">
        <is>
          <t>6월 11일</t>
        </is>
      </c>
      <c r="C6" s="56" t="inlineStr">
        <is>
          <t>타불라</t>
        </is>
      </c>
      <c r="D6" s="57" t="inlineStr">
        <is>
          <t>5.13%</t>
        </is>
      </c>
      <c r="E6" s="57" t="n">
        <v>2</v>
      </c>
      <c r="F6" s="58" t="inlineStr">
        <is>
          <t>Media</t>
        </is>
      </c>
    </row>
    <row r="7" ht="15.75" customHeight="1" s="1">
      <c r="A7" s="56" t="inlineStr">
        <is>
          <t>타불라</t>
        </is>
      </c>
      <c r="B7" s="57" t="inlineStr">
        <is>
          <t>6월 11일</t>
        </is>
      </c>
      <c r="C7" s="56" t="inlineStr">
        <is>
          <t>타불라 광고</t>
        </is>
      </c>
      <c r="D7" s="57" t="inlineStr">
        <is>
          <t>2.56%</t>
        </is>
      </c>
      <c r="E7" s="57" t="n">
        <v>1</v>
      </c>
      <c r="F7" s="58" t="inlineStr">
        <is>
          <t>Media</t>
        </is>
      </c>
    </row>
    <row r="8" ht="15.75" customHeight="1" s="1">
      <c r="A8" s="56" t="inlineStr">
        <is>
          <t>타불라</t>
        </is>
      </c>
      <c r="B8" s="57" t="inlineStr">
        <is>
          <t>6월 12일</t>
        </is>
      </c>
      <c r="C8" s="56" t="inlineStr">
        <is>
          <t>타불라</t>
        </is>
      </c>
      <c r="D8" s="57" t="inlineStr">
        <is>
          <t>4.17%</t>
        </is>
      </c>
      <c r="E8" s="57" t="n">
        <v>2</v>
      </c>
      <c r="F8" s="58" t="inlineStr">
        <is>
          <t>Media</t>
        </is>
      </c>
    </row>
    <row r="9" ht="15.75" customHeight="1" s="1">
      <c r="A9" s="56" t="inlineStr">
        <is>
          <t>타불라</t>
        </is>
      </c>
      <c r="B9" s="57" t="inlineStr">
        <is>
          <t>6월 12일</t>
        </is>
      </c>
      <c r="C9" s="56" t="inlineStr">
        <is>
          <t>타블라광고</t>
        </is>
      </c>
      <c r="D9" s="57" t="inlineStr">
        <is>
          <t>4.17%</t>
        </is>
      </c>
      <c r="E9" s="57" t="n">
        <v>2</v>
      </c>
      <c r="F9" s="58" t="inlineStr">
        <is>
          <t>Media</t>
        </is>
      </c>
    </row>
    <row r="10" ht="15.75" customHeight="1" s="1">
      <c r="A10" s="56" t="inlineStr">
        <is>
          <t>타불라</t>
        </is>
      </c>
      <c r="B10" s="57" t="inlineStr">
        <is>
          <t>6월 13일</t>
        </is>
      </c>
      <c r="C10" s="56" t="inlineStr">
        <is>
          <t>타불라</t>
        </is>
      </c>
      <c r="D10" s="57" t="inlineStr">
        <is>
          <t>6.25%</t>
        </is>
      </c>
      <c r="E10" s="57" t="n">
        <v>1</v>
      </c>
      <c r="F10" s="58" t="inlineStr">
        <is>
          <t>Media</t>
        </is>
      </c>
    </row>
    <row r="11" ht="15.75" customHeight="1" s="1">
      <c r="A11" s="56" t="inlineStr">
        <is>
          <t>타불라</t>
        </is>
      </c>
      <c r="B11" s="57" t="inlineStr">
        <is>
          <t>6월 13일</t>
        </is>
      </c>
      <c r="C11" s="56" t="inlineStr">
        <is>
          <t>타블라광고</t>
        </is>
      </c>
      <c r="D11" s="57" t="inlineStr">
        <is>
          <t>6.25%</t>
        </is>
      </c>
      <c r="E11" s="57" t="n">
        <v>1</v>
      </c>
      <c r="F11" s="58" t="inlineStr">
        <is>
          <t>Media</t>
        </is>
      </c>
    </row>
    <row r="12" ht="15.75" customHeight="1" s="1">
      <c r="A12" s="56" t="inlineStr">
        <is>
          <t>타불라</t>
        </is>
      </c>
      <c r="B12" s="57" t="inlineStr">
        <is>
          <t>6월 14일</t>
        </is>
      </c>
      <c r="C12" s="56" t="inlineStr">
        <is>
          <t>타불라</t>
        </is>
      </c>
      <c r="D12" s="57" t="inlineStr">
        <is>
          <t>12.50%</t>
        </is>
      </c>
      <c r="E12" s="57" t="n">
        <v>1</v>
      </c>
      <c r="F12" s="58" t="inlineStr">
        <is>
          <t>Media</t>
        </is>
      </c>
    </row>
    <row r="13" ht="15.75" customHeight="1" s="1">
      <c r="A13" s="56" t="inlineStr">
        <is>
          <t>타불라</t>
        </is>
      </c>
      <c r="B13" s="57" t="inlineStr">
        <is>
          <t>6월 14일</t>
        </is>
      </c>
      <c r="C13" s="56" t="inlineStr">
        <is>
          <t>타블라 노출지면</t>
        </is>
      </c>
      <c r="D13" s="57" t="inlineStr">
        <is>
          <t>12.50%</t>
        </is>
      </c>
      <c r="E13" s="57" t="n">
        <v>1</v>
      </c>
      <c r="F13" s="58" t="inlineStr">
        <is>
          <t>Media</t>
        </is>
      </c>
    </row>
    <row r="14" ht="15.75" customHeight="1" s="1">
      <c r="A14" s="56" t="inlineStr">
        <is>
          <t>타불라</t>
        </is>
      </c>
      <c r="B14" s="57" t="inlineStr">
        <is>
          <t>6월 15일</t>
        </is>
      </c>
      <c r="C14" s="56" t="inlineStr">
        <is>
          <t>타불라</t>
        </is>
      </c>
      <c r="D14" s="57" t="inlineStr">
        <is>
          <t>5.71%</t>
        </is>
      </c>
      <c r="E14" s="57" t="n">
        <v>2</v>
      </c>
      <c r="F14" s="58" t="inlineStr">
        <is>
          <t>Media</t>
        </is>
      </c>
    </row>
    <row r="15" ht="15.75" customHeight="1" s="1">
      <c r="A15" s="56" t="inlineStr">
        <is>
          <t>타불라</t>
        </is>
      </c>
      <c r="B15" s="57" t="inlineStr">
        <is>
          <t>6월 15일</t>
        </is>
      </c>
      <c r="C15" s="56" t="inlineStr">
        <is>
          <t>타불라 광고</t>
        </is>
      </c>
      <c r="D15" s="57" t="inlineStr">
        <is>
          <t>2.86%</t>
        </is>
      </c>
      <c r="E15" s="57" t="n">
        <v>1</v>
      </c>
      <c r="F15" s="58" t="inlineStr">
        <is>
          <t>Media</t>
        </is>
      </c>
    </row>
    <row r="16" ht="15.75" customHeight="1" s="1">
      <c r="A16" s="56" t="inlineStr">
        <is>
          <t>타불라</t>
        </is>
      </c>
      <c r="B16" s="57" t="inlineStr">
        <is>
          <t>6월 15일</t>
        </is>
      </c>
      <c r="C16" s="56" t="inlineStr">
        <is>
          <t>타불라코리아</t>
        </is>
      </c>
      <c r="D16" s="57" t="inlineStr">
        <is>
          <t>2.86%</t>
        </is>
      </c>
      <c r="E16" s="57" t="n">
        <v>1</v>
      </c>
      <c r="F16" s="58" t="inlineStr">
        <is>
          <t>Media</t>
        </is>
      </c>
    </row>
    <row r="17" ht="15.75" customHeight="1" s="1">
      <c r="A17" s="56" t="inlineStr">
        <is>
          <t>타불라</t>
        </is>
      </c>
      <c r="B17" s="57" t="inlineStr">
        <is>
          <t>6월 15일</t>
        </is>
      </c>
      <c r="C17" s="56" t="inlineStr">
        <is>
          <t>타블라 광고</t>
        </is>
      </c>
      <c r="D17" s="57" t="inlineStr">
        <is>
          <t>2.86%</t>
        </is>
      </c>
      <c r="E17" s="57" t="n">
        <v>1</v>
      </c>
      <c r="F17" s="58" t="inlineStr">
        <is>
          <t>Media</t>
        </is>
      </c>
    </row>
    <row r="18" ht="15.75" customHeight="1" s="1">
      <c r="A18" s="56" t="inlineStr">
        <is>
          <t>타불라</t>
        </is>
      </c>
      <c r="B18" s="57" t="inlineStr">
        <is>
          <t>6월 15일</t>
        </is>
      </c>
      <c r="C18" s="56" t="inlineStr">
        <is>
          <t>타불라</t>
        </is>
      </c>
      <c r="D18" s="57" t="inlineStr">
        <is>
          <t>8.57%</t>
        </is>
      </c>
      <c r="E18" s="57" t="n">
        <v>3</v>
      </c>
      <c r="F18" s="58" t="inlineStr">
        <is>
          <t>Media</t>
        </is>
      </c>
    </row>
    <row r="19" ht="15.75" customHeight="1" s="1">
      <c r="A19" s="56" t="inlineStr">
        <is>
          <t>타불라</t>
        </is>
      </c>
      <c r="B19" s="57" t="inlineStr">
        <is>
          <t>6월 16일</t>
        </is>
      </c>
      <c r="C19" s="56" t="inlineStr">
        <is>
          <t>타불라</t>
        </is>
      </c>
      <c r="D19" s="57" t="inlineStr">
        <is>
          <t>6.12%</t>
        </is>
      </c>
      <c r="E19" s="57" t="n">
        <v>3</v>
      </c>
      <c r="F19" s="58" t="inlineStr">
        <is>
          <t>Media</t>
        </is>
      </c>
    </row>
    <row r="20" ht="15.75" customHeight="1" s="1">
      <c r="A20" s="56" t="inlineStr">
        <is>
          <t>타불라</t>
        </is>
      </c>
      <c r="B20" s="57" t="inlineStr">
        <is>
          <t>6월 16일</t>
        </is>
      </c>
      <c r="C20" s="56" t="inlineStr">
        <is>
          <t>타불라 광고</t>
        </is>
      </c>
      <c r="D20" s="57" t="inlineStr">
        <is>
          <t>2.04%</t>
        </is>
      </c>
      <c r="E20" s="57" t="n">
        <v>1</v>
      </c>
      <c r="F20" s="58" t="inlineStr">
        <is>
          <t>Media</t>
        </is>
      </c>
    </row>
    <row r="21" ht="15.75" customHeight="1" s="1">
      <c r="A21" s="56" t="inlineStr">
        <is>
          <t>타불라</t>
        </is>
      </c>
      <c r="B21" s="57" t="inlineStr">
        <is>
          <t>6월 16일</t>
        </is>
      </c>
      <c r="C21" s="56" t="inlineStr">
        <is>
          <t>타불라 광고</t>
        </is>
      </c>
      <c r="D21" s="57" t="inlineStr">
        <is>
          <t>4.08%</t>
        </is>
      </c>
      <c r="E21" s="57" t="n">
        <v>2</v>
      </c>
      <c r="F21" s="58" t="inlineStr">
        <is>
          <t>Media</t>
        </is>
      </c>
    </row>
    <row r="22" ht="15.75" customHeight="1" s="1">
      <c r="A22" s="56" t="inlineStr">
        <is>
          <t>타불라</t>
        </is>
      </c>
      <c r="B22" s="57" t="inlineStr">
        <is>
          <t>6월 16일</t>
        </is>
      </c>
      <c r="C22" s="56" t="inlineStr">
        <is>
          <t>타불라</t>
        </is>
      </c>
      <c r="D22" s="57" t="inlineStr">
        <is>
          <t>2.04%</t>
        </is>
      </c>
      <c r="E22" s="57" t="n">
        <v>1</v>
      </c>
      <c r="F22" s="58" t="inlineStr">
        <is>
          <t>Media</t>
        </is>
      </c>
    </row>
    <row r="23" ht="15.75" customHeight="1" s="1">
      <c r="A23" s="56" t="inlineStr">
        <is>
          <t>타불라</t>
        </is>
      </c>
      <c r="B23" s="57" t="inlineStr">
        <is>
          <t>6월 16일</t>
        </is>
      </c>
      <c r="C23" s="56" t="inlineStr">
        <is>
          <t>타불라 신청</t>
        </is>
      </c>
      <c r="D23" s="57" t="inlineStr">
        <is>
          <t>2.04%</t>
        </is>
      </c>
      <c r="E23" s="57" t="n">
        <v>1</v>
      </c>
      <c r="F23" s="58" t="inlineStr">
        <is>
          <t>Media</t>
        </is>
      </c>
    </row>
    <row r="24" ht="15.75" customHeight="1" s="1">
      <c r="A24" s="56" t="inlineStr">
        <is>
          <t>타불라</t>
        </is>
      </c>
      <c r="B24" s="57" t="inlineStr">
        <is>
          <t>6월 17일</t>
        </is>
      </c>
      <c r="C24" s="56" t="inlineStr">
        <is>
          <t>타불라</t>
        </is>
      </c>
      <c r="D24" s="57" t="inlineStr">
        <is>
          <t>9.68%</t>
        </is>
      </c>
      <c r="E24" s="57" t="n">
        <v>3</v>
      </c>
      <c r="F24" s="58" t="inlineStr">
        <is>
          <t>Media</t>
        </is>
      </c>
    </row>
    <row r="25" ht="15.75" customHeight="1" s="1">
      <c r="A25" s="56" t="inlineStr">
        <is>
          <t>타불라</t>
        </is>
      </c>
      <c r="B25" s="57" t="inlineStr">
        <is>
          <t>6월 17일</t>
        </is>
      </c>
      <c r="C25" s="56" t="inlineStr">
        <is>
          <t>타불라</t>
        </is>
      </c>
      <c r="D25" s="57" t="inlineStr">
        <is>
          <t>6.45%</t>
        </is>
      </c>
      <c r="E25" s="57" t="n">
        <v>2</v>
      </c>
      <c r="F25" s="58" t="inlineStr">
        <is>
          <t>Media</t>
        </is>
      </c>
    </row>
    <row r="26" ht="15.75" customHeight="1" s="1">
      <c r="A26" s="56" t="inlineStr">
        <is>
          <t>타불라</t>
        </is>
      </c>
      <c r="B26" s="57" t="inlineStr">
        <is>
          <t>6월 17일</t>
        </is>
      </c>
      <c r="C26" s="56" t="inlineStr">
        <is>
          <t>타블라광고</t>
        </is>
      </c>
      <c r="D26" s="57" t="inlineStr">
        <is>
          <t>3.23%</t>
        </is>
      </c>
      <c r="E26" s="57" t="n">
        <v>1</v>
      </c>
      <c r="F26" s="58" t="inlineStr">
        <is>
          <t>Media</t>
        </is>
      </c>
    </row>
    <row r="27" ht="15.75" customHeight="1" s="1">
      <c r="A27" s="56" t="inlineStr">
        <is>
          <t>타불라</t>
        </is>
      </c>
      <c r="B27" s="57" t="inlineStr">
        <is>
          <t>6월 18일</t>
        </is>
      </c>
      <c r="C27" s="56" t="inlineStr">
        <is>
          <t>타불라</t>
        </is>
      </c>
      <c r="D27" s="57" t="inlineStr">
        <is>
          <t>3.26%</t>
        </is>
      </c>
      <c r="E27" s="57" t="n">
        <v>3</v>
      </c>
      <c r="F27" s="58" t="inlineStr">
        <is>
          <t>Media</t>
        </is>
      </c>
    </row>
    <row r="28" ht="15.75" customHeight="1" s="1">
      <c r="A28" s="56" t="inlineStr">
        <is>
          <t>타불라</t>
        </is>
      </c>
      <c r="B28" s="57" t="inlineStr">
        <is>
          <t>6월 18일</t>
        </is>
      </c>
      <c r="C28" s="56" t="inlineStr">
        <is>
          <t>타블라 광고</t>
        </is>
      </c>
      <c r="D28" s="57" t="inlineStr">
        <is>
          <t>1.09%</t>
        </is>
      </c>
      <c r="E28" s="57" t="n">
        <v>1</v>
      </c>
      <c r="F28" s="58" t="inlineStr">
        <is>
          <t>Media</t>
        </is>
      </c>
    </row>
    <row r="29" ht="15.75" customHeight="1" s="1">
      <c r="A29" s="56" t="inlineStr">
        <is>
          <t>타불라</t>
        </is>
      </c>
      <c r="B29" s="57" t="inlineStr">
        <is>
          <t>6월 18일</t>
        </is>
      </c>
      <c r="C29" s="56" t="inlineStr">
        <is>
          <t>타불라 간식 이벤트</t>
        </is>
      </c>
      <c r="D29" s="57" t="inlineStr">
        <is>
          <t>1.09%</t>
        </is>
      </c>
      <c r="E29" s="57" t="n">
        <v>1</v>
      </c>
      <c r="F29" s="58" t="inlineStr">
        <is>
          <t>Media</t>
        </is>
      </c>
    </row>
    <row r="30" ht="15.75" customHeight="1" s="1">
      <c r="A30" s="56" t="inlineStr">
        <is>
          <t>타불라</t>
        </is>
      </c>
      <c r="B30" s="57" t="inlineStr">
        <is>
          <t>6월 18일</t>
        </is>
      </c>
      <c r="C30" s="56" t="inlineStr">
        <is>
          <t>타불라코리아</t>
        </is>
      </c>
      <c r="D30" s="57" t="inlineStr">
        <is>
          <t>1.09%</t>
        </is>
      </c>
      <c r="E30" s="57" t="n">
        <v>1</v>
      </c>
      <c r="F30" s="58" t="inlineStr">
        <is>
          <t>Media</t>
        </is>
      </c>
    </row>
    <row r="31" ht="15.75" customHeight="1" s="1">
      <c r="A31" s="56" t="inlineStr">
        <is>
          <t>타불라</t>
        </is>
      </c>
      <c r="B31" s="57" t="inlineStr">
        <is>
          <t>6월 18일</t>
        </is>
      </c>
      <c r="C31" s="56" t="inlineStr">
        <is>
          <t>타불라</t>
        </is>
      </c>
      <c r="D31" s="57" t="inlineStr">
        <is>
          <t>1.09%</t>
        </is>
      </c>
      <c r="E31" s="57" t="n">
        <v>1</v>
      </c>
      <c r="F31" s="58" t="inlineStr">
        <is>
          <t>Media</t>
        </is>
      </c>
    </row>
    <row r="32" ht="15" customHeight="1" s="1">
      <c r="A32" s="56" t="inlineStr">
        <is>
          <t>타불라</t>
        </is>
      </c>
      <c r="B32" s="57" t="inlineStr">
        <is>
          <t>6월 19일</t>
        </is>
      </c>
      <c r="C32" s="56" t="inlineStr">
        <is>
          <t>타불라</t>
        </is>
      </c>
      <c r="D32" s="57" t="inlineStr">
        <is>
          <t>3.51%</t>
        </is>
      </c>
      <c r="E32" s="57" t="n">
        <v>2</v>
      </c>
      <c r="F32" s="58" t="inlineStr">
        <is>
          <t>Media</t>
        </is>
      </c>
    </row>
    <row r="33" ht="15" customHeight="1" s="1">
      <c r="A33" s="56" t="inlineStr">
        <is>
          <t>타불라</t>
        </is>
      </c>
      <c r="B33" s="57" t="inlineStr">
        <is>
          <t>6월 19일</t>
        </is>
      </c>
      <c r="C33" s="56" t="inlineStr">
        <is>
          <t>타불라</t>
        </is>
      </c>
      <c r="D33" s="57" t="inlineStr">
        <is>
          <t>1.75%</t>
        </is>
      </c>
      <c r="E33" s="57" t="n">
        <v>1</v>
      </c>
      <c r="F33" s="58" t="inlineStr">
        <is>
          <t>Media</t>
        </is>
      </c>
    </row>
    <row r="34" ht="15" customHeight="1" s="1">
      <c r="A34" s="56" t="inlineStr">
        <is>
          <t>타불라</t>
        </is>
      </c>
      <c r="B34" s="57" t="inlineStr">
        <is>
          <t>6월 1일</t>
        </is>
      </c>
      <c r="C34" s="56" t="inlineStr">
        <is>
          <t>타불라</t>
        </is>
      </c>
      <c r="D34" s="57" t="inlineStr">
        <is>
          <t>6.06%</t>
        </is>
      </c>
      <c r="E34" s="57" t="n">
        <v>2</v>
      </c>
      <c r="F34" s="58" t="inlineStr">
        <is>
          <t>Media</t>
        </is>
      </c>
    </row>
    <row r="35" ht="15" customHeight="1" s="1">
      <c r="A35" s="56" t="inlineStr">
        <is>
          <t>타불라</t>
        </is>
      </c>
      <c r="B35" s="57" t="inlineStr">
        <is>
          <t>6월 1일</t>
        </is>
      </c>
      <c r="C35" s="56" t="inlineStr">
        <is>
          <t>타블라 광고</t>
        </is>
      </c>
      <c r="D35" s="57" t="inlineStr">
        <is>
          <t>3.03%</t>
        </is>
      </c>
      <c r="E35" s="57" t="n">
        <v>1</v>
      </c>
      <c r="F35" s="58" t="inlineStr">
        <is>
          <t>Media</t>
        </is>
      </c>
    </row>
    <row r="36" ht="15" customHeight="1" s="1">
      <c r="A36" s="56" t="inlineStr">
        <is>
          <t>타불라</t>
        </is>
      </c>
      <c r="B36" s="57" t="inlineStr">
        <is>
          <t>6월 20일</t>
        </is>
      </c>
      <c r="C36" s="56" t="inlineStr">
        <is>
          <t>타블라광고</t>
        </is>
      </c>
      <c r="D36" s="57" t="inlineStr">
        <is>
          <t>8.33%</t>
        </is>
      </c>
      <c r="E36" s="57" t="n">
        <v>1</v>
      </c>
      <c r="F36" s="58" t="inlineStr">
        <is>
          <t>Media</t>
        </is>
      </c>
    </row>
    <row r="37" ht="15" customHeight="1" s="1">
      <c r="A37" s="56" t="inlineStr">
        <is>
          <t>타불라</t>
        </is>
      </c>
      <c r="B37" s="57" t="inlineStr">
        <is>
          <t>6월 21일</t>
        </is>
      </c>
      <c r="C37" s="56" t="inlineStr">
        <is>
          <t>타불라</t>
        </is>
      </c>
      <c r="D37" s="57" t="inlineStr">
        <is>
          <t>7.14%</t>
        </is>
      </c>
      <c r="E37" s="57" t="n">
        <v>2</v>
      </c>
      <c r="F37" s="58" t="inlineStr">
        <is>
          <t>Media</t>
        </is>
      </c>
    </row>
    <row r="38" ht="15" customHeight="1" s="1">
      <c r="A38" s="56" t="inlineStr">
        <is>
          <t>타불라</t>
        </is>
      </c>
      <c r="B38" s="57" t="inlineStr">
        <is>
          <t>6월 21일</t>
        </is>
      </c>
      <c r="C38" s="56" t="inlineStr">
        <is>
          <t>타블라광고</t>
        </is>
      </c>
      <c r="D38" s="57" t="inlineStr">
        <is>
          <t>3.57%</t>
        </is>
      </c>
      <c r="E38" s="57" t="n">
        <v>1</v>
      </c>
      <c r="F38" s="58" t="inlineStr">
        <is>
          <t>Media</t>
        </is>
      </c>
    </row>
    <row r="39" ht="15" customHeight="1" s="1">
      <c r="A39" s="56" t="inlineStr">
        <is>
          <t>타불라</t>
        </is>
      </c>
      <c r="B39" s="57" t="inlineStr">
        <is>
          <t>6월 22일</t>
        </is>
      </c>
      <c r="C39" s="56" t="inlineStr">
        <is>
          <t>타불라 광고</t>
        </is>
      </c>
      <c r="D39" s="57" t="inlineStr">
        <is>
          <t>3.45%</t>
        </is>
      </c>
      <c r="E39" s="57" t="n">
        <v>1</v>
      </c>
      <c r="F39" s="58" t="inlineStr">
        <is>
          <t>Media</t>
        </is>
      </c>
    </row>
    <row r="40" ht="15" customHeight="1" s="1">
      <c r="A40" s="56" t="inlineStr">
        <is>
          <t>타불라</t>
        </is>
      </c>
      <c r="B40" s="57" t="inlineStr">
        <is>
          <t>6월 23일</t>
        </is>
      </c>
      <c r="C40" s="56" t="inlineStr">
        <is>
          <t>타불라</t>
        </is>
      </c>
      <c r="D40" s="57" t="inlineStr">
        <is>
          <t>2.13%</t>
        </is>
      </c>
      <c r="E40" s="57" t="n">
        <v>1</v>
      </c>
      <c r="F40" s="58" t="inlineStr">
        <is>
          <t>Media</t>
        </is>
      </c>
    </row>
    <row r="41" ht="15" customHeight="1" s="1">
      <c r="A41" s="56" t="inlineStr">
        <is>
          <t>타불라</t>
        </is>
      </c>
      <c r="B41" s="57" t="inlineStr">
        <is>
          <t>6월 23일</t>
        </is>
      </c>
      <c r="C41" s="56" t="inlineStr">
        <is>
          <t>타블라광고</t>
        </is>
      </c>
      <c r="D41" s="57" t="inlineStr">
        <is>
          <t>2.13%</t>
        </is>
      </c>
      <c r="E41" s="57" t="n">
        <v>1</v>
      </c>
      <c r="F41" s="58" t="inlineStr">
        <is>
          <t>Media</t>
        </is>
      </c>
    </row>
    <row r="42" ht="15" customHeight="1" s="1">
      <c r="A42" s="56" t="inlineStr">
        <is>
          <t>타불라</t>
        </is>
      </c>
      <c r="B42" s="57" t="inlineStr">
        <is>
          <t>6월 23일</t>
        </is>
      </c>
      <c r="C42" s="56" t="inlineStr">
        <is>
          <t>타불라</t>
        </is>
      </c>
      <c r="D42" s="57" t="inlineStr">
        <is>
          <t>4.26%</t>
        </is>
      </c>
      <c r="E42" s="57" t="n">
        <v>2</v>
      </c>
      <c r="F42" s="58" t="inlineStr">
        <is>
          <t>Media</t>
        </is>
      </c>
    </row>
    <row r="43" ht="15" customHeight="1" s="1">
      <c r="A43" s="56" t="inlineStr">
        <is>
          <t>타불라</t>
        </is>
      </c>
      <c r="B43" s="57" t="inlineStr">
        <is>
          <t>6월 23일</t>
        </is>
      </c>
      <c r="C43" s="56" t="inlineStr">
        <is>
          <t>타불라 광고</t>
        </is>
      </c>
      <c r="D43" s="57" t="inlineStr">
        <is>
          <t>2.13%</t>
        </is>
      </c>
      <c r="E43" s="57" t="n">
        <v>1</v>
      </c>
      <c r="F43" s="58" t="inlineStr">
        <is>
          <t>Media</t>
        </is>
      </c>
    </row>
    <row r="44" ht="15" customHeight="1" s="1">
      <c r="A44" s="56" t="inlineStr">
        <is>
          <t>타불라</t>
        </is>
      </c>
      <c r="B44" s="57" t="inlineStr">
        <is>
          <t>6월 23일</t>
        </is>
      </c>
      <c r="C44" s="56" t="inlineStr">
        <is>
          <t>Taboola AI</t>
        </is>
      </c>
      <c r="D44" s="57" t="inlineStr">
        <is>
          <t>2.13%</t>
        </is>
      </c>
      <c r="E44" s="57" t="n">
        <v>1</v>
      </c>
      <c r="F44" s="58" t="inlineStr">
        <is>
          <t>Media</t>
        </is>
      </c>
    </row>
    <row r="45" ht="15" customHeight="1" s="1">
      <c r="A45" s="56" t="inlineStr">
        <is>
          <t>타불라</t>
        </is>
      </c>
      <c r="B45" s="57" t="inlineStr">
        <is>
          <t>6월 23일</t>
        </is>
      </c>
      <c r="C45" s="56" t="inlineStr">
        <is>
          <t>Taboola realize 오픈웹</t>
        </is>
      </c>
      <c r="D45" s="57" t="inlineStr">
        <is>
          <t>2.13%</t>
        </is>
      </c>
      <c r="E45" s="57" t="n">
        <v>1</v>
      </c>
      <c r="F45" s="58" t="inlineStr">
        <is>
          <t>Media</t>
        </is>
      </c>
    </row>
    <row r="46" ht="15" customHeight="1" s="1">
      <c r="A46" s="56" t="inlineStr">
        <is>
          <t>타불라</t>
        </is>
      </c>
      <c r="B46" s="57" t="inlineStr">
        <is>
          <t>6월 23일</t>
        </is>
      </c>
      <c r="C46" s="56" t="inlineStr">
        <is>
          <t>타불라 이벤트</t>
        </is>
      </c>
      <c r="D46" s="57" t="inlineStr">
        <is>
          <t>2.13%</t>
        </is>
      </c>
      <c r="E46" s="57" t="n">
        <v>1</v>
      </c>
      <c r="F46" s="58" t="inlineStr">
        <is>
          <t>Media</t>
        </is>
      </c>
    </row>
    <row r="47" ht="15" customHeight="1" s="1">
      <c r="A47" s="56" t="inlineStr">
        <is>
          <t>타불라</t>
        </is>
      </c>
      <c r="B47" s="57" t="inlineStr">
        <is>
          <t>6월 24일</t>
        </is>
      </c>
      <c r="C47" s="56" t="inlineStr">
        <is>
          <t>타불라</t>
        </is>
      </c>
      <c r="D47" s="57" t="inlineStr">
        <is>
          <t>2.94%</t>
        </is>
      </c>
      <c r="E47" s="57" t="n">
        <v>1</v>
      </c>
      <c r="F47" s="58" t="inlineStr">
        <is>
          <t>Media</t>
        </is>
      </c>
    </row>
    <row r="48" ht="15" customHeight="1" s="1">
      <c r="A48" s="56" t="inlineStr">
        <is>
          <t>타불라</t>
        </is>
      </c>
      <c r="B48" s="57" t="inlineStr">
        <is>
          <t>6월 24일</t>
        </is>
      </c>
      <c r="C48" s="56" t="inlineStr">
        <is>
          <t>타불라 광고영역</t>
        </is>
      </c>
      <c r="D48" s="57" t="inlineStr">
        <is>
          <t>2.94%</t>
        </is>
      </c>
      <c r="E48" s="57" t="n">
        <v>1</v>
      </c>
      <c r="F48" s="58" t="inlineStr">
        <is>
          <t>Media</t>
        </is>
      </c>
    </row>
    <row r="49" ht="15" customHeight="1" s="1">
      <c r="A49" s="56" t="inlineStr">
        <is>
          <t>타불라</t>
        </is>
      </c>
      <c r="B49" s="57" t="inlineStr">
        <is>
          <t>6월 24일</t>
        </is>
      </c>
      <c r="C49" s="56" t="inlineStr">
        <is>
          <t>타불라코리아</t>
        </is>
      </c>
      <c r="D49" s="57" t="inlineStr">
        <is>
          <t>2.94%</t>
        </is>
      </c>
      <c r="E49" s="57" t="n">
        <v>1</v>
      </c>
      <c r="F49" s="58" t="inlineStr">
        <is>
          <t>Media</t>
        </is>
      </c>
    </row>
    <row r="50" ht="15" customHeight="1" s="1">
      <c r="A50" s="56" t="inlineStr">
        <is>
          <t>타불라</t>
        </is>
      </c>
      <c r="B50" s="57" t="inlineStr">
        <is>
          <t>6월 24일</t>
        </is>
      </c>
      <c r="C50" s="56" t="inlineStr">
        <is>
          <t>타불라</t>
        </is>
      </c>
      <c r="D50" s="57" t="inlineStr">
        <is>
          <t>5.88%</t>
        </is>
      </c>
      <c r="E50" s="57" t="n">
        <v>2</v>
      </c>
      <c r="F50" s="58" t="inlineStr">
        <is>
          <t>Media</t>
        </is>
      </c>
    </row>
    <row r="51" ht="15" customHeight="1" s="1">
      <c r="A51" s="56" t="inlineStr">
        <is>
          <t>타불라</t>
        </is>
      </c>
      <c r="B51" s="57" t="inlineStr">
        <is>
          <t>6월 24일</t>
        </is>
      </c>
      <c r="C51" s="56" t="inlineStr">
        <is>
          <t>타불라 광고</t>
        </is>
      </c>
      <c r="D51" s="57" t="inlineStr">
        <is>
          <t>2.94%</t>
        </is>
      </c>
      <c r="E51" s="57" t="n">
        <v>1</v>
      </c>
      <c r="F51" s="58" t="inlineStr">
        <is>
          <t>Media</t>
        </is>
      </c>
    </row>
    <row r="52" ht="15" customHeight="1" s="1">
      <c r="A52" s="56" t="inlineStr">
        <is>
          <t>타불라</t>
        </is>
      </c>
      <c r="B52" s="57" t="inlineStr">
        <is>
          <t>6월 25일</t>
        </is>
      </c>
      <c r="C52" s="56" t="inlineStr">
        <is>
          <t>타불라 광고</t>
        </is>
      </c>
      <c r="D52" s="57" t="inlineStr">
        <is>
          <t>0.96%</t>
        </is>
      </c>
      <c r="E52" s="57" t="n">
        <v>1</v>
      </c>
      <c r="F52" s="58" t="inlineStr">
        <is>
          <t>Media</t>
        </is>
      </c>
    </row>
    <row r="53" ht="15" customHeight="1" s="1">
      <c r="A53" s="56" t="inlineStr">
        <is>
          <t>타불라</t>
        </is>
      </c>
      <c r="B53" s="57" t="inlineStr">
        <is>
          <t>6월 27일</t>
        </is>
      </c>
      <c r="C53" s="56" t="inlineStr">
        <is>
          <t>taboola</t>
        </is>
      </c>
      <c r="D53" s="57" t="inlineStr">
        <is>
          <t>7.69%</t>
        </is>
      </c>
      <c r="E53" s="57" t="n">
        <v>1</v>
      </c>
      <c r="F53" s="58" t="inlineStr">
        <is>
          <t>Media</t>
        </is>
      </c>
    </row>
    <row r="54" ht="15" customHeight="1" s="1">
      <c r="A54" s="56" t="inlineStr">
        <is>
          <t>타불라</t>
        </is>
      </c>
      <c r="B54" s="57" t="inlineStr">
        <is>
          <t>6월 28일</t>
        </is>
      </c>
      <c r="C54" s="56" t="inlineStr">
        <is>
          <t>타불라</t>
        </is>
      </c>
      <c r="D54" s="57" t="inlineStr">
        <is>
          <t>4.00%</t>
        </is>
      </c>
      <c r="E54" s="57" t="n">
        <v>3</v>
      </c>
      <c r="F54" s="58" t="inlineStr">
        <is>
          <t>Media</t>
        </is>
      </c>
    </row>
    <row r="55" ht="15" customHeight="1" s="1">
      <c r="A55" s="56" t="inlineStr">
        <is>
          <t>타불라</t>
        </is>
      </c>
      <c r="B55" s="57" t="inlineStr">
        <is>
          <t>6월 28일</t>
        </is>
      </c>
      <c r="C55" s="56" t="inlineStr">
        <is>
          <t>타불라</t>
        </is>
      </c>
      <c r="D55" s="57" t="inlineStr">
        <is>
          <t>1.33%</t>
        </is>
      </c>
      <c r="E55" s="57" t="n">
        <v>1</v>
      </c>
      <c r="F55" s="58" t="inlineStr">
        <is>
          <t>Media</t>
        </is>
      </c>
    </row>
    <row r="56" ht="15" customHeight="1" s="1">
      <c r="A56" s="56" t="inlineStr">
        <is>
          <t>타불라</t>
        </is>
      </c>
      <c r="B56" s="57" t="inlineStr">
        <is>
          <t>6월 29일</t>
        </is>
      </c>
      <c r="C56" s="56" t="inlineStr">
        <is>
          <t>타불라</t>
        </is>
      </c>
      <c r="D56" s="57" t="inlineStr">
        <is>
          <t>2.27%</t>
        </is>
      </c>
      <c r="E56" s="57" t="n">
        <v>1</v>
      </c>
      <c r="F56" s="58" t="inlineStr">
        <is>
          <t>Media</t>
        </is>
      </c>
    </row>
    <row r="57" ht="15" customHeight="1" s="1">
      <c r="A57" s="56" t="inlineStr">
        <is>
          <t>타불라</t>
        </is>
      </c>
      <c r="B57" s="57" t="inlineStr">
        <is>
          <t>6월 29일</t>
        </is>
      </c>
      <c r="C57" s="56" t="inlineStr">
        <is>
          <t>타불라</t>
        </is>
      </c>
      <c r="D57" s="57" t="inlineStr">
        <is>
          <t>2.27%</t>
        </is>
      </c>
      <c r="E57" s="57" t="n">
        <v>1</v>
      </c>
      <c r="F57" s="58" t="inlineStr">
        <is>
          <t>Media</t>
        </is>
      </c>
    </row>
    <row r="58" ht="15" customHeight="1" s="1">
      <c r="A58" s="56" t="inlineStr">
        <is>
          <t>타불라</t>
        </is>
      </c>
      <c r="B58" s="57" t="inlineStr">
        <is>
          <t>6월 2일</t>
        </is>
      </c>
      <c r="C58" s="56" t="inlineStr">
        <is>
          <t>타불라 AI</t>
        </is>
      </c>
      <c r="D58" s="57" t="inlineStr">
        <is>
          <t>1.89%</t>
        </is>
      </c>
      <c r="E58" s="57" t="n">
        <v>1</v>
      </c>
      <c r="F58" s="58" t="inlineStr">
        <is>
          <t>Media</t>
        </is>
      </c>
    </row>
    <row r="59" ht="15" customHeight="1" s="1">
      <c r="A59" s="56" t="inlineStr">
        <is>
          <t>타불라</t>
        </is>
      </c>
      <c r="B59" s="57" t="inlineStr">
        <is>
          <t>6월 30일</t>
        </is>
      </c>
      <c r="C59" s="56" t="inlineStr">
        <is>
          <t>타불라</t>
        </is>
      </c>
      <c r="D59" s="57" t="inlineStr">
        <is>
          <t>0.84%</t>
        </is>
      </c>
      <c r="E59" s="57" t="n">
        <v>1</v>
      </c>
      <c r="F59" s="58" t="inlineStr">
        <is>
          <t>Media</t>
        </is>
      </c>
    </row>
    <row r="60" ht="15" customHeight="1" s="1">
      <c r="A60" s="56" t="inlineStr">
        <is>
          <t>타불라</t>
        </is>
      </c>
      <c r="B60" s="57" t="inlineStr">
        <is>
          <t>6월 30일</t>
        </is>
      </c>
      <c r="C60" s="56" t="inlineStr">
        <is>
          <t>타불라 광고</t>
        </is>
      </c>
      <c r="D60" s="57" t="inlineStr">
        <is>
          <t>0.84%</t>
        </is>
      </c>
      <c r="E60" s="57" t="n">
        <v>1</v>
      </c>
      <c r="F60" s="58" t="inlineStr">
        <is>
          <t>Media</t>
        </is>
      </c>
    </row>
    <row r="61" ht="15" customHeight="1" s="1">
      <c r="A61" s="56" t="inlineStr">
        <is>
          <t>타불라</t>
        </is>
      </c>
      <c r="B61" s="57" t="inlineStr">
        <is>
          <t>6월 30일</t>
        </is>
      </c>
      <c r="C61" s="56" t="inlineStr">
        <is>
          <t>타불라</t>
        </is>
      </c>
      <c r="D61" s="57" t="inlineStr">
        <is>
          <t>1.68%</t>
        </is>
      </c>
      <c r="E61" s="57" t="n">
        <v>2</v>
      </c>
      <c r="F61" s="58" t="inlineStr">
        <is>
          <t>Media</t>
        </is>
      </c>
    </row>
    <row r="62" ht="15" customHeight="1" s="1">
      <c r="A62" s="56" t="inlineStr">
        <is>
          <t>타불라</t>
        </is>
      </c>
      <c r="B62" s="57" t="inlineStr">
        <is>
          <t>6월 30일</t>
        </is>
      </c>
      <c r="C62" s="56" t="inlineStr">
        <is>
          <t>타블라 광고</t>
        </is>
      </c>
      <c r="D62" s="57" t="inlineStr">
        <is>
          <t>0.84%</t>
        </is>
      </c>
      <c r="E62" s="57" t="n">
        <v>1</v>
      </c>
      <c r="F62" s="58" t="inlineStr">
        <is>
          <t>Media</t>
        </is>
      </c>
    </row>
    <row r="63" ht="15" customHeight="1" s="1">
      <c r="A63" s="56" t="inlineStr">
        <is>
          <t>타불라</t>
        </is>
      </c>
      <c r="B63" s="57" t="inlineStr">
        <is>
          <t>6월 4일</t>
        </is>
      </c>
      <c r="C63" s="56" t="inlineStr">
        <is>
          <t>타불라 광고</t>
        </is>
      </c>
      <c r="D63" s="57" t="inlineStr">
        <is>
          <t>0.96%</t>
        </is>
      </c>
      <c r="E63" s="57" t="n">
        <v>1</v>
      </c>
      <c r="F63" s="58" t="inlineStr">
        <is>
          <t>Media</t>
        </is>
      </c>
    </row>
    <row r="64" ht="15" customHeight="1" s="1">
      <c r="A64" s="56" t="inlineStr">
        <is>
          <t>타불라</t>
        </is>
      </c>
      <c r="B64" s="57" t="inlineStr">
        <is>
          <t>6월 4일</t>
        </is>
      </c>
      <c r="C64" s="56" t="inlineStr">
        <is>
          <t>타불라 광고</t>
        </is>
      </c>
      <c r="D64" s="57" t="inlineStr">
        <is>
          <t>0.96%</t>
        </is>
      </c>
      <c r="E64" s="57" t="n">
        <v>1</v>
      </c>
      <c r="F64" s="58" t="inlineStr">
        <is>
          <t>Media</t>
        </is>
      </c>
    </row>
    <row r="65" ht="15" customHeight="1" s="1">
      <c r="A65" s="56" t="inlineStr">
        <is>
          <t>타불라</t>
        </is>
      </c>
      <c r="B65" s="57" t="inlineStr">
        <is>
          <t>6월 5일</t>
        </is>
      </c>
      <c r="C65" s="56" t="inlineStr">
        <is>
          <t>타불라</t>
        </is>
      </c>
      <c r="D65" s="57" t="inlineStr">
        <is>
          <t>1.89%</t>
        </is>
      </c>
      <c r="E65" s="57" t="n">
        <v>1</v>
      </c>
      <c r="F65" s="58" t="inlineStr">
        <is>
          <t>Media</t>
        </is>
      </c>
    </row>
    <row r="66" ht="15" customHeight="1" s="1">
      <c r="A66" s="56" t="inlineStr">
        <is>
          <t>타불라</t>
        </is>
      </c>
      <c r="B66" s="57" t="inlineStr">
        <is>
          <t>6월 5일</t>
        </is>
      </c>
      <c r="C66" s="56" t="inlineStr">
        <is>
          <t>타불라 광고</t>
        </is>
      </c>
      <c r="D66" s="57" t="inlineStr">
        <is>
          <t>1.89%</t>
        </is>
      </c>
      <c r="E66" s="57" t="n">
        <v>1</v>
      </c>
      <c r="F66" s="58" t="inlineStr">
        <is>
          <t>Media</t>
        </is>
      </c>
    </row>
    <row r="67" ht="15" customHeight="1" s="1">
      <c r="A67" s="56" t="inlineStr">
        <is>
          <t>타불라</t>
        </is>
      </c>
      <c r="B67" s="57" t="inlineStr">
        <is>
          <t>6월 6일</t>
        </is>
      </c>
      <c r="C67" s="56" t="inlineStr">
        <is>
          <t>타불라</t>
        </is>
      </c>
      <c r="D67" s="57" t="inlineStr">
        <is>
          <t>4.00%</t>
        </is>
      </c>
      <c r="E67" s="57" t="n">
        <v>1</v>
      </c>
      <c r="F67" s="58" t="inlineStr">
        <is>
          <t>Media</t>
        </is>
      </c>
    </row>
    <row r="68" ht="15" customHeight="1" s="1">
      <c r="A68" s="56" t="inlineStr">
        <is>
          <t>타불라</t>
        </is>
      </c>
      <c r="B68" s="57" t="inlineStr">
        <is>
          <t>6월 6일</t>
        </is>
      </c>
      <c r="C68" s="56" t="inlineStr">
        <is>
          <t>타뷸라코리아</t>
        </is>
      </c>
      <c r="D68" s="57" t="inlineStr">
        <is>
          <t>4.00%</t>
        </is>
      </c>
      <c r="E68" s="57" t="n">
        <v>1</v>
      </c>
      <c r="F68" s="58" t="inlineStr">
        <is>
          <t>Media</t>
        </is>
      </c>
    </row>
    <row r="69" ht="15" customHeight="1" s="1">
      <c r="A69" s="56" t="inlineStr">
        <is>
          <t>타불라</t>
        </is>
      </c>
      <c r="B69" s="57" t="inlineStr">
        <is>
          <t>6월 7일</t>
        </is>
      </c>
      <c r="C69" s="56" t="inlineStr">
        <is>
          <t>타불라</t>
        </is>
      </c>
      <c r="D69" s="57" t="inlineStr">
        <is>
          <t>6.67%</t>
        </is>
      </c>
      <c r="E69" s="57" t="n">
        <v>1</v>
      </c>
      <c r="F69" s="58" t="inlineStr">
        <is>
          <t>Media</t>
        </is>
      </c>
    </row>
    <row r="70" ht="15" customHeight="1" s="1">
      <c r="A70" s="56" t="inlineStr">
        <is>
          <t>타불라</t>
        </is>
      </c>
      <c r="B70" s="57" t="inlineStr">
        <is>
          <t>6월 8일</t>
        </is>
      </c>
      <c r="C70" s="56" t="inlineStr">
        <is>
          <t>타불라 코리아</t>
        </is>
      </c>
      <c r="D70" s="57" t="inlineStr">
        <is>
          <t>4.65%</t>
        </is>
      </c>
      <c r="E70" s="57" t="n">
        <v>2</v>
      </c>
      <c r="F70" s="58" t="inlineStr">
        <is>
          <t>Media</t>
        </is>
      </c>
    </row>
    <row r="71" ht="15" customHeight="1" s="1">
      <c r="A71" s="56" t="inlineStr">
        <is>
          <t>타불라</t>
        </is>
      </c>
      <c r="B71" s="57" t="inlineStr">
        <is>
          <t>6월 8일</t>
        </is>
      </c>
      <c r="C71" s="56" t="inlineStr">
        <is>
          <t>타불라</t>
        </is>
      </c>
      <c r="D71" s="57" t="inlineStr">
        <is>
          <t>2.33%</t>
        </is>
      </c>
      <c r="E71" s="57" t="n">
        <v>1</v>
      </c>
      <c r="F71" s="58" t="inlineStr">
        <is>
          <t>Media</t>
        </is>
      </c>
    </row>
    <row r="72" ht="15" customHeight="1" s="1">
      <c r="A72" s="56" t="inlineStr">
        <is>
          <t>디엠씨미디어</t>
        </is>
      </c>
      <c r="B72" s="57" t="inlineStr">
        <is>
          <t>6월 10일</t>
        </is>
      </c>
      <c r="C72" s="56" t="inlineStr">
        <is>
          <t>DMC 미디어</t>
        </is>
      </c>
      <c r="D72" s="57" t="inlineStr">
        <is>
          <t>0.87%</t>
        </is>
      </c>
      <c r="E72" s="57" t="n">
        <v>1</v>
      </c>
      <c r="F72" s="59" t="inlineStr">
        <is>
          <t>About</t>
        </is>
      </c>
    </row>
    <row r="73" ht="15" customHeight="1" s="1">
      <c r="A73" s="56" t="inlineStr">
        <is>
          <t>디엠씨미디어</t>
        </is>
      </c>
      <c r="B73" s="57" t="inlineStr">
        <is>
          <t>6월 10일</t>
        </is>
      </c>
      <c r="C73" s="56" t="inlineStr">
        <is>
          <t>dmcmedia</t>
        </is>
      </c>
      <c r="D73" s="57" t="inlineStr">
        <is>
          <t>0.87%</t>
        </is>
      </c>
      <c r="E73" s="57" t="n">
        <v>1</v>
      </c>
      <c r="F73" s="59" t="inlineStr">
        <is>
          <t>About</t>
        </is>
      </c>
    </row>
    <row r="74" ht="15" customHeight="1" s="1">
      <c r="A74" s="56" t="inlineStr">
        <is>
          <t>디엠씨미디어</t>
        </is>
      </c>
      <c r="B74" s="57" t="inlineStr">
        <is>
          <t>6월 10일</t>
        </is>
      </c>
      <c r="C74" s="56" t="inlineStr">
        <is>
          <t>디엠씨미디어 복지</t>
        </is>
      </c>
      <c r="D74" s="57" t="inlineStr">
        <is>
          <t>0.87%</t>
        </is>
      </c>
      <c r="E74" s="57" t="n">
        <v>1</v>
      </c>
      <c r="F74" s="60" t="inlineStr">
        <is>
          <t>People</t>
        </is>
      </c>
    </row>
    <row r="75" ht="15" customHeight="1" s="1">
      <c r="A75" s="56" t="inlineStr">
        <is>
          <t>디엠씨미디어</t>
        </is>
      </c>
      <c r="B75" s="57" t="inlineStr">
        <is>
          <t>6월 10일</t>
        </is>
      </c>
      <c r="C75" s="56" t="inlineStr">
        <is>
          <t>dmc 미디어 해운대</t>
        </is>
      </c>
      <c r="D75" s="57" t="inlineStr">
        <is>
          <t>0.87%</t>
        </is>
      </c>
      <c r="E75" s="57" t="n">
        <v>1</v>
      </c>
      <c r="F75" s="59" t="inlineStr">
        <is>
          <t>About</t>
        </is>
      </c>
    </row>
    <row r="76" ht="15" customHeight="1" s="1">
      <c r="A76" s="56" t="inlineStr">
        <is>
          <t>디엠씨미디어</t>
        </is>
      </c>
      <c r="B76" s="57" t="inlineStr">
        <is>
          <t>6월 10일</t>
        </is>
      </c>
      <c r="C76" s="56" t="inlineStr">
        <is>
          <t>디엠씨미디어 이준희</t>
        </is>
      </c>
      <c r="D76" s="57" t="inlineStr">
        <is>
          <t>0.87%</t>
        </is>
      </c>
      <c r="E76" s="57" t="n">
        <v>1</v>
      </c>
      <c r="F76" s="59" t="inlineStr">
        <is>
          <t>About</t>
        </is>
      </c>
    </row>
    <row r="77" ht="15" customHeight="1" s="1">
      <c r="A77" s="56" t="inlineStr">
        <is>
          <t>디엠씨미디어</t>
        </is>
      </c>
      <c r="B77" s="57" t="inlineStr">
        <is>
          <t>6월 11일</t>
        </is>
      </c>
      <c r="C77" s="56" t="inlineStr">
        <is>
          <t>DMC선크림</t>
        </is>
      </c>
      <c r="D77" s="57" t="inlineStr">
        <is>
          <t>2.56%</t>
        </is>
      </c>
      <c r="E77" s="57" t="n">
        <v>1</v>
      </c>
      <c r="F77" s="61" t="inlineStr">
        <is>
          <t>Trend</t>
        </is>
      </c>
    </row>
    <row r="78" ht="15" customHeight="1" s="1">
      <c r="A78" s="56" t="inlineStr">
        <is>
          <t>디엠씨미디어</t>
        </is>
      </c>
      <c r="B78" s="57" t="inlineStr">
        <is>
          <t>6월 11일</t>
        </is>
      </c>
      <c r="C78" s="56" t="inlineStr">
        <is>
          <t>디엠씨미디어</t>
        </is>
      </c>
      <c r="D78" s="57" t="inlineStr">
        <is>
          <t>2.56%</t>
        </is>
      </c>
      <c r="E78" s="57" t="n">
        <v>1</v>
      </c>
      <c r="F78" s="59" t="inlineStr">
        <is>
          <t>About</t>
        </is>
      </c>
    </row>
    <row r="79" ht="15" customHeight="1" s="1">
      <c r="A79" s="56" t="inlineStr">
        <is>
          <t>디엠씨미디어</t>
        </is>
      </c>
      <c r="B79" s="57" t="inlineStr">
        <is>
          <t>6월 11일</t>
        </is>
      </c>
      <c r="C79" s="56" t="inlineStr">
        <is>
          <t>디프레임 디엠씨</t>
        </is>
      </c>
      <c r="D79" s="57" t="inlineStr">
        <is>
          <t>2.56%</t>
        </is>
      </c>
      <c r="E79" s="57" t="n">
        <v>1</v>
      </c>
      <c r="F79" s="59" t="inlineStr">
        <is>
          <t>About</t>
        </is>
      </c>
    </row>
    <row r="80" ht="15" customHeight="1" s="1">
      <c r="A80" s="56" t="inlineStr">
        <is>
          <t>디엠씨미디어</t>
        </is>
      </c>
      <c r="B80" s="57" t="inlineStr">
        <is>
          <t>6월 12일</t>
        </is>
      </c>
      <c r="C80" s="56" t="inlineStr">
        <is>
          <t>디엠씨미디어</t>
        </is>
      </c>
      <c r="D80" s="57" t="inlineStr">
        <is>
          <t>4.17%</t>
        </is>
      </c>
      <c r="E80" s="57" t="n">
        <v>2</v>
      </c>
      <c r="F80" s="59" t="inlineStr">
        <is>
          <t>About</t>
        </is>
      </c>
    </row>
    <row r="81" ht="15" customHeight="1" s="1">
      <c r="A81" s="56" t="inlineStr">
        <is>
          <t>디엠씨미디어</t>
        </is>
      </c>
      <c r="B81" s="57" t="inlineStr">
        <is>
          <t>6월 12일</t>
        </is>
      </c>
      <c r="C81" s="56" t="inlineStr">
        <is>
          <t>DMC미디어</t>
        </is>
      </c>
      <c r="D81" s="57" t="inlineStr">
        <is>
          <t>2.08%</t>
        </is>
      </c>
      <c r="E81" s="57" t="n">
        <v>1</v>
      </c>
      <c r="F81" s="59" t="inlineStr">
        <is>
          <t>About</t>
        </is>
      </c>
    </row>
    <row r="82" ht="15" customHeight="1" s="1">
      <c r="A82" s="56" t="inlineStr">
        <is>
          <t>디엠씨미디어</t>
        </is>
      </c>
      <c r="B82" s="57" t="inlineStr">
        <is>
          <t>6월 12일</t>
        </is>
      </c>
      <c r="C82" s="56" t="inlineStr">
        <is>
          <t>GEO 솔루션(D.SaiO</t>
        </is>
      </c>
      <c r="D82" s="57" t="inlineStr">
        <is>
          <t>2.08%</t>
        </is>
      </c>
      <c r="E82" s="57" t="n">
        <v>1</v>
      </c>
      <c r="F82" s="59" t="inlineStr">
        <is>
          <t>About</t>
        </is>
      </c>
    </row>
    <row r="83" ht="15" customHeight="1" s="1">
      <c r="A83" s="56" t="inlineStr">
        <is>
          <t>디엠씨미디어</t>
        </is>
      </c>
      <c r="B83" s="57" t="inlineStr">
        <is>
          <t>6월 12일</t>
        </is>
      </c>
      <c r="C83" s="56" t="inlineStr">
        <is>
          <t>디엠씨미디어</t>
        </is>
      </c>
      <c r="D83" s="57" t="inlineStr">
        <is>
          <t>2.08%</t>
        </is>
      </c>
      <c r="E83" s="57" t="n">
        <v>1</v>
      </c>
      <c r="F83" s="59" t="inlineStr">
        <is>
          <t>About</t>
        </is>
      </c>
    </row>
    <row r="84" ht="15" customHeight="1" s="1">
      <c r="A84" s="56" t="inlineStr">
        <is>
          <t>디엠씨미디어</t>
        </is>
      </c>
      <c r="B84" s="57" t="inlineStr">
        <is>
          <t>6월 12일</t>
        </is>
      </c>
      <c r="C84" s="56" t="inlineStr">
        <is>
          <t>디엠씨미디어 CRM</t>
        </is>
      </c>
      <c r="D84" s="57" t="inlineStr">
        <is>
          <t>2.08%</t>
        </is>
      </c>
      <c r="E84" s="57" t="n">
        <v>1</v>
      </c>
      <c r="F84" s="59" t="inlineStr">
        <is>
          <t>About</t>
        </is>
      </c>
    </row>
    <row r="85" ht="15" customHeight="1" s="1">
      <c r="A85" s="56" t="inlineStr">
        <is>
          <t>디엠씨미디어</t>
        </is>
      </c>
      <c r="B85" s="57" t="inlineStr">
        <is>
          <t>6월 15일</t>
        </is>
      </c>
      <c r="C85" s="56" t="inlineStr">
        <is>
          <t>디엠씨미디어</t>
        </is>
      </c>
      <c r="D85" s="57" t="inlineStr">
        <is>
          <t>2.86%</t>
        </is>
      </c>
      <c r="E85" s="57" t="n">
        <v>1</v>
      </c>
      <c r="F85" s="59" t="inlineStr">
        <is>
          <t>About</t>
        </is>
      </c>
    </row>
    <row r="86" ht="15" customHeight="1" s="1">
      <c r="A86" s="56" t="inlineStr">
        <is>
          <t>디엠씨미디어</t>
        </is>
      </c>
      <c r="B86" s="57" t="inlineStr">
        <is>
          <t>6월 15일</t>
        </is>
      </c>
      <c r="C86" s="56" t="inlineStr">
        <is>
          <t>모비엠</t>
        </is>
      </c>
      <c r="D86" s="57" t="inlineStr">
        <is>
          <t>2.86%</t>
        </is>
      </c>
      <c r="E86" s="57" t="n">
        <v>1</v>
      </c>
      <c r="F86" s="59" t="inlineStr">
        <is>
          <t>About</t>
        </is>
      </c>
    </row>
    <row r="87" ht="15" customHeight="1" s="1">
      <c r="A87" s="56" t="inlineStr">
        <is>
          <t>디엠씨미디어</t>
        </is>
      </c>
      <c r="B87" s="57" t="inlineStr">
        <is>
          <t>6월 15일</t>
        </is>
      </c>
      <c r="C87" s="56" t="inlineStr">
        <is>
          <t>디엠씨미디어</t>
        </is>
      </c>
      <c r="D87" s="57" t="inlineStr">
        <is>
          <t>2.86%</t>
        </is>
      </c>
      <c r="E87" s="57" t="n">
        <v>1</v>
      </c>
      <c r="F87" s="59" t="inlineStr">
        <is>
          <t>About</t>
        </is>
      </c>
    </row>
    <row r="88" ht="15" customHeight="1" s="1">
      <c r="A88" s="56" t="inlineStr">
        <is>
          <t>디엠씨미디어</t>
        </is>
      </c>
      <c r="B88" s="57" t="inlineStr">
        <is>
          <t>6월 15일</t>
        </is>
      </c>
      <c r="C88" s="56" t="inlineStr">
        <is>
          <t>디프레임</t>
        </is>
      </c>
      <c r="D88" s="57" t="inlineStr">
        <is>
          <t>2.86%</t>
        </is>
      </c>
      <c r="E88" s="57" t="n">
        <v>1</v>
      </c>
      <c r="F88" s="59" t="inlineStr">
        <is>
          <t>About</t>
        </is>
      </c>
    </row>
    <row r="89" ht="15" customHeight="1" s="1">
      <c r="A89" s="56" t="inlineStr">
        <is>
          <t>디엠씨미디어</t>
        </is>
      </c>
      <c r="B89" s="57" t="inlineStr">
        <is>
          <t>6월 16일</t>
        </is>
      </c>
      <c r="C89" s="56" t="inlineStr">
        <is>
          <t>DMC리포트 디지털 광고 효율 분석표</t>
        </is>
      </c>
      <c r="D89" s="57" t="inlineStr">
        <is>
          <t>2.04%</t>
        </is>
      </c>
      <c r="E89" s="57" t="n">
        <v>1</v>
      </c>
      <c r="F89" s="59" t="inlineStr">
        <is>
          <t>About</t>
        </is>
      </c>
    </row>
    <row r="90" ht="15" customHeight="1" s="1">
      <c r="A90" s="56" t="inlineStr">
        <is>
          <t>디엠씨미디어</t>
        </is>
      </c>
      <c r="B90" s="57" t="inlineStr">
        <is>
          <t>6월 16일</t>
        </is>
      </c>
      <c r="C90" s="56" t="inlineStr">
        <is>
          <t>DMC미디어</t>
        </is>
      </c>
      <c r="D90" s="57" t="inlineStr">
        <is>
          <t>2.04%</t>
        </is>
      </c>
      <c r="E90" s="57" t="n">
        <v>1</v>
      </c>
      <c r="F90" s="59" t="inlineStr">
        <is>
          <t>About</t>
        </is>
      </c>
    </row>
    <row r="91" ht="15" customHeight="1" s="1">
      <c r="A91" s="56" t="inlineStr">
        <is>
          <t>디엠씨미디어</t>
        </is>
      </c>
      <c r="B91" s="57" t="inlineStr">
        <is>
          <t>6월 16일</t>
        </is>
      </c>
      <c r="C91" s="56" t="inlineStr">
        <is>
          <t>모비엠</t>
        </is>
      </c>
      <c r="D91" s="57" t="inlineStr">
        <is>
          <t>2.04%</t>
        </is>
      </c>
      <c r="E91" s="57" t="n">
        <v>1</v>
      </c>
      <c r="F91" s="59" t="inlineStr">
        <is>
          <t>About</t>
        </is>
      </c>
    </row>
    <row r="92" ht="15" customHeight="1" s="1">
      <c r="A92" s="56" t="inlineStr">
        <is>
          <t>디엠씨미디어</t>
        </is>
      </c>
      <c r="B92" s="57" t="inlineStr">
        <is>
          <t>6월 16일</t>
        </is>
      </c>
      <c r="C92" s="56" t="inlineStr">
        <is>
          <t>디엠씨미디어</t>
        </is>
      </c>
      <c r="D92" s="57" t="inlineStr">
        <is>
          <t>2.04%</t>
        </is>
      </c>
      <c r="E92" s="57" t="n">
        <v>1</v>
      </c>
      <c r="F92" s="59" t="inlineStr">
        <is>
          <t>About</t>
        </is>
      </c>
    </row>
    <row r="93" ht="15" customHeight="1" s="1">
      <c r="A93" s="56" t="inlineStr">
        <is>
          <t>디엠씨미디어</t>
        </is>
      </c>
      <c r="B93" s="57" t="inlineStr">
        <is>
          <t>6월 17일</t>
        </is>
      </c>
      <c r="C93" s="56" t="inlineStr">
        <is>
          <t>디엠씨미디어</t>
        </is>
      </c>
      <c r="D93" s="57" t="inlineStr">
        <is>
          <t>3.23%</t>
        </is>
      </c>
      <c r="E93" s="57" t="n">
        <v>1</v>
      </c>
      <c r="F93" s="59" t="inlineStr">
        <is>
          <t>About</t>
        </is>
      </c>
    </row>
    <row r="94" ht="15" customHeight="1" s="1">
      <c r="A94" s="56" t="inlineStr">
        <is>
          <t>디엠씨미디어</t>
        </is>
      </c>
      <c r="B94" s="57" t="inlineStr">
        <is>
          <t>6월 18일</t>
        </is>
      </c>
      <c r="C94" s="56" t="inlineStr">
        <is>
          <t>디엠씨미디어</t>
        </is>
      </c>
      <c r="D94" s="57" t="inlineStr">
        <is>
          <t>3.26%</t>
        </is>
      </c>
      <c r="E94" s="57" t="n">
        <v>3</v>
      </c>
      <c r="F94" s="59" t="inlineStr">
        <is>
          <t>About</t>
        </is>
      </c>
    </row>
    <row r="95" ht="15" customHeight="1" s="1">
      <c r="A95" s="56" t="inlineStr">
        <is>
          <t>디엠씨미디어</t>
        </is>
      </c>
      <c r="B95" s="57" t="inlineStr">
        <is>
          <t>6월 19일</t>
        </is>
      </c>
      <c r="C95" s="56" t="inlineStr">
        <is>
          <t>디엠씨미디어 광고팀</t>
        </is>
      </c>
      <c r="D95" s="57" t="inlineStr">
        <is>
          <t>1.75%</t>
        </is>
      </c>
      <c r="E95" s="57" t="n">
        <v>1</v>
      </c>
      <c r="F95" s="59" t="inlineStr">
        <is>
          <t>About</t>
        </is>
      </c>
    </row>
    <row r="96" ht="15" customHeight="1" s="1">
      <c r="A96" s="56" t="inlineStr">
        <is>
          <t>디엠씨미디어</t>
        </is>
      </c>
      <c r="B96" s="57" t="inlineStr">
        <is>
          <t>6월 1일</t>
        </is>
      </c>
      <c r="C96" s="56" t="inlineStr">
        <is>
          <t>ABBE 프레임워크</t>
        </is>
      </c>
      <c r="D96" s="57" t="inlineStr">
        <is>
          <t>3.03%</t>
        </is>
      </c>
      <c r="E96" s="57" t="n">
        <v>1</v>
      </c>
      <c r="F96" s="59" t="inlineStr">
        <is>
          <t>About</t>
        </is>
      </c>
    </row>
    <row r="97" ht="15" customHeight="1" s="1">
      <c r="A97" s="56" t="inlineStr">
        <is>
          <t>디엠씨미디어</t>
        </is>
      </c>
      <c r="B97" s="57" t="inlineStr">
        <is>
          <t>6월 20일</t>
        </is>
      </c>
      <c r="C97" s="56" t="inlineStr">
        <is>
          <t>디엠씨미디어</t>
        </is>
      </c>
      <c r="D97" s="57" t="inlineStr">
        <is>
          <t>8.33%</t>
        </is>
      </c>
      <c r="E97" s="57" t="n">
        <v>1</v>
      </c>
      <c r="F97" s="59" t="inlineStr">
        <is>
          <t>About</t>
        </is>
      </c>
    </row>
    <row r="98" ht="15" customHeight="1" s="1">
      <c r="A98" s="56" t="inlineStr">
        <is>
          <t>디엠씨미디어</t>
        </is>
      </c>
      <c r="B98" s="57" t="inlineStr">
        <is>
          <t>6월 21일</t>
        </is>
      </c>
      <c r="C98" s="56" t="inlineStr">
        <is>
          <t>DMC 방탈출</t>
        </is>
      </c>
      <c r="D98" s="57" t="inlineStr">
        <is>
          <t>3.57%</t>
        </is>
      </c>
      <c r="E98" s="57" t="n">
        <v>1</v>
      </c>
      <c r="F98" s="61" t="inlineStr">
        <is>
          <t>Trend</t>
        </is>
      </c>
    </row>
    <row r="99" ht="15" customHeight="1" s="1">
      <c r="A99" s="56" t="inlineStr">
        <is>
          <t>디엠씨미디어</t>
        </is>
      </c>
      <c r="B99" s="57" t="inlineStr">
        <is>
          <t>6월 23일</t>
        </is>
      </c>
      <c r="C99" s="56" t="inlineStr">
        <is>
          <t>디엠씨미디어</t>
        </is>
      </c>
      <c r="D99" s="57" t="inlineStr">
        <is>
          <t>4.26%</t>
        </is>
      </c>
      <c r="E99" s="57" t="n">
        <v>2</v>
      </c>
      <c r="F99" s="59" t="inlineStr">
        <is>
          <t>About</t>
        </is>
      </c>
    </row>
    <row r="100" ht="15" customHeight="1" s="1">
      <c r="A100" s="56" t="inlineStr">
        <is>
          <t>디엠씨미디어</t>
        </is>
      </c>
      <c r="B100" s="57" t="inlineStr">
        <is>
          <t>6월 23일</t>
        </is>
      </c>
      <c r="C100" s="56" t="inlineStr">
        <is>
          <t>dmc미디어</t>
        </is>
      </c>
      <c r="D100" s="57" t="inlineStr">
        <is>
          <t>2.13%</t>
        </is>
      </c>
      <c r="E100" s="57" t="n">
        <v>1</v>
      </c>
      <c r="F100" s="59" t="inlineStr">
        <is>
          <t>About</t>
        </is>
      </c>
    </row>
    <row r="101" ht="15" customHeight="1" s="1">
      <c r="A101" s="56" t="inlineStr">
        <is>
          <t>디엠씨미디어</t>
        </is>
      </c>
      <c r="B101" s="57" t="inlineStr">
        <is>
          <t>6월 23일</t>
        </is>
      </c>
      <c r="C101" s="56" t="inlineStr">
        <is>
          <t>d.saio</t>
        </is>
      </c>
      <c r="D101" s="57" t="inlineStr">
        <is>
          <t>2.13%</t>
        </is>
      </c>
      <c r="E101" s="57" t="n">
        <v>1</v>
      </c>
      <c r="F101" s="59" t="inlineStr">
        <is>
          <t>About</t>
        </is>
      </c>
    </row>
    <row r="102" ht="15" customHeight="1" s="1">
      <c r="A102" s="56" t="inlineStr">
        <is>
          <t>디엠씨미디어</t>
        </is>
      </c>
      <c r="B102" s="57" t="inlineStr">
        <is>
          <t>6월 24일</t>
        </is>
      </c>
      <c r="C102" s="56" t="inlineStr">
        <is>
          <t>디엠씨미디어</t>
        </is>
      </c>
      <c r="D102" s="57" t="inlineStr">
        <is>
          <t>2.94%</t>
        </is>
      </c>
      <c r="E102" s="57" t="n">
        <v>1</v>
      </c>
      <c r="F102" s="59" t="inlineStr">
        <is>
          <t>About</t>
        </is>
      </c>
    </row>
    <row r="103" ht="15" customHeight="1" s="1">
      <c r="A103" s="56" t="inlineStr">
        <is>
          <t>디엠씨미디어</t>
        </is>
      </c>
      <c r="B103" s="57" t="inlineStr">
        <is>
          <t>6월 24일</t>
        </is>
      </c>
      <c r="C103" s="56" t="inlineStr">
        <is>
          <t>디엠씨미디어 이준희</t>
        </is>
      </c>
      <c r="D103" s="57" t="inlineStr">
        <is>
          <t>2.94%</t>
        </is>
      </c>
      <c r="E103" s="57" t="n">
        <v>1</v>
      </c>
      <c r="F103" s="59" t="inlineStr">
        <is>
          <t>About</t>
        </is>
      </c>
    </row>
    <row r="104" ht="15" customHeight="1" s="1">
      <c r="A104" s="56" t="inlineStr">
        <is>
          <t>디엠씨미디어</t>
        </is>
      </c>
      <c r="B104" s="57" t="inlineStr">
        <is>
          <t>6월 24일</t>
        </is>
      </c>
      <c r="C104" s="56" t="inlineStr">
        <is>
          <t>이인성 박사</t>
        </is>
      </c>
      <c r="D104" s="57" t="inlineStr">
        <is>
          <t>2.94%</t>
        </is>
      </c>
      <c r="E104" s="57" t="n">
        <v>1</v>
      </c>
      <c r="F104" s="59" t="inlineStr">
        <is>
          <t>About</t>
        </is>
      </c>
    </row>
    <row r="105" ht="15" customHeight="1" s="1">
      <c r="A105" s="56" t="inlineStr">
        <is>
          <t>디엠씨미디어</t>
        </is>
      </c>
      <c r="B105" s="57" t="inlineStr">
        <is>
          <t>6월 24일</t>
        </is>
      </c>
      <c r="C105" s="56" t="inlineStr">
        <is>
          <t>디엠씨미디어</t>
        </is>
      </c>
      <c r="D105" s="57" t="inlineStr">
        <is>
          <t>5.88%</t>
        </is>
      </c>
      <c r="E105" s="57" t="n">
        <v>2</v>
      </c>
      <c r="F105" s="59" t="inlineStr">
        <is>
          <t>About</t>
        </is>
      </c>
    </row>
    <row r="106" ht="15" customHeight="1" s="1">
      <c r="A106" s="56" t="inlineStr">
        <is>
          <t>디엠씨미디어</t>
        </is>
      </c>
      <c r="B106" s="57" t="inlineStr">
        <is>
          <t>6월 25일</t>
        </is>
      </c>
      <c r="C106" s="56" t="inlineStr">
        <is>
          <t>디엠씨미디어</t>
        </is>
      </c>
      <c r="D106" s="57" t="inlineStr">
        <is>
          <t>0.96%</t>
        </is>
      </c>
      <c r="E106" s="57" t="n">
        <v>1</v>
      </c>
      <c r="F106" s="59" t="inlineStr">
        <is>
          <t>About</t>
        </is>
      </c>
    </row>
    <row r="107" ht="15" customHeight="1" s="1">
      <c r="A107" s="56" t="inlineStr">
        <is>
          <t>디엠씨미디어</t>
        </is>
      </c>
      <c r="B107" s="57" t="inlineStr">
        <is>
          <t>6월 25일</t>
        </is>
      </c>
      <c r="C107" s="56" t="inlineStr">
        <is>
          <t>디엠씨미디어</t>
        </is>
      </c>
      <c r="D107" s="57" t="inlineStr">
        <is>
          <t>0.96%</t>
        </is>
      </c>
      <c r="E107" s="57" t="n">
        <v>1</v>
      </c>
      <c r="F107" s="59" t="inlineStr">
        <is>
          <t>About</t>
        </is>
      </c>
    </row>
    <row r="108" ht="15" customHeight="1" s="1">
      <c r="A108" s="56" t="inlineStr">
        <is>
          <t>디엠씨미디어</t>
        </is>
      </c>
      <c r="B108" s="57" t="inlineStr">
        <is>
          <t>6월 26일</t>
        </is>
      </c>
      <c r="C108" s="56" t="inlineStr">
        <is>
          <t>dmc미디어</t>
        </is>
      </c>
      <c r="D108" s="57" t="inlineStr">
        <is>
          <t>2.86%</t>
        </is>
      </c>
      <c r="E108" s="57" t="n">
        <v>1</v>
      </c>
      <c r="F108" s="59" t="inlineStr">
        <is>
          <t>About</t>
        </is>
      </c>
    </row>
    <row r="109" ht="15" customHeight="1" s="1">
      <c r="A109" s="56" t="inlineStr">
        <is>
          <t>디엠씨미디어</t>
        </is>
      </c>
      <c r="B109" s="57" t="inlineStr">
        <is>
          <t>6월 26일</t>
        </is>
      </c>
      <c r="C109" s="56" t="inlineStr">
        <is>
          <t>디엠씨</t>
        </is>
      </c>
      <c r="D109" s="57" t="inlineStr">
        <is>
          <t>2.86%</t>
        </is>
      </c>
      <c r="E109" s="57" t="n">
        <v>1</v>
      </c>
      <c r="F109" s="59" t="inlineStr">
        <is>
          <t>About</t>
        </is>
      </c>
    </row>
    <row r="110" ht="15" customHeight="1" s="1">
      <c r="A110" s="56" t="inlineStr">
        <is>
          <t>디엠씨미디어</t>
        </is>
      </c>
      <c r="B110" s="57" t="inlineStr">
        <is>
          <t>6월 26일</t>
        </is>
      </c>
      <c r="C110" s="56" t="inlineStr">
        <is>
          <t>SAIO</t>
        </is>
      </c>
      <c r="D110" s="57" t="inlineStr">
        <is>
          <t>2.86%</t>
        </is>
      </c>
      <c r="E110" s="57" t="n">
        <v>1</v>
      </c>
      <c r="F110" s="59" t="inlineStr">
        <is>
          <t>About</t>
        </is>
      </c>
    </row>
    <row r="111" ht="15" customHeight="1" s="1">
      <c r="A111" s="56" t="inlineStr">
        <is>
          <t>디엠씨미디어</t>
        </is>
      </c>
      <c r="B111" s="57" t="inlineStr">
        <is>
          <t>6월 26일</t>
        </is>
      </c>
      <c r="C111" s="56" t="inlineStr">
        <is>
          <t>디엠씨미디어 소셜미디어 이용행태</t>
        </is>
      </c>
      <c r="D111" s="57" t="inlineStr">
        <is>
          <t>2.86%</t>
        </is>
      </c>
      <c r="E111" s="57" t="n">
        <v>1</v>
      </c>
      <c r="F111" s="61" t="inlineStr">
        <is>
          <t>Trend</t>
        </is>
      </c>
    </row>
    <row r="112" ht="15" customHeight="1" s="1">
      <c r="A112" s="56" t="inlineStr">
        <is>
          <t>디엠씨미디어</t>
        </is>
      </c>
      <c r="B112" s="57" t="inlineStr">
        <is>
          <t>6월 26일</t>
        </is>
      </c>
      <c r="C112" s="56" t="inlineStr">
        <is>
          <t>디엠씨미디어</t>
        </is>
      </c>
      <c r="D112" s="57" t="inlineStr">
        <is>
          <t>2.86%</t>
        </is>
      </c>
      <c r="E112" s="57" t="n">
        <v>1</v>
      </c>
      <c r="F112" s="59" t="inlineStr">
        <is>
          <t>About</t>
        </is>
      </c>
    </row>
    <row r="113" ht="15" customHeight="1" s="1">
      <c r="A113" s="56" t="inlineStr">
        <is>
          <t>디엠씨미디어</t>
        </is>
      </c>
      <c r="B113" s="57" t="inlineStr">
        <is>
          <t>6월 29일</t>
        </is>
      </c>
      <c r="C113" s="56" t="inlineStr">
        <is>
          <t>dmc미디어 geo</t>
        </is>
      </c>
      <c r="D113" s="57" t="inlineStr">
        <is>
          <t>2.27%</t>
        </is>
      </c>
      <c r="E113" s="57" t="n">
        <v>1</v>
      </c>
      <c r="F113" s="59" t="inlineStr">
        <is>
          <t>About</t>
        </is>
      </c>
    </row>
    <row r="114" ht="15" customHeight="1" s="1">
      <c r="A114" s="56" t="inlineStr">
        <is>
          <t>디엠씨미디어</t>
        </is>
      </c>
      <c r="B114" s="57" t="inlineStr">
        <is>
          <t>6월 29일</t>
        </is>
      </c>
      <c r="C114" s="56" t="inlineStr">
        <is>
          <t>디엠씨미디어</t>
        </is>
      </c>
      <c r="D114" s="57" t="inlineStr">
        <is>
          <t>2.27%</t>
        </is>
      </c>
      <c r="E114" s="57" t="n">
        <v>1</v>
      </c>
      <c r="F114" s="59" t="inlineStr">
        <is>
          <t>About</t>
        </is>
      </c>
    </row>
    <row r="115" ht="15" customHeight="1" s="1">
      <c r="A115" s="56" t="inlineStr">
        <is>
          <t>디엠씨미디어</t>
        </is>
      </c>
      <c r="B115" s="57" t="inlineStr">
        <is>
          <t>6월 2일</t>
        </is>
      </c>
      <c r="C115" s="56" t="inlineStr">
        <is>
          <t>dmc미디어</t>
        </is>
      </c>
      <c r="D115" s="57" t="inlineStr">
        <is>
          <t>1.89%</t>
        </is>
      </c>
      <c r="E115" s="57" t="n">
        <v>1</v>
      </c>
      <c r="F115" s="59" t="inlineStr">
        <is>
          <t>About</t>
        </is>
      </c>
    </row>
    <row r="116" ht="15" customHeight="1" s="1">
      <c r="A116" s="56" t="inlineStr">
        <is>
          <t>디엠씨미디어</t>
        </is>
      </c>
      <c r="B116" s="57" t="inlineStr">
        <is>
          <t>6월 2일</t>
        </is>
      </c>
      <c r="C116" s="56" t="inlineStr">
        <is>
          <t>디엠씨미디어</t>
        </is>
      </c>
      <c r="D116" s="57" t="inlineStr">
        <is>
          <t>1.89%</t>
        </is>
      </c>
      <c r="E116" s="57" t="n">
        <v>1</v>
      </c>
      <c r="F116" s="59" t="inlineStr">
        <is>
          <t>About</t>
        </is>
      </c>
    </row>
    <row r="117" ht="15" customHeight="1" s="1">
      <c r="A117" s="56" t="inlineStr">
        <is>
          <t>디엠씨미디어</t>
        </is>
      </c>
      <c r="B117" s="57" t="inlineStr">
        <is>
          <t>6월 2일</t>
        </is>
      </c>
      <c r="C117" s="56" t="inlineStr">
        <is>
          <t>디엠씨미디어</t>
        </is>
      </c>
      <c r="D117" s="57" t="inlineStr">
        <is>
          <t>1.89%</t>
        </is>
      </c>
      <c r="E117" s="57" t="n">
        <v>1</v>
      </c>
      <c r="F117" s="59" t="inlineStr">
        <is>
          <t>About</t>
        </is>
      </c>
    </row>
    <row r="118" ht="15" customHeight="1" s="1">
      <c r="A118" s="56" t="inlineStr">
        <is>
          <t>디엠씨미디어</t>
        </is>
      </c>
      <c r="B118" s="57" t="inlineStr">
        <is>
          <t>6월 30일</t>
        </is>
      </c>
      <c r="C118" s="56" t="inlineStr">
        <is>
          <t>dmc미디어</t>
        </is>
      </c>
      <c r="D118" s="57" t="inlineStr">
        <is>
          <t>0.84%</t>
        </is>
      </c>
      <c r="E118" s="57" t="n">
        <v>1</v>
      </c>
      <c r="F118" s="59" t="inlineStr">
        <is>
          <t>About</t>
        </is>
      </c>
    </row>
    <row r="119" ht="15" customHeight="1" s="1">
      <c r="A119" s="56" t="inlineStr">
        <is>
          <t>디엠씨미디어</t>
        </is>
      </c>
      <c r="B119" s="57" t="inlineStr">
        <is>
          <t>6월 30일</t>
        </is>
      </c>
      <c r="C119" s="56" t="inlineStr">
        <is>
          <t>디엠씨미디어</t>
        </is>
      </c>
      <c r="D119" s="57" t="inlineStr">
        <is>
          <t>0.84%</t>
        </is>
      </c>
      <c r="E119" s="57" t="n">
        <v>1</v>
      </c>
      <c r="F119" s="59" t="inlineStr">
        <is>
          <t>About</t>
        </is>
      </c>
    </row>
    <row r="120" ht="15" customHeight="1" s="1">
      <c r="A120" s="56" t="inlineStr">
        <is>
          <t>디엠씨미디어</t>
        </is>
      </c>
      <c r="B120" s="57" t="inlineStr">
        <is>
          <t>6월 30일</t>
        </is>
      </c>
      <c r="C120" s="56" t="inlineStr">
        <is>
          <t>창립기념일 이벤트 벤치마킹</t>
        </is>
      </c>
      <c r="D120" s="57" t="inlineStr">
        <is>
          <t>0.84%</t>
        </is>
      </c>
      <c r="E120" s="57" t="n">
        <v>1</v>
      </c>
      <c r="F120" s="60" t="inlineStr">
        <is>
          <t>People</t>
        </is>
      </c>
    </row>
    <row r="121" ht="15" customHeight="1" s="1">
      <c r="A121" s="56" t="inlineStr">
        <is>
          <t>디엠씨미디어</t>
        </is>
      </c>
      <c r="B121" s="57" t="inlineStr">
        <is>
          <t>6월 30일</t>
        </is>
      </c>
      <c r="C121" s="56" t="inlineStr">
        <is>
          <t>창립기념일 현수막</t>
        </is>
      </c>
      <c r="D121" s="57" t="inlineStr">
        <is>
          <t>0.84%</t>
        </is>
      </c>
      <c r="E121" s="57" t="n">
        <v>1</v>
      </c>
      <c r="F121" s="60" t="inlineStr">
        <is>
          <t>People</t>
        </is>
      </c>
    </row>
    <row r="122" ht="15" customHeight="1" s="1">
      <c r="A122" s="56" t="inlineStr">
        <is>
          <t>디엠씨미디어</t>
        </is>
      </c>
      <c r="B122" s="57" t="inlineStr">
        <is>
          <t>6월 4일</t>
        </is>
      </c>
      <c r="C122" s="56" t="inlineStr">
        <is>
          <t>dmc미디어 창립기념일</t>
        </is>
      </c>
      <c r="D122" s="57" t="inlineStr">
        <is>
          <t>0.96%</t>
        </is>
      </c>
      <c r="E122" s="57" t="n">
        <v>1</v>
      </c>
      <c r="F122" s="59" t="inlineStr">
        <is>
          <t>About</t>
        </is>
      </c>
    </row>
    <row r="123" ht="15" customHeight="1" s="1">
      <c r="A123" s="56" t="inlineStr">
        <is>
          <t>디엠씨미디어</t>
        </is>
      </c>
      <c r="B123" s="57" t="inlineStr">
        <is>
          <t>6월 4일</t>
        </is>
      </c>
      <c r="C123" s="56" t="inlineStr">
        <is>
          <t>디엠씨미디어 복지</t>
        </is>
      </c>
      <c r="D123" s="57" t="inlineStr">
        <is>
          <t>0.96%</t>
        </is>
      </c>
      <c r="E123" s="57" t="n">
        <v>1</v>
      </c>
      <c r="F123" s="59" t="inlineStr">
        <is>
          <t>About</t>
        </is>
      </c>
    </row>
    <row r="124" ht="15" customHeight="1" s="1">
      <c r="A124" s="56" t="inlineStr">
        <is>
          <t>디엠씨미디어</t>
        </is>
      </c>
      <c r="B124" s="57" t="inlineStr">
        <is>
          <t>6월 5일</t>
        </is>
      </c>
      <c r="C124" s="56" t="inlineStr">
        <is>
          <t>abbe</t>
        </is>
      </c>
      <c r="D124" s="57" t="inlineStr">
        <is>
          <t>1.89%</t>
        </is>
      </c>
      <c r="E124" s="57" t="n">
        <v>1</v>
      </c>
      <c r="F124" s="59" t="inlineStr">
        <is>
          <t>About</t>
        </is>
      </c>
    </row>
    <row r="125" ht="15" customHeight="1" s="1">
      <c r="A125" s="56" t="inlineStr">
        <is>
          <t>디엠씨미디어</t>
        </is>
      </c>
      <c r="B125" s="57" t="inlineStr">
        <is>
          <t>6월 6일</t>
        </is>
      </c>
      <c r="C125" s="56" t="inlineStr">
        <is>
          <t>디엠씨미디어</t>
        </is>
      </c>
      <c r="D125" s="57" t="inlineStr">
        <is>
          <t>4.00%</t>
        </is>
      </c>
      <c r="E125" s="57" t="n">
        <v>1</v>
      </c>
      <c r="F125" s="59" t="inlineStr">
        <is>
          <t>About</t>
        </is>
      </c>
    </row>
    <row r="126" ht="15" customHeight="1" s="1">
      <c r="A126" s="56" t="inlineStr">
        <is>
          <t>디엠씨미디어</t>
        </is>
      </c>
      <c r="B126" s="57" t="inlineStr">
        <is>
          <t>6월 8일</t>
        </is>
      </c>
      <c r="C126" s="56" t="inlineStr">
        <is>
          <t>abbe</t>
        </is>
      </c>
      <c r="D126" s="57" t="inlineStr">
        <is>
          <t>2.33%</t>
        </is>
      </c>
      <c r="E126" s="57" t="n">
        <v>1</v>
      </c>
      <c r="F126" s="59" t="inlineStr">
        <is>
          <t>About</t>
        </is>
      </c>
    </row>
    <row r="127" ht="15" customHeight="1" s="1">
      <c r="A127" s="56" t="inlineStr">
        <is>
          <t>디엠씨미디어</t>
        </is>
      </c>
      <c r="B127" s="57" t="inlineStr">
        <is>
          <t>6월 9일</t>
        </is>
      </c>
      <c r="C127" s="56" t="inlineStr">
        <is>
          <t>디엠씨미디어 채용</t>
        </is>
      </c>
      <c r="D127" s="57" t="inlineStr">
        <is>
          <t>5.00%</t>
        </is>
      </c>
      <c r="E127" s="57" t="n">
        <v>2</v>
      </c>
      <c r="F127" s="60" t="inlineStr">
        <is>
          <t>People</t>
        </is>
      </c>
    </row>
    <row r="128" ht="15" customHeight="1" s="1">
      <c r="A128" s="56" t="inlineStr">
        <is>
          <t>디엠씨미디어</t>
        </is>
      </c>
      <c r="B128" s="57" t="inlineStr">
        <is>
          <t>6월 9일</t>
        </is>
      </c>
      <c r="C128" s="56" t="inlineStr">
        <is>
          <t>DMC미디어</t>
        </is>
      </c>
      <c r="D128" s="57" t="inlineStr">
        <is>
          <t>2.50%</t>
        </is>
      </c>
      <c r="E128" s="57" t="n">
        <v>1</v>
      </c>
      <c r="F128" s="59" t="inlineStr">
        <is>
          <t>About</t>
        </is>
      </c>
    </row>
    <row r="129" ht="15" customHeight="1" s="1">
      <c r="A129" s="56" t="inlineStr">
        <is>
          <t>디엠씨미디어</t>
        </is>
      </c>
      <c r="B129" s="57" t="inlineStr">
        <is>
          <t>6월 9일</t>
        </is>
      </c>
      <c r="C129" s="56" t="inlineStr">
        <is>
          <t>디엠씨미디어 이준희</t>
        </is>
      </c>
      <c r="D129" s="57" t="inlineStr">
        <is>
          <t>2.50%</t>
        </is>
      </c>
      <c r="E129" s="57" t="n">
        <v>1</v>
      </c>
      <c r="F129" s="59" t="inlineStr">
        <is>
          <t>About</t>
        </is>
      </c>
    </row>
    <row r="130" ht="15" customHeight="1" s="1">
      <c r="A130" s="56" t="inlineStr">
        <is>
          <t>디엠씨미디어</t>
        </is>
      </c>
      <c r="B130" s="57" t="inlineStr">
        <is>
          <t>6월 9일</t>
        </is>
      </c>
      <c r="C130" s="56" t="inlineStr">
        <is>
          <t>격주</t>
        </is>
      </c>
      <c r="D130" s="57" t="inlineStr">
        <is>
          <t>2.50%</t>
        </is>
      </c>
      <c r="E130" s="57" t="n">
        <v>1</v>
      </c>
      <c r="F130" s="60" t="inlineStr">
        <is>
          <t>People</t>
        </is>
      </c>
    </row>
    <row r="131" ht="15" customHeight="1" s="1">
      <c r="A131" s="56" t="inlineStr">
        <is>
          <t>디엠씨미디어</t>
        </is>
      </c>
      <c r="B131" s="57" t="inlineStr">
        <is>
          <t>6월 9일</t>
        </is>
      </c>
      <c r="C131" s="56" t="inlineStr">
        <is>
          <t>모비엠</t>
        </is>
      </c>
      <c r="D131" s="57" t="inlineStr">
        <is>
          <t>2.50%</t>
        </is>
      </c>
      <c r="E131" s="57" t="n">
        <v>1</v>
      </c>
      <c r="F131" s="59" t="inlineStr">
        <is>
          <t>About</t>
        </is>
      </c>
    </row>
    <row r="132" ht="15" customHeight="1" s="1">
      <c r="A132" s="56" t="inlineStr">
        <is>
          <t>더마코스메틱</t>
        </is>
      </c>
      <c r="B132" s="57" t="inlineStr">
        <is>
          <t>6월 11일</t>
        </is>
      </c>
      <c r="C132" s="56" t="inlineStr">
        <is>
          <t>중저가 로드샵 화장품 브랜드</t>
        </is>
      </c>
      <c r="D132" s="57" t="inlineStr">
        <is>
          <t>2.56%</t>
        </is>
      </c>
      <c r="E132" s="57" t="n">
        <v>1</v>
      </c>
      <c r="F132" s="61" t="inlineStr">
        <is>
          <t>Trend</t>
        </is>
      </c>
    </row>
    <row r="133" ht="15" customHeight="1" s="1">
      <c r="A133" s="56" t="inlineStr">
        <is>
          <t>더마코스메틱</t>
        </is>
      </c>
      <c r="B133" s="57" t="inlineStr">
        <is>
          <t>6월 14일</t>
        </is>
      </c>
      <c r="C133" s="56" t="inlineStr">
        <is>
          <t>더마 코스메틱 브랜드</t>
        </is>
      </c>
      <c r="D133" s="57" t="inlineStr">
        <is>
          <t>12.50%</t>
        </is>
      </c>
      <c r="E133" s="57" t="n">
        <v>1</v>
      </c>
      <c r="F133" s="61" t="inlineStr">
        <is>
          <t>Trend</t>
        </is>
      </c>
    </row>
    <row r="134" ht="15" customHeight="1" s="1">
      <c r="A134" s="56" t="inlineStr">
        <is>
          <t>더마코스메틱</t>
        </is>
      </c>
      <c r="B134" s="57" t="inlineStr">
        <is>
          <t>6월 15일</t>
        </is>
      </c>
      <c r="C134" s="56" t="inlineStr">
        <is>
          <t>더마코스메틱 브랜드</t>
        </is>
      </c>
      <c r="D134" s="57" t="inlineStr">
        <is>
          <t>2.86%</t>
        </is>
      </c>
      <c r="E134" s="57" t="n">
        <v>1</v>
      </c>
      <c r="F134" s="61" t="inlineStr">
        <is>
          <t>Trend</t>
        </is>
      </c>
    </row>
    <row r="135" ht="15" customHeight="1" s="1">
      <c r="A135" s="56" t="inlineStr">
        <is>
          <t>더마코스메틱</t>
        </is>
      </c>
      <c r="B135" s="57" t="inlineStr">
        <is>
          <t>6월 17일</t>
        </is>
      </c>
      <c r="C135" s="56" t="inlineStr">
        <is>
          <t>더마코스메틱 화장품</t>
        </is>
      </c>
      <c r="D135" s="57" t="inlineStr">
        <is>
          <t>3.23%</t>
        </is>
      </c>
      <c r="E135" s="57" t="n">
        <v>1</v>
      </c>
      <c r="F135" s="61" t="inlineStr">
        <is>
          <t>Trend</t>
        </is>
      </c>
    </row>
    <row r="136" ht="15" customHeight="1" s="1">
      <c r="A136" s="56" t="inlineStr">
        <is>
          <t>더마코스메틱</t>
        </is>
      </c>
      <c r="B136" s="57" t="inlineStr">
        <is>
          <t>6월 17일</t>
        </is>
      </c>
      <c r="C136" s="56" t="inlineStr">
        <is>
          <t>라로슈포제 더마코스메틱</t>
        </is>
      </c>
      <c r="D136" s="57" t="inlineStr">
        <is>
          <t>3.23%</t>
        </is>
      </c>
      <c r="E136" s="57" t="n">
        <v>1</v>
      </c>
      <c r="F136" s="61" t="inlineStr">
        <is>
          <t>Trend</t>
        </is>
      </c>
    </row>
    <row r="137" ht="15" customHeight="1" s="1">
      <c r="A137" s="56" t="inlineStr">
        <is>
          <t>더마코스메틱</t>
        </is>
      </c>
      <c r="B137" s="57" t="inlineStr">
        <is>
          <t>6월 17일</t>
        </is>
      </c>
      <c r="C137" s="56" t="inlineStr">
        <is>
          <t>터블공식몰</t>
        </is>
      </c>
      <c r="D137" s="57" t="inlineStr">
        <is>
          <t>3.23%</t>
        </is>
      </c>
      <c r="E137" s="57" t="n">
        <v>1</v>
      </c>
      <c r="F137" s="59" t="inlineStr">
        <is>
          <t>About</t>
        </is>
      </c>
    </row>
    <row r="138" ht="15" customHeight="1" s="1">
      <c r="A138" s="56" t="inlineStr">
        <is>
          <t>더마코스메틱</t>
        </is>
      </c>
      <c r="B138" s="57" t="inlineStr">
        <is>
          <t>6월 21일</t>
        </is>
      </c>
      <c r="C138" s="56" t="inlineStr">
        <is>
          <t>더마코스메틱 화장품</t>
        </is>
      </c>
      <c r="D138" s="57" t="inlineStr">
        <is>
          <t>64.29%</t>
        </is>
      </c>
      <c r="E138" s="57" t="n">
        <v>18</v>
      </c>
      <c r="F138" s="61" t="inlineStr">
        <is>
          <t>Trend</t>
        </is>
      </c>
    </row>
    <row r="139" ht="15" customHeight="1" s="1">
      <c r="A139" s="56" t="inlineStr">
        <is>
          <t>더마코스메틱</t>
        </is>
      </c>
      <c r="B139" s="57" t="inlineStr">
        <is>
          <t>6월 21일</t>
        </is>
      </c>
      <c r="C139" s="56" t="inlineStr">
        <is>
          <t>tubble</t>
        </is>
      </c>
      <c r="D139" s="57" t="inlineStr">
        <is>
          <t>3.57%</t>
        </is>
      </c>
      <c r="E139" s="57" t="n">
        <v>1</v>
      </c>
      <c r="F139" s="59" t="inlineStr">
        <is>
          <t>About</t>
        </is>
      </c>
    </row>
    <row r="140" ht="15" customHeight="1" s="1">
      <c r="A140" s="56" t="inlineStr">
        <is>
          <t>더마코스메틱</t>
        </is>
      </c>
      <c r="B140" s="57" t="inlineStr">
        <is>
          <t>6월 22일</t>
        </is>
      </c>
      <c r="C140" s="56" t="inlineStr">
        <is>
          <t>더마코스메틱 화장품</t>
        </is>
      </c>
      <c r="D140" s="57" t="inlineStr">
        <is>
          <t>3.45%</t>
        </is>
      </c>
      <c r="E140" s="57" t="n">
        <v>1</v>
      </c>
      <c r="F140" s="61" t="inlineStr">
        <is>
          <t>Trend</t>
        </is>
      </c>
    </row>
    <row r="141" ht="15" customHeight="1" s="1">
      <c r="A141" s="56" t="inlineStr">
        <is>
          <t>더마코스메틱</t>
        </is>
      </c>
      <c r="B141" s="57" t="inlineStr">
        <is>
          <t>6월 22일</t>
        </is>
      </c>
      <c r="C141" s="56" t="inlineStr">
        <is>
          <t>더마코스메틱 화장품</t>
        </is>
      </c>
      <c r="D141" s="57" t="inlineStr">
        <is>
          <t>3.45%</t>
        </is>
      </c>
      <c r="E141" s="57" t="n">
        <v>1</v>
      </c>
      <c r="F141" s="61" t="inlineStr">
        <is>
          <t>Trend</t>
        </is>
      </c>
    </row>
    <row r="142" ht="15" customHeight="1" s="1">
      <c r="A142" s="56" t="inlineStr">
        <is>
          <t>더마코스메틱</t>
        </is>
      </c>
      <c r="B142" s="57" t="inlineStr">
        <is>
          <t>6월 23일</t>
        </is>
      </c>
      <c r="C142" s="56" t="inlineStr">
        <is>
          <t>라로슈포제 플루이드</t>
        </is>
      </c>
      <c r="D142" s="57" t="inlineStr">
        <is>
          <t>2.13%</t>
        </is>
      </c>
      <c r="E142" s="57" t="n">
        <v>1</v>
      </c>
      <c r="F142" s="61" t="inlineStr">
        <is>
          <t>Trend</t>
        </is>
      </c>
    </row>
    <row r="143" ht="15" customHeight="1" s="1">
      <c r="A143" s="56" t="inlineStr">
        <is>
          <t>더마코스메틱</t>
        </is>
      </c>
      <c r="B143" s="57" t="inlineStr">
        <is>
          <t>6월 23일</t>
        </is>
      </c>
      <c r="C143" s="56" t="inlineStr">
        <is>
          <t>더마 코스메틱 브랜드</t>
        </is>
      </c>
      <c r="D143" s="57" t="inlineStr">
        <is>
          <t>2.13%</t>
        </is>
      </c>
      <c r="E143" s="57" t="n">
        <v>1</v>
      </c>
      <c r="F143" s="61" t="inlineStr">
        <is>
          <t>Trend</t>
        </is>
      </c>
    </row>
    <row r="144" ht="15" customHeight="1" s="1">
      <c r="A144" s="56" t="inlineStr">
        <is>
          <t>더마코스메틱</t>
        </is>
      </c>
      <c r="B144" s="57" t="inlineStr">
        <is>
          <t>6월 24일</t>
        </is>
      </c>
      <c r="C144" s="56" t="inlineStr">
        <is>
          <t>더마 코스메틱 브랜드</t>
        </is>
      </c>
      <c r="D144" s="57" t="inlineStr">
        <is>
          <t>5.88%</t>
        </is>
      </c>
      <c r="E144" s="57" t="n">
        <v>2</v>
      </c>
      <c r="F144" s="61" t="inlineStr">
        <is>
          <t>Trend</t>
        </is>
      </c>
    </row>
    <row r="145" ht="15" customHeight="1" s="1">
      <c r="A145" s="56" t="inlineStr">
        <is>
          <t>더마코스메틱</t>
        </is>
      </c>
      <c r="B145" s="57" t="inlineStr">
        <is>
          <t>6월 24일</t>
        </is>
      </c>
      <c r="C145" s="56" t="inlineStr">
        <is>
          <t>더마코스메틱 화장품</t>
        </is>
      </c>
      <c r="D145" s="57" t="inlineStr">
        <is>
          <t>2.94%</t>
        </is>
      </c>
      <c r="E145" s="57" t="n">
        <v>1</v>
      </c>
      <c r="F145" s="61" t="inlineStr">
        <is>
          <t>Trend</t>
        </is>
      </c>
    </row>
    <row r="146" ht="15" customHeight="1" s="1">
      <c r="A146" s="56" t="inlineStr">
        <is>
          <t>더마코스메틱</t>
        </is>
      </c>
      <c r="B146" s="57" t="inlineStr">
        <is>
          <t>6월 26일</t>
        </is>
      </c>
      <c r="C146" s="56" t="inlineStr">
        <is>
          <t>더마코스메틱 화장품</t>
        </is>
      </c>
      <c r="D146" s="57" t="inlineStr">
        <is>
          <t>2.86%</t>
        </is>
      </c>
      <c r="E146" s="57" t="n">
        <v>1</v>
      </c>
      <c r="F146" s="61" t="inlineStr">
        <is>
          <t>Trend</t>
        </is>
      </c>
    </row>
    <row r="147" ht="15" customHeight="1" s="1">
      <c r="A147" s="56" t="inlineStr">
        <is>
          <t>더마코스메틱</t>
        </is>
      </c>
      <c r="B147" s="57" t="inlineStr">
        <is>
          <t>6월 26일</t>
        </is>
      </c>
      <c r="C147" s="56" t="inlineStr">
        <is>
          <t>더마 코스메틱 브랜드</t>
        </is>
      </c>
      <c r="D147" s="57" t="inlineStr">
        <is>
          <t>2.86%</t>
        </is>
      </c>
      <c r="E147" s="57" t="n">
        <v>1</v>
      </c>
      <c r="F147" s="61" t="inlineStr">
        <is>
          <t>Trend</t>
        </is>
      </c>
    </row>
    <row r="148" ht="15" customHeight="1" s="1">
      <c r="A148" s="56" t="inlineStr">
        <is>
          <t>더마코스메틱</t>
        </is>
      </c>
      <c r="B148" s="57" t="inlineStr">
        <is>
          <t>6월 27일</t>
        </is>
      </c>
      <c r="C148" s="56" t="inlineStr">
        <is>
          <t>더마코스메틱 화장품</t>
        </is>
      </c>
      <c r="D148" s="57" t="inlineStr">
        <is>
          <t>23.08%</t>
        </is>
      </c>
      <c r="E148" s="57" t="n">
        <v>3</v>
      </c>
      <c r="F148" s="61" t="inlineStr">
        <is>
          <t>Trend</t>
        </is>
      </c>
    </row>
    <row r="149" ht="15" customHeight="1" s="1">
      <c r="A149" s="56" t="inlineStr">
        <is>
          <t>더마코스메틱</t>
        </is>
      </c>
      <c r="B149" s="57" t="inlineStr">
        <is>
          <t>6월 28일</t>
        </is>
      </c>
      <c r="C149" s="56" t="inlineStr">
        <is>
          <t>더마코스메틱 화장품</t>
        </is>
      </c>
      <c r="D149" s="57" t="inlineStr">
        <is>
          <t>4.00%</t>
        </is>
      </c>
      <c r="E149" s="57" t="n">
        <v>3</v>
      </c>
      <c r="F149" s="61" t="inlineStr">
        <is>
          <t>Trend</t>
        </is>
      </c>
    </row>
    <row r="150" ht="15" customHeight="1" s="1">
      <c r="A150" s="56" t="inlineStr">
        <is>
          <t>더마코스메틱</t>
        </is>
      </c>
      <c r="B150" s="57" t="inlineStr">
        <is>
          <t>6월 28일</t>
        </is>
      </c>
      <c r="C150" s="56" t="inlineStr">
        <is>
          <t>더마코스메틱 화장품</t>
        </is>
      </c>
      <c r="D150" s="57" t="inlineStr">
        <is>
          <t>1.33%</t>
        </is>
      </c>
      <c r="E150" s="57" t="n">
        <v>1</v>
      </c>
      <c r="F150" s="61" t="inlineStr">
        <is>
          <t>Trend</t>
        </is>
      </c>
    </row>
    <row r="151" ht="15" customHeight="1" s="1">
      <c r="A151" s="56" t="inlineStr">
        <is>
          <t>더마코스메틱</t>
        </is>
      </c>
      <c r="B151" s="57" t="inlineStr">
        <is>
          <t>6월 30일</t>
        </is>
      </c>
      <c r="C151" s="56" t="inlineStr">
        <is>
          <t>더마코스메틱 대상</t>
        </is>
      </c>
      <c r="D151" s="57" t="inlineStr">
        <is>
          <t>0.84%</t>
        </is>
      </c>
      <c r="E151" s="57" t="n">
        <v>1</v>
      </c>
      <c r="F151" s="61" t="inlineStr">
        <is>
          <t>Trend</t>
        </is>
      </c>
    </row>
    <row r="152" ht="15" customHeight="1" s="1">
      <c r="A152" s="56" t="inlineStr">
        <is>
          <t>더마코스메틱</t>
        </is>
      </c>
      <c r="B152" s="57" t="inlineStr">
        <is>
          <t>6월 30일</t>
        </is>
      </c>
      <c r="C152" s="56" t="inlineStr">
        <is>
          <t>더마코스메틱 화장품</t>
        </is>
      </c>
      <c r="D152" s="57" t="inlineStr">
        <is>
          <t>0.84%</t>
        </is>
      </c>
      <c r="E152" s="57" t="n">
        <v>1</v>
      </c>
      <c r="F152" s="61" t="inlineStr">
        <is>
          <t>Trend</t>
        </is>
      </c>
    </row>
    <row r="153" ht="15" customHeight="1" s="1">
      <c r="A153" s="56" t="inlineStr">
        <is>
          <t>더마코스메틱</t>
        </is>
      </c>
      <c r="B153" s="57" t="inlineStr">
        <is>
          <t>6월 3일</t>
        </is>
      </c>
      <c r="C153" s="56" t="inlineStr">
        <is>
          <t>올리브영 터블</t>
        </is>
      </c>
      <c r="D153" s="57" t="inlineStr">
        <is>
          <t>5.56%</t>
        </is>
      </c>
      <c r="E153" s="57" t="n">
        <v>1</v>
      </c>
      <c r="F153" s="59" t="inlineStr">
        <is>
          <t>About</t>
        </is>
      </c>
    </row>
    <row r="154" ht="15" customHeight="1" s="1">
      <c r="A154" s="56" t="inlineStr">
        <is>
          <t>더마코스메틱</t>
        </is>
      </c>
      <c r="B154" s="57" t="inlineStr">
        <is>
          <t>6월 4일</t>
        </is>
      </c>
      <c r="C154" s="56" t="inlineStr">
        <is>
          <t>더마 코스메틱 브랜드</t>
        </is>
      </c>
      <c r="D154" s="57" t="inlineStr">
        <is>
          <t>0.96%</t>
        </is>
      </c>
      <c r="E154" s="57" t="n">
        <v>1</v>
      </c>
      <c r="F154" s="61" t="inlineStr">
        <is>
          <t>Trend</t>
        </is>
      </c>
    </row>
    <row r="155" ht="15" customHeight="1" s="1">
      <c r="A155" s="56" t="inlineStr">
        <is>
          <t>더마코스메틱</t>
        </is>
      </c>
      <c r="B155" s="57" t="inlineStr">
        <is>
          <t>6월 5일</t>
        </is>
      </c>
      <c r="C155" s="56" t="inlineStr">
        <is>
          <t>라로슈포제 시너</t>
        </is>
      </c>
      <c r="D155" s="57" t="inlineStr">
        <is>
          <t>1.89%</t>
        </is>
      </c>
      <c r="E155" s="57" t="n">
        <v>1</v>
      </c>
      <c r="F155" s="61" t="inlineStr">
        <is>
          <t>Trend</t>
        </is>
      </c>
    </row>
    <row r="156" ht="15" customHeight="1" s="1">
      <c r="A156" s="56" t="inlineStr">
        <is>
          <t>더마코스메틱</t>
        </is>
      </c>
      <c r="B156" s="57" t="inlineStr">
        <is>
          <t>6월 5일</t>
        </is>
      </c>
      <c r="C156" s="56" t="inlineStr">
        <is>
          <t>라로슈포제 안뗄리오스 공식</t>
        </is>
      </c>
      <c r="D156" s="57" t="inlineStr">
        <is>
          <t>1.89%</t>
        </is>
      </c>
      <c r="E156" s="57" t="n">
        <v>1</v>
      </c>
      <c r="F156" s="61" t="inlineStr">
        <is>
          <t>Trend</t>
        </is>
      </c>
    </row>
    <row r="157" ht="15" customHeight="1" s="1">
      <c r="A157" s="56" t="inlineStr">
        <is>
          <t>더마코스메틱</t>
        </is>
      </c>
      <c r="B157" s="57" t="inlineStr">
        <is>
          <t>6월 7일</t>
        </is>
      </c>
      <c r="C157" s="56" t="inlineStr">
        <is>
          <t>tubble 제조사</t>
        </is>
      </c>
      <c r="D157" s="57" t="inlineStr">
        <is>
          <t>6.67%</t>
        </is>
      </c>
      <c r="E157" s="57" t="n">
        <v>1</v>
      </c>
      <c r="F157" s="59" t="inlineStr">
        <is>
          <t>About</t>
        </is>
      </c>
    </row>
    <row r="158" ht="15" customHeight="1" s="1">
      <c r="A158" s="56" t="inlineStr">
        <is>
          <t>더마코스메틱</t>
        </is>
      </c>
      <c r="B158" s="57" t="inlineStr">
        <is>
          <t>6월 8일</t>
        </is>
      </c>
      <c r="C158" s="56" t="inlineStr">
        <is>
          <t>더마 브랜드 캠페인 일상</t>
        </is>
      </c>
      <c r="D158" s="57" t="inlineStr">
        <is>
          <t>2.33%</t>
        </is>
      </c>
      <c r="E158" s="57" t="n">
        <v>1</v>
      </c>
      <c r="F158" s="61" t="inlineStr">
        <is>
          <t>Trend</t>
        </is>
      </c>
    </row>
    <row r="159" ht="15" customHeight="1" s="1">
      <c r="A159" s="56" t="inlineStr">
        <is>
          <t>디지털 마케팅</t>
        </is>
      </c>
      <c r="B159" s="57" t="inlineStr">
        <is>
          <t>6월 10일</t>
        </is>
      </c>
      <c r="C159" s="56" t="inlineStr">
        <is>
          <t>디지털 마케팅 suprt</t>
        </is>
      </c>
      <c r="D159" s="57" t="inlineStr">
        <is>
          <t>2.61%</t>
        </is>
      </c>
      <c r="E159" s="57" t="n">
        <v>3</v>
      </c>
      <c r="F159" s="61" t="inlineStr">
        <is>
          <t>Trend</t>
        </is>
      </c>
    </row>
    <row r="160" ht="15" customHeight="1" s="1">
      <c r="A160" s="56" t="inlineStr">
        <is>
          <t>디지털 마케팅</t>
        </is>
      </c>
      <c r="B160" s="57" t="inlineStr">
        <is>
          <t>6월 11일</t>
        </is>
      </c>
      <c r="C160" s="56" t="inlineStr">
        <is>
          <t>디지털 마케팅 suprt</t>
        </is>
      </c>
      <c r="D160" s="57" t="inlineStr">
        <is>
          <t>5.13%</t>
        </is>
      </c>
      <c r="E160" s="57" t="n">
        <v>2</v>
      </c>
      <c r="F160" s="61" t="inlineStr">
        <is>
          <t>Trend</t>
        </is>
      </c>
    </row>
    <row r="161" ht="15" customHeight="1" s="1">
      <c r="A161" s="56" t="inlineStr">
        <is>
          <t>디지털 마케팅</t>
        </is>
      </c>
      <c r="B161" s="57" t="inlineStr">
        <is>
          <t>6월 12일</t>
        </is>
      </c>
      <c r="C161" s="56" t="inlineStr">
        <is>
          <t>ai seo aeo geo 솔루션</t>
        </is>
      </c>
      <c r="D161" s="57" t="inlineStr">
        <is>
          <t>2.08%</t>
        </is>
      </c>
      <c r="E161" s="57" t="n">
        <v>1</v>
      </c>
      <c r="F161" s="59" t="inlineStr">
        <is>
          <t>About</t>
        </is>
      </c>
    </row>
    <row r="162" ht="15" customHeight="1" s="1">
      <c r="A162" s="56" t="inlineStr">
        <is>
          <t>디지털 마케팅</t>
        </is>
      </c>
      <c r="B162" s="57" t="inlineStr">
        <is>
          <t>6월 17일</t>
        </is>
      </c>
      <c r="C162" s="56" t="inlineStr">
        <is>
          <t>디지털 마케팅 suprt</t>
        </is>
      </c>
      <c r="D162" s="57" t="inlineStr">
        <is>
          <t>3.23%</t>
        </is>
      </c>
      <c r="E162" s="57" t="n">
        <v>1</v>
      </c>
      <c r="F162" s="61" t="inlineStr">
        <is>
          <t>Trend</t>
        </is>
      </c>
    </row>
    <row r="163" ht="15" customHeight="1" s="1">
      <c r="A163" s="56" t="inlineStr">
        <is>
          <t>디지털 마케팅</t>
        </is>
      </c>
      <c r="B163" s="57" t="inlineStr">
        <is>
          <t>6월 19일</t>
        </is>
      </c>
      <c r="C163" s="56" t="inlineStr">
        <is>
          <t>온드미디어</t>
        </is>
      </c>
      <c r="D163" s="57" t="inlineStr">
        <is>
          <t>3.51%</t>
        </is>
      </c>
      <c r="E163" s="57" t="n">
        <v>2</v>
      </c>
      <c r="F163" s="58" t="inlineStr">
        <is>
          <t>Media</t>
        </is>
      </c>
    </row>
    <row r="164" ht="15" customHeight="1" s="1">
      <c r="A164" s="56" t="inlineStr">
        <is>
          <t>디지털 마케팅</t>
        </is>
      </c>
      <c r="B164" s="57" t="inlineStr">
        <is>
          <t>6월 19일</t>
        </is>
      </c>
      <c r="C164" s="56" t="inlineStr">
        <is>
          <t>nosp 부킹 브랜딩 DA 적용 타겟팅</t>
        </is>
      </c>
      <c r="D164" s="57" t="inlineStr">
        <is>
          <t>1.75%</t>
        </is>
      </c>
      <c r="E164" s="57" t="n">
        <v>1</v>
      </c>
      <c r="F164" s="59" t="inlineStr">
        <is>
          <t>About</t>
        </is>
      </c>
    </row>
    <row r="165" ht="15" customHeight="1" s="1">
      <c r="A165" s="56" t="inlineStr">
        <is>
          <t>디지털 마케팅</t>
        </is>
      </c>
      <c r="B165" s="57" t="inlineStr">
        <is>
          <t>6월 19일</t>
        </is>
      </c>
      <c r="C165" s="56" t="inlineStr">
        <is>
          <t>챌린저스 앱</t>
        </is>
      </c>
      <c r="D165" s="57" t="inlineStr">
        <is>
          <t>1.75%</t>
        </is>
      </c>
      <c r="E165" s="57" t="n">
        <v>1</v>
      </c>
      <c r="F165" s="59" t="inlineStr">
        <is>
          <t>About</t>
        </is>
      </c>
    </row>
    <row r="166" ht="15" customHeight="1" s="1">
      <c r="A166" s="56" t="inlineStr">
        <is>
          <t>디지털 마케팅</t>
        </is>
      </c>
      <c r="B166" s="57" t="inlineStr">
        <is>
          <t>6월 20일</t>
        </is>
      </c>
      <c r="C166" s="56" t="inlineStr">
        <is>
          <t>네이티브 광고</t>
        </is>
      </c>
      <c r="D166" s="57" t="inlineStr">
        <is>
          <t>8.33%</t>
        </is>
      </c>
      <c r="E166" s="57" t="n">
        <v>1</v>
      </c>
      <c r="F166" s="58" t="inlineStr">
        <is>
          <t>Media</t>
        </is>
      </c>
    </row>
    <row r="167" ht="15" customHeight="1" s="1">
      <c r="A167" s="56" t="inlineStr">
        <is>
          <t>디지털 마케팅</t>
        </is>
      </c>
      <c r="B167" s="57" t="inlineStr">
        <is>
          <t>6월 22일</t>
        </is>
      </c>
      <c r="C167" s="56" t="inlineStr">
        <is>
          <t>스페셜da 9:16</t>
        </is>
      </c>
      <c r="D167" s="57" t="inlineStr">
        <is>
          <t>3.45%</t>
        </is>
      </c>
      <c r="E167" s="57" t="n">
        <v>1</v>
      </c>
      <c r="F167" s="59" t="inlineStr">
        <is>
          <t>About</t>
        </is>
      </c>
    </row>
    <row r="168" ht="15" customHeight="1" s="1">
      <c r="A168" s="56" t="inlineStr">
        <is>
          <t>디지털 마케팅</t>
        </is>
      </c>
      <c r="B168" s="57" t="inlineStr">
        <is>
          <t>6월 22일</t>
        </is>
      </c>
      <c r="C168" s="56" t="inlineStr">
        <is>
          <t>구글 pmax</t>
        </is>
      </c>
      <c r="D168" s="57" t="inlineStr">
        <is>
          <t>3.45%</t>
        </is>
      </c>
      <c r="E168" s="57" t="n">
        <v>1</v>
      </c>
      <c r="F168" s="59" t="inlineStr">
        <is>
          <t>About</t>
        </is>
      </c>
    </row>
    <row r="169" ht="15" customHeight="1" s="1">
      <c r="A169" s="56" t="inlineStr">
        <is>
          <t>디지털 마케팅</t>
        </is>
      </c>
      <c r="B169" s="57" t="inlineStr">
        <is>
          <t>6월 23일</t>
        </is>
      </c>
      <c r="C169" s="56" t="inlineStr">
        <is>
          <t>리테일 미디어 뜻</t>
        </is>
      </c>
      <c r="D169" s="57" t="inlineStr">
        <is>
          <t>6.38%</t>
        </is>
      </c>
      <c r="E169" s="57" t="n">
        <v>3</v>
      </c>
      <c r="F169" s="58" t="inlineStr">
        <is>
          <t>Media</t>
        </is>
      </c>
    </row>
    <row r="170" ht="15" customHeight="1" s="1">
      <c r="A170" s="56" t="inlineStr">
        <is>
          <t>디지털 마케팅</t>
        </is>
      </c>
      <c r="B170" s="57" t="inlineStr">
        <is>
          <t>6월 23일</t>
        </is>
      </c>
      <c r="C170" s="56" t="inlineStr">
        <is>
          <t>온드미디어</t>
        </is>
      </c>
      <c r="D170" s="57" t="inlineStr">
        <is>
          <t>4.26%</t>
        </is>
      </c>
      <c r="E170" s="57" t="n">
        <v>2</v>
      </c>
      <c r="F170" s="58" t="inlineStr">
        <is>
          <t>Media</t>
        </is>
      </c>
    </row>
    <row r="171" ht="15" customHeight="1" s="1">
      <c r="A171" s="56" t="inlineStr">
        <is>
          <t>디지털 마케팅</t>
        </is>
      </c>
      <c r="B171" s="57" t="inlineStr">
        <is>
          <t>6월 25일</t>
        </is>
      </c>
      <c r="C171" s="56" t="inlineStr">
        <is>
          <t>nosp 부킹 일정</t>
        </is>
      </c>
      <c r="D171" s="57" t="inlineStr">
        <is>
          <t>0.96%</t>
        </is>
      </c>
      <c r="E171" s="57" t="n">
        <v>1</v>
      </c>
      <c r="F171" s="59" t="inlineStr">
        <is>
          <t>About</t>
        </is>
      </c>
    </row>
    <row r="172" ht="15" customHeight="1" s="1">
      <c r="A172" s="56" t="inlineStr">
        <is>
          <t>디지털 마케팅</t>
        </is>
      </c>
      <c r="B172" s="57" t="inlineStr">
        <is>
          <t>6월 25일</t>
        </is>
      </c>
      <c r="C172" s="56" t="inlineStr">
        <is>
          <t>광고 cpt</t>
        </is>
      </c>
      <c r="D172" s="57" t="inlineStr">
        <is>
          <t>0.96%</t>
        </is>
      </c>
      <c r="E172" s="57" t="n">
        <v>1</v>
      </c>
      <c r="F172" s="58" t="inlineStr">
        <is>
          <t>Media</t>
        </is>
      </c>
    </row>
    <row r="173" ht="15" customHeight="1" s="1">
      <c r="A173" s="56" t="inlineStr">
        <is>
          <t>디지털 마케팅</t>
        </is>
      </c>
      <c r="B173" s="57" t="inlineStr">
        <is>
          <t>6월 27일</t>
        </is>
      </c>
      <c r="C173" s="56" t="inlineStr">
        <is>
          <t>구글 디맨드젠 신규 기능</t>
        </is>
      </c>
      <c r="D173" s="57" t="inlineStr">
        <is>
          <t>7.69%</t>
        </is>
      </c>
      <c r="E173" s="57" t="n">
        <v>1</v>
      </c>
      <c r="F173" s="59" t="inlineStr">
        <is>
          <t>About</t>
        </is>
      </c>
    </row>
    <row r="174" ht="15" customHeight="1" s="1">
      <c r="A174" s="56" t="inlineStr">
        <is>
          <t>디지털 마케팅</t>
        </is>
      </c>
      <c r="B174" s="57" t="inlineStr">
        <is>
          <t>6월 28일</t>
        </is>
      </c>
      <c r="C174" s="56" t="inlineStr">
        <is>
          <t>온드미디어</t>
        </is>
      </c>
      <c r="D174" s="57" t="inlineStr">
        <is>
          <t>1.33%</t>
        </is>
      </c>
      <c r="E174" s="57" t="n">
        <v>1</v>
      </c>
      <c r="F174" s="58" t="inlineStr">
        <is>
          <t>Media</t>
        </is>
      </c>
    </row>
    <row r="175" ht="15" customHeight="1" s="1">
      <c r="A175" s="56" t="inlineStr">
        <is>
          <t>디지털 마케팅</t>
        </is>
      </c>
      <c r="B175" s="57" t="inlineStr">
        <is>
          <t>6월 29일</t>
        </is>
      </c>
      <c r="C175" s="56" t="inlineStr">
        <is>
          <t>NDA 광고 과금방식</t>
        </is>
      </c>
      <c r="D175" s="57" t="inlineStr">
        <is>
          <t>2.27%</t>
        </is>
      </c>
      <c r="E175" s="57" t="n">
        <v>1</v>
      </c>
      <c r="F175" s="59" t="inlineStr">
        <is>
          <t>About</t>
        </is>
      </c>
    </row>
    <row r="176" ht="15" customHeight="1" s="1">
      <c r="A176" s="56" t="inlineStr">
        <is>
          <t>디지털 마케팅</t>
        </is>
      </c>
      <c r="B176" s="57" t="inlineStr">
        <is>
          <t>6월 29일</t>
        </is>
      </c>
      <c r="C176" s="56" t="inlineStr">
        <is>
          <t>네이티브 광고</t>
        </is>
      </c>
      <c r="D176" s="57" t="inlineStr">
        <is>
          <t>2.27%</t>
        </is>
      </c>
      <c r="E176" s="57" t="n">
        <v>1</v>
      </c>
      <c r="F176" s="58" t="inlineStr">
        <is>
          <t>Media</t>
        </is>
      </c>
    </row>
    <row r="177" ht="15" customHeight="1" s="1">
      <c r="A177" s="56" t="inlineStr">
        <is>
          <t>디지털 마케팅</t>
        </is>
      </c>
      <c r="B177" s="57" t="inlineStr">
        <is>
          <t>6월 2일</t>
        </is>
      </c>
      <c r="C177" s="56" t="inlineStr">
        <is>
          <t>디지털 마케팅 suprt</t>
        </is>
      </c>
      <c r="D177" s="57" t="inlineStr">
        <is>
          <t>7.55%</t>
        </is>
      </c>
      <c r="E177" s="57" t="n">
        <v>4</v>
      </c>
      <c r="F177" s="61" t="inlineStr">
        <is>
          <t>Trend</t>
        </is>
      </c>
    </row>
    <row r="178" ht="15" customHeight="1" s="1">
      <c r="A178" s="56" t="inlineStr">
        <is>
          <t>디지털 마케팅</t>
        </is>
      </c>
      <c r="B178" s="57" t="inlineStr">
        <is>
          <t>6월 2일</t>
        </is>
      </c>
      <c r="C178" s="56" t="inlineStr">
        <is>
          <t>네이티브 광고</t>
        </is>
      </c>
      <c r="D178" s="57" t="inlineStr">
        <is>
          <t>1.89%</t>
        </is>
      </c>
      <c r="E178" s="57" t="n">
        <v>1</v>
      </c>
      <c r="F178" s="58" t="inlineStr">
        <is>
          <t>Media</t>
        </is>
      </c>
    </row>
    <row r="179" ht="15" customHeight="1" s="1">
      <c r="A179" s="56" t="inlineStr">
        <is>
          <t>디지털 마케팅</t>
        </is>
      </c>
      <c r="B179" s="57" t="inlineStr">
        <is>
          <t>6월 3일</t>
        </is>
      </c>
      <c r="C179" s="56" t="inlineStr">
        <is>
          <t>디지털 마케팅 suprt</t>
        </is>
      </c>
      <c r="D179" s="57" t="inlineStr">
        <is>
          <t>5.56%</t>
        </is>
      </c>
      <c r="E179" s="57" t="n">
        <v>1</v>
      </c>
      <c r="F179" s="61" t="inlineStr">
        <is>
          <t>Trend</t>
        </is>
      </c>
    </row>
    <row r="180" ht="15" customHeight="1" s="1">
      <c r="A180" s="56" t="inlineStr">
        <is>
          <t>디지털 마케팅</t>
        </is>
      </c>
      <c r="B180" s="57" t="inlineStr">
        <is>
          <t>6월 3일</t>
        </is>
      </c>
      <c r="C180" s="56" t="inlineStr">
        <is>
          <t>디타겟팅 뜻</t>
        </is>
      </c>
      <c r="D180" s="57" t="inlineStr">
        <is>
          <t>5.56%</t>
        </is>
      </c>
      <c r="E180" s="57" t="n">
        <v>1</v>
      </c>
      <c r="F180" s="58" t="inlineStr">
        <is>
          <t>Media</t>
        </is>
      </c>
    </row>
    <row r="181" ht="15" customHeight="1" s="1">
      <c r="A181" s="56" t="inlineStr">
        <is>
          <t>디지털 마케팅</t>
        </is>
      </c>
      <c r="B181" s="57" t="inlineStr">
        <is>
          <t>6월 3일</t>
        </is>
      </c>
      <c r="C181" s="56" t="inlineStr">
        <is>
          <t>디지털 마케팅 suprt</t>
        </is>
      </c>
      <c r="D181" s="57" t="inlineStr">
        <is>
          <t>16.67%</t>
        </is>
      </c>
      <c r="E181" s="57" t="n">
        <v>3</v>
      </c>
      <c r="F181" s="61" t="inlineStr">
        <is>
          <t>Trend</t>
        </is>
      </c>
    </row>
    <row r="182" ht="15" customHeight="1" s="1">
      <c r="A182" s="56" t="inlineStr">
        <is>
          <t>디지털 마케팅</t>
        </is>
      </c>
      <c r="B182" s="57" t="inlineStr">
        <is>
          <t>6월 4일</t>
        </is>
      </c>
      <c r="C182" s="56" t="inlineStr">
        <is>
          <t>디지털 마케팅 suprt</t>
        </is>
      </c>
      <c r="D182" s="57" t="inlineStr">
        <is>
          <t>0.96%</t>
        </is>
      </c>
      <c r="E182" s="57" t="n">
        <v>1</v>
      </c>
      <c r="F182" s="61" t="inlineStr">
        <is>
          <t>Trend</t>
        </is>
      </c>
    </row>
    <row r="183" ht="15" customHeight="1" s="1">
      <c r="A183" s="56" t="inlineStr">
        <is>
          <t>디지털 마케팅</t>
        </is>
      </c>
      <c r="B183" s="57" t="inlineStr">
        <is>
          <t>6월 4일</t>
        </is>
      </c>
      <c r="C183" s="56" t="inlineStr">
        <is>
          <t>디지털 플랫폼 거래란</t>
        </is>
      </c>
      <c r="D183" s="57" t="inlineStr">
        <is>
          <t>0.96%</t>
        </is>
      </c>
      <c r="E183" s="57" t="n">
        <v>1</v>
      </c>
      <c r="F183" s="61" t="inlineStr">
        <is>
          <t>Trend</t>
        </is>
      </c>
    </row>
    <row r="184" ht="15" customHeight="1" s="1">
      <c r="A184" s="56" t="inlineStr">
        <is>
          <t>디지털 마케팅</t>
        </is>
      </c>
      <c r="B184" s="57" t="inlineStr">
        <is>
          <t>6월 6일</t>
        </is>
      </c>
      <c r="C184" s="56" t="inlineStr">
        <is>
          <t>젠슨 황 CPT만듬</t>
        </is>
      </c>
      <c r="D184" s="57" t="inlineStr">
        <is>
          <t>4.00%</t>
        </is>
      </c>
      <c r="E184" s="57" t="n">
        <v>1</v>
      </c>
      <c r="F184" s="61" t="inlineStr">
        <is>
          <t>Trend</t>
        </is>
      </c>
    </row>
    <row r="185" ht="15" customHeight="1" s="1">
      <c r="A185" s="56" t="inlineStr">
        <is>
          <t>디지털 마케팅</t>
        </is>
      </c>
      <c r="B185" s="57" t="inlineStr">
        <is>
          <t>6월 7일</t>
        </is>
      </c>
      <c r="C185" s="56" t="inlineStr">
        <is>
          <t>핀테크 디지털 마케팅 활용 사례 알려주세요</t>
        </is>
      </c>
      <c r="D185" s="57" t="inlineStr">
        <is>
          <t>13.33%</t>
        </is>
      </c>
      <c r="E185" s="57" t="n">
        <v>2</v>
      </c>
      <c r="F185" s="61" t="inlineStr">
        <is>
          <t>Trend</t>
        </is>
      </c>
    </row>
    <row r="186" ht="15" customHeight="1" s="1">
      <c r="A186" s="56" t="inlineStr">
        <is>
          <t>디지털 마케팅</t>
        </is>
      </c>
      <c r="B186" s="57" t="inlineStr">
        <is>
          <t>6월 8일</t>
        </is>
      </c>
      <c r="C186" s="56" t="inlineStr">
        <is>
          <t>CPT 배너 단가</t>
        </is>
      </c>
      <c r="D186" s="57" t="inlineStr">
        <is>
          <t>2.33%</t>
        </is>
      </c>
      <c r="E186" s="57" t="n">
        <v>1</v>
      </c>
      <c r="F186" s="59" t="inlineStr">
        <is>
          <t>About</t>
        </is>
      </c>
    </row>
    <row r="187" ht="15" customHeight="1" s="1">
      <c r="A187" s="56" t="inlineStr">
        <is>
          <t>디지털 마케팅</t>
        </is>
      </c>
      <c r="B187" s="57" t="inlineStr">
        <is>
          <t>6월 8일</t>
        </is>
      </c>
      <c r="C187" s="56" t="inlineStr">
        <is>
          <t>디지털 마케팅 suprt</t>
        </is>
      </c>
      <c r="D187" s="57" t="inlineStr">
        <is>
          <t>2.33%</t>
        </is>
      </c>
      <c r="E187" s="57" t="n">
        <v>1</v>
      </c>
      <c r="F187" s="61" t="inlineStr">
        <is>
          <t>Trend</t>
        </is>
      </c>
    </row>
    <row r="188" ht="15" customHeight="1" s="1">
      <c r="A188" s="56" t="inlineStr">
        <is>
          <t>디지털 마케팅</t>
        </is>
      </c>
      <c r="B188" s="57" t="inlineStr">
        <is>
          <t>6월 9일</t>
        </is>
      </c>
      <c r="C188" s="56" t="inlineStr">
        <is>
          <t>디지털 마케팅 suprt</t>
        </is>
      </c>
      <c r="D188" s="57" t="inlineStr">
        <is>
          <t>7.50%</t>
        </is>
      </c>
      <c r="E188" s="57" t="n">
        <v>3</v>
      </c>
      <c r="F188" s="61" t="inlineStr">
        <is>
          <t>Trend</t>
        </is>
      </c>
    </row>
    <row r="189" ht="15" customHeight="1" s="1">
      <c r="A189" s="56" t="inlineStr">
        <is>
          <t>디지털 마케팅</t>
        </is>
      </c>
      <c r="B189" s="57" t="inlineStr">
        <is>
          <t>6월 9일</t>
        </is>
      </c>
      <c r="C189" s="56" t="inlineStr">
        <is>
          <t>디지털 마케팅 suprt</t>
        </is>
      </c>
      <c r="D189" s="57" t="inlineStr">
        <is>
          <t>5.00%</t>
        </is>
      </c>
      <c r="E189" s="57" t="n">
        <v>2</v>
      </c>
      <c r="F189" s="61" t="inlineStr">
        <is>
          <t>Trend</t>
        </is>
      </c>
    </row>
    <row r="190" ht="15" customHeight="1" s="1">
      <c r="A190" s="56" t="inlineStr">
        <is>
          <t>트렌드/캠페인</t>
        </is>
      </c>
      <c r="B190" s="57" t="inlineStr">
        <is>
          <t>6월 11일</t>
        </is>
      </c>
      <c r="C190" s="56" t="inlineStr">
        <is>
          <t>육아 삼신기</t>
        </is>
      </c>
      <c r="D190" s="57" t="inlineStr">
        <is>
          <t>2.56%</t>
        </is>
      </c>
      <c r="E190" s="57" t="n">
        <v>1</v>
      </c>
      <c r="F190" s="61" t="inlineStr">
        <is>
          <t>Trend</t>
        </is>
      </c>
    </row>
    <row r="191" ht="15" customHeight="1" s="1">
      <c r="A191" s="56" t="inlineStr">
        <is>
          <t>트렌드/캠페인</t>
        </is>
      </c>
      <c r="B191" s="57" t="inlineStr">
        <is>
          <t>6월 11일</t>
        </is>
      </c>
      <c r="C191" s="56" t="inlineStr">
        <is>
          <t>프로스포츠 굿즈 유형별 판매량 분석</t>
        </is>
      </c>
      <c r="D191" s="57" t="inlineStr">
        <is>
          <t>2.56%</t>
        </is>
      </c>
      <c r="E191" s="57" t="n">
        <v>1</v>
      </c>
      <c r="F191" s="61" t="inlineStr">
        <is>
          <t>Trend</t>
        </is>
      </c>
    </row>
    <row r="192" ht="15" customHeight="1" s="1">
      <c r="A192" s="56" t="inlineStr">
        <is>
          <t>트렌드/캠페인</t>
        </is>
      </c>
      <c r="B192" s="57" t="inlineStr">
        <is>
          <t>6월 15일</t>
        </is>
      </c>
      <c r="C192" s="56" t="inlineStr">
        <is>
          <t>케이스티파이 케릭터상품이 예전만못하고 디자인도 상품도없다</t>
        </is>
      </c>
      <c r="D192" s="57" t="inlineStr">
        <is>
          <t>2.86%</t>
        </is>
      </c>
      <c r="E192" s="57" t="n">
        <v>1</v>
      </c>
      <c r="F192" s="61" t="inlineStr">
        <is>
          <t>Trend</t>
        </is>
      </c>
    </row>
    <row r="193" ht="15" customHeight="1" s="1">
      <c r="A193" s="56" t="inlineStr">
        <is>
          <t>트렌드/캠페인</t>
        </is>
      </c>
      <c r="B193" s="57" t="inlineStr">
        <is>
          <t>6월 16일</t>
        </is>
      </c>
      <c r="C193" s="56" t="inlineStr">
        <is>
          <t>중저가브랜드의류</t>
        </is>
      </c>
      <c r="D193" s="57" t="inlineStr">
        <is>
          <t>2.04%</t>
        </is>
      </c>
      <c r="E193" s="57" t="n">
        <v>1</v>
      </c>
      <c r="F193" s="61" t="inlineStr">
        <is>
          <t>Trend</t>
        </is>
      </c>
    </row>
    <row r="194" ht="15" customHeight="1" s="1">
      <c r="A194" s="56" t="inlineStr">
        <is>
          <t>트렌드/캠페인</t>
        </is>
      </c>
      <c r="B194" s="57" t="inlineStr">
        <is>
          <t>6월 1일</t>
        </is>
      </c>
      <c r="C194" s="56" t="inlineStr">
        <is>
          <t>모디슈머 증가</t>
        </is>
      </c>
      <c r="D194" s="57" t="inlineStr">
        <is>
          <t>3.03%</t>
        </is>
      </c>
      <c r="E194" s="57" t="n">
        <v>1</v>
      </c>
      <c r="F194" s="61" t="inlineStr">
        <is>
          <t>Trend</t>
        </is>
      </c>
    </row>
    <row r="195" ht="15" customHeight="1" s="1">
      <c r="A195" s="56" t="inlineStr">
        <is>
          <t>트렌드/캠페인</t>
        </is>
      </c>
      <c r="B195" s="57" t="inlineStr">
        <is>
          <t>6월 1일</t>
        </is>
      </c>
      <c r="C195" s="56" t="inlineStr">
        <is>
          <t>중고거래 플랫폼 비교</t>
        </is>
      </c>
      <c r="D195" s="57" t="inlineStr">
        <is>
          <t>3.03%</t>
        </is>
      </c>
      <c r="E195" s="57" t="n">
        <v>1</v>
      </c>
      <c r="F195" s="61" t="inlineStr">
        <is>
          <t>Trend</t>
        </is>
      </c>
    </row>
    <row r="196" ht="15" customHeight="1" s="1">
      <c r="A196" s="56" t="inlineStr">
        <is>
          <t>트렌드/캠페인</t>
        </is>
      </c>
      <c r="B196" s="57" t="inlineStr">
        <is>
          <t>6월 1일</t>
        </is>
      </c>
      <c r="C196" s="56" t="inlineStr">
        <is>
          <t>sns 사회비교 이론 10대 청소년</t>
        </is>
      </c>
      <c r="D196" s="57" t="inlineStr">
        <is>
          <t>3.03%</t>
        </is>
      </c>
      <c r="E196" s="57" t="n">
        <v>1</v>
      </c>
      <c r="F196" s="61" t="inlineStr">
        <is>
          <t>Trend</t>
        </is>
      </c>
    </row>
    <row r="197" ht="15" customHeight="1" s="1">
      <c r="A197" s="56" t="inlineStr">
        <is>
          <t>트렌드/캠페인</t>
        </is>
      </c>
      <c r="B197" s="57" t="inlineStr">
        <is>
          <t>6월 20일</t>
        </is>
      </c>
      <c r="C197" s="56" t="inlineStr">
        <is>
          <t>로스트 웬디스</t>
        </is>
      </c>
      <c r="D197" s="57" t="inlineStr">
        <is>
          <t>8.33%</t>
        </is>
      </c>
      <c r="E197" s="57" t="n">
        <v>1</v>
      </c>
      <c r="F197" s="61" t="inlineStr">
        <is>
          <t>Trend</t>
        </is>
      </c>
    </row>
    <row r="198" ht="15" customHeight="1" s="1">
      <c r="A198" s="56" t="inlineStr">
        <is>
          <t>트렌드/캠페인</t>
        </is>
      </c>
      <c r="B198" s="57" t="inlineStr">
        <is>
          <t>6월 21일</t>
        </is>
      </c>
      <c r="C198" s="56" t="inlineStr">
        <is>
          <t>컬리n마트 보고서</t>
        </is>
      </c>
      <c r="D198" s="57" t="inlineStr">
        <is>
          <t>7.14%</t>
        </is>
      </c>
      <c r="E198" s="57" t="n">
        <v>2</v>
      </c>
      <c r="F198" s="61" t="inlineStr">
        <is>
          <t>Trend</t>
        </is>
      </c>
    </row>
    <row r="199" ht="15" customHeight="1" s="1">
      <c r="A199" s="56" t="inlineStr">
        <is>
          <t>트렌드/캠페인</t>
        </is>
      </c>
      <c r="B199" s="57" t="inlineStr">
        <is>
          <t>6월 23일</t>
        </is>
      </c>
      <c r="C199" s="56" t="inlineStr">
        <is>
          <t>웬즈데이 웬디스</t>
        </is>
      </c>
      <c r="D199" s="57" t="inlineStr">
        <is>
          <t>2.13%</t>
        </is>
      </c>
      <c r="E199" s="57" t="n">
        <v>1</v>
      </c>
      <c r="F199" s="61" t="inlineStr">
        <is>
          <t>Trend</t>
        </is>
      </c>
    </row>
    <row r="200" ht="15" customHeight="1" s="1">
      <c r="A200" s="56" t="inlineStr">
        <is>
          <t>트렌드/캠페인</t>
        </is>
      </c>
      <c r="B200" s="57" t="inlineStr">
        <is>
          <t>6월 26일</t>
        </is>
      </c>
      <c r="C200" s="56" t="inlineStr">
        <is>
          <t>20대 여성 인기 초저가 의류 플랫폼 추천해 주세요</t>
        </is>
      </c>
      <c r="D200" s="57" t="inlineStr">
        <is>
          <t>2.86%</t>
        </is>
      </c>
      <c r="E200" s="57" t="n">
        <v>1</v>
      </c>
      <c r="F200" s="61" t="inlineStr">
        <is>
          <t>Trend</t>
        </is>
      </c>
    </row>
    <row r="201" ht="15" customHeight="1" s="1">
      <c r="A201" s="56" t="inlineStr">
        <is>
          <t>트렌드/캠페인</t>
        </is>
      </c>
      <c r="B201" s="57" t="inlineStr">
        <is>
          <t>6월 26일</t>
        </is>
      </c>
      <c r="C201" s="56" t="inlineStr">
        <is>
          <t>가전 구매 리포트</t>
        </is>
      </c>
      <c r="D201" s="57" t="inlineStr">
        <is>
          <t>2.86%</t>
        </is>
      </c>
      <c r="E201" s="57" t="n">
        <v>1</v>
      </c>
      <c r="F201" s="61" t="inlineStr">
        <is>
          <t>Trend</t>
        </is>
      </c>
    </row>
    <row r="202" ht="15" customHeight="1" s="1">
      <c r="A202" s="56" t="inlineStr">
        <is>
          <t>트렌드/캠페인</t>
        </is>
      </c>
      <c r="B202" s="57" t="inlineStr">
        <is>
          <t>6월 27일</t>
        </is>
      </c>
      <c r="C202" s="56" t="inlineStr">
        <is>
          <t>롯데 칸초광고</t>
        </is>
      </c>
      <c r="D202" s="57" t="inlineStr">
        <is>
          <t>7.69%</t>
        </is>
      </c>
      <c r="E202" s="57" t="n">
        <v>1</v>
      </c>
      <c r="F202" s="61" t="inlineStr">
        <is>
          <t>Trend</t>
        </is>
      </c>
    </row>
    <row r="203" ht="15" customHeight="1" s="1">
      <c r="A203" s="56" t="inlineStr">
        <is>
          <t>트렌드/캠페인</t>
        </is>
      </c>
      <c r="B203" s="57" t="inlineStr">
        <is>
          <t>6월 29일</t>
        </is>
      </c>
      <c r="C203" s="56" t="inlineStr">
        <is>
          <t>식품업계에서 모디슈머를 활용한 마케팅 방법은?</t>
        </is>
      </c>
      <c r="D203" s="57" t="inlineStr">
        <is>
          <t>2.27%</t>
        </is>
      </c>
      <c r="E203" s="57" t="n">
        <v>1</v>
      </c>
      <c r="F203" s="61" t="inlineStr">
        <is>
          <t>Trend</t>
        </is>
      </c>
    </row>
    <row r="204" ht="15" customHeight="1" s="1">
      <c r="A204" s="56" t="inlineStr">
        <is>
          <t>트렌드/캠페인</t>
        </is>
      </c>
      <c r="B204" s="57" t="inlineStr">
        <is>
          <t>6월 29일</t>
        </is>
      </c>
      <c r="C204" s="56" t="inlineStr">
        <is>
          <t>롯데 칸초광고</t>
        </is>
      </c>
      <c r="D204" s="57" t="inlineStr">
        <is>
          <t>2.27%</t>
        </is>
      </c>
      <c r="E204" s="57" t="n">
        <v>1</v>
      </c>
      <c r="F204" s="61" t="inlineStr">
        <is>
          <t>Trend</t>
        </is>
      </c>
    </row>
    <row r="205" ht="15" customHeight="1" s="1">
      <c r="A205" s="56" t="inlineStr">
        <is>
          <t>트렌드/캠페인</t>
        </is>
      </c>
      <c r="B205" s="57" t="inlineStr">
        <is>
          <t>6월 29일</t>
        </is>
      </c>
      <c r="C205" s="56" t="inlineStr">
        <is>
          <t>10명 중 8명은 숏폼 시청 경험 유튜브</t>
        </is>
      </c>
      <c r="D205" s="57" t="inlineStr">
        <is>
          <t>2.27%</t>
        </is>
      </c>
      <c r="E205" s="57" t="n">
        <v>1</v>
      </c>
      <c r="F205" s="61" t="inlineStr">
        <is>
          <t>Trend</t>
        </is>
      </c>
    </row>
    <row r="206" ht="15" customHeight="1" s="1">
      <c r="A206" s="56" t="inlineStr">
        <is>
          <t>트렌드/캠페인</t>
        </is>
      </c>
      <c r="B206" s="57" t="inlineStr">
        <is>
          <t>6월 2일</t>
        </is>
      </c>
      <c r="C206" s="56" t="inlineStr">
        <is>
          <t>tv홈쇼핑 스킨케어 순위 2025</t>
        </is>
      </c>
      <c r="D206" s="57" t="inlineStr">
        <is>
          <t>1.89%</t>
        </is>
      </c>
      <c r="E206" s="57" t="n">
        <v>1</v>
      </c>
      <c r="F206" s="61" t="inlineStr">
        <is>
          <t>Trend</t>
        </is>
      </c>
    </row>
    <row r="207" ht="15" customHeight="1" s="1">
      <c r="A207" s="56" t="inlineStr">
        <is>
          <t>트렌드/캠페인</t>
        </is>
      </c>
      <c r="B207" s="57" t="inlineStr">
        <is>
          <t>6월 2일</t>
        </is>
      </c>
      <c r="C207" s="56" t="inlineStr">
        <is>
          <t>시고르잡화점 캐릭터 굿즈 만든계기 및 캐릭터</t>
        </is>
      </c>
      <c r="D207" s="57" t="inlineStr">
        <is>
          <t>1.89%</t>
        </is>
      </c>
      <c r="E207" s="57" t="n">
        <v>1</v>
      </c>
      <c r="F207" s="61" t="inlineStr">
        <is>
          <t>Trend</t>
        </is>
      </c>
    </row>
    <row r="208" ht="15" customHeight="1" s="1">
      <c r="A208" s="56" t="inlineStr">
        <is>
          <t>트렌드/캠페인</t>
        </is>
      </c>
      <c r="B208" s="57" t="inlineStr">
        <is>
          <t>6월 2일</t>
        </is>
      </c>
      <c r="C208" s="56" t="inlineStr">
        <is>
          <t>웬즈데이 웬디스</t>
        </is>
      </c>
      <c r="D208" s="57" t="inlineStr">
        <is>
          <t>1.89%</t>
        </is>
      </c>
      <c r="E208" s="57" t="n">
        <v>1</v>
      </c>
      <c r="F208" s="61" t="inlineStr">
        <is>
          <t>Trend</t>
        </is>
      </c>
    </row>
    <row r="209" ht="15" customHeight="1" s="1">
      <c r="A209" s="56" t="inlineStr">
        <is>
          <t>트렌드/캠페인</t>
        </is>
      </c>
      <c r="B209" s="57" t="inlineStr">
        <is>
          <t>6월 2일</t>
        </is>
      </c>
      <c r="C209" s="56" t="inlineStr">
        <is>
          <t>야닉시너</t>
        </is>
      </c>
      <c r="D209" s="57" t="inlineStr">
        <is>
          <t>1.89%</t>
        </is>
      </c>
      <c r="E209" s="57" t="n">
        <v>1</v>
      </c>
      <c r="F209" s="61" t="inlineStr">
        <is>
          <t>Trend</t>
        </is>
      </c>
    </row>
    <row r="210" ht="15" customHeight="1" s="1">
      <c r="A210" s="56" t="inlineStr">
        <is>
          <t>트렌드/캠페인</t>
        </is>
      </c>
      <c r="B210" s="57" t="inlineStr">
        <is>
          <t>6월 3일</t>
        </is>
      </c>
      <c r="C210" s="56" t="inlineStr">
        <is>
          <t>50대의 독립</t>
        </is>
      </c>
      <c r="D210" s="57" t="inlineStr">
        <is>
          <t>5.56%</t>
        </is>
      </c>
      <c r="E210" s="57" t="n">
        <v>1</v>
      </c>
      <c r="F210" s="61" t="inlineStr">
        <is>
          <t>Trend</t>
        </is>
      </c>
    </row>
    <row r="211" ht="15" customHeight="1" s="1">
      <c r="A211" s="56" t="inlineStr">
        <is>
          <t>트렌드/캠페인</t>
        </is>
      </c>
      <c r="B211" s="57" t="inlineStr">
        <is>
          <t>6월 5일</t>
        </is>
      </c>
      <c r="C211" s="56" t="inlineStr">
        <is>
          <t>소비자리포트 루태인 지아잔틴 고르는법</t>
        </is>
      </c>
      <c r="D211" s="57" t="inlineStr">
        <is>
          <t>1.89%</t>
        </is>
      </c>
      <c r="E211" s="57" t="n">
        <v>1</v>
      </c>
      <c r="F211" s="61" t="inlineStr">
        <is>
          <t>Trend</t>
        </is>
      </c>
    </row>
    <row r="212" ht="15" customHeight="1" s="1">
      <c r="A212" s="56" t="inlineStr">
        <is>
          <t>트렌드/캠페인</t>
        </is>
      </c>
      <c r="B212" s="57" t="inlineStr">
        <is>
          <t>6월 6일</t>
        </is>
      </c>
      <c r="C212" s="56" t="inlineStr">
        <is>
          <t>로레알 파리 립스틱</t>
        </is>
      </c>
      <c r="D212" s="57" t="inlineStr">
        <is>
          <t>4.00%</t>
        </is>
      </c>
      <c r="E212" s="57" t="n">
        <v>1</v>
      </c>
      <c r="F212" s="61" t="inlineStr">
        <is>
          <t>Trend</t>
        </is>
      </c>
    </row>
    <row r="213" ht="15" customHeight="1" s="1">
      <c r="A213" s="56" t="inlineStr">
        <is>
          <t>트렌드/캠페인</t>
        </is>
      </c>
      <c r="B213" s="57" t="inlineStr">
        <is>
          <t>6월 7일</t>
        </is>
      </c>
      <c r="C213" s="56" t="inlineStr">
        <is>
          <t>sns가 유행식품소비확산에 미치는영향</t>
        </is>
      </c>
      <c r="D213" s="57" t="inlineStr">
        <is>
          <t>6.67%</t>
        </is>
      </c>
      <c r="E213" s="57" t="n">
        <v>1</v>
      </c>
      <c r="F213" s="61" t="inlineStr">
        <is>
          <t>Trend</t>
        </is>
      </c>
    </row>
    <row r="214" ht="15" customHeight="1" s="1">
      <c r="A214" s="56" t="inlineStr">
        <is>
          <t>트렌드/캠페인</t>
        </is>
      </c>
      <c r="B214" s="57" t="inlineStr">
        <is>
          <t>6월 7일</t>
        </is>
      </c>
      <c r="C214" s="56" t="inlineStr">
        <is>
          <t>독일 슈퍼마켓 페니</t>
        </is>
      </c>
      <c r="D214" s="57" t="inlineStr">
        <is>
          <t>6.67%</t>
        </is>
      </c>
      <c r="E214" s="57" t="n">
        <v>1</v>
      </c>
      <c r="F214" s="61" t="inlineStr">
        <is>
          <t>Trend</t>
        </is>
      </c>
    </row>
    <row r="215" ht="15" customHeight="1" s="1">
      <c r="A215" s="56" t="inlineStr">
        <is>
          <t>트렌드/캠페인</t>
        </is>
      </c>
      <c r="B215" s="57" t="inlineStr">
        <is>
          <t>6월 8일</t>
        </is>
      </c>
      <c r="C215" s="56" t="inlineStr">
        <is>
          <t>소비자가 광고를 통해 상품 구매</t>
        </is>
      </c>
      <c r="D215" s="57" t="inlineStr">
        <is>
          <t>2.33%</t>
        </is>
      </c>
      <c r="E215" s="57" t="n">
        <v>1</v>
      </c>
      <c r="F215" s="61" t="inlineStr">
        <is>
          <t>Trend</t>
        </is>
      </c>
    </row>
    <row r="216" ht="15" customHeight="1" s="1">
      <c r="A216" s="56" t="inlineStr">
        <is>
          <t>코카콜라 월드컵</t>
        </is>
      </c>
      <c r="B216" s="57" t="inlineStr">
        <is>
          <t>6월 26일</t>
        </is>
      </c>
      <c r="C216" s="56" t="inlineStr">
        <is>
          <t>코카콜라 월드컵</t>
        </is>
      </c>
      <c r="D216" s="57" t="inlineStr">
        <is>
          <t>14.29%</t>
        </is>
      </c>
      <c r="E216" s="57" t="n">
        <v>5</v>
      </c>
      <c r="F216" s="61" t="inlineStr">
        <is>
          <t>Trend</t>
        </is>
      </c>
    </row>
    <row r="217" ht="15" customHeight="1" s="1">
      <c r="A217" s="56" t="inlineStr">
        <is>
          <t>코카콜라 월드컵</t>
        </is>
      </c>
      <c r="B217" s="57" t="inlineStr">
        <is>
          <t>6월 26일</t>
        </is>
      </c>
      <c r="C217" s="56" t="inlineStr">
        <is>
          <t>코카콜라 월드컵</t>
        </is>
      </c>
      <c r="D217" s="57" t="inlineStr">
        <is>
          <t>2.86%</t>
        </is>
      </c>
      <c r="E217" s="57" t="n">
        <v>1</v>
      </c>
      <c r="F217" s="61" t="inlineStr">
        <is>
          <t>Trend</t>
        </is>
      </c>
    </row>
    <row r="218" ht="15" customHeight="1" s="1">
      <c r="A218" s="56" t="inlineStr">
        <is>
          <t>코카콜라 월드컵</t>
        </is>
      </c>
      <c r="B218" s="57" t="inlineStr">
        <is>
          <t>6월 26일</t>
        </is>
      </c>
      <c r="C218" s="56" t="inlineStr">
        <is>
          <t>코카콜라 월드컵 스티커</t>
        </is>
      </c>
      <c r="D218" s="57" t="inlineStr">
        <is>
          <t>2.86%</t>
        </is>
      </c>
      <c r="E218" s="57" t="n">
        <v>1</v>
      </c>
      <c r="F218" s="61" t="inlineStr">
        <is>
          <t>Trend</t>
        </is>
      </c>
    </row>
    <row r="219" ht="15" customHeight="1" s="1">
      <c r="A219" s="56" t="inlineStr">
        <is>
          <t>코카콜라 월드컵</t>
        </is>
      </c>
      <c r="B219" s="57" t="inlineStr">
        <is>
          <t>6월 26일</t>
        </is>
      </c>
      <c r="C219" s="56" t="inlineStr">
        <is>
          <t>파니니 월드컵 스티커</t>
        </is>
      </c>
      <c r="D219" s="57" t="inlineStr">
        <is>
          <t>2.86%</t>
        </is>
      </c>
      <c r="E219" s="57" t="n">
        <v>1</v>
      </c>
      <c r="F219" s="61" t="inlineStr">
        <is>
          <t>Trend</t>
        </is>
      </c>
    </row>
    <row r="220" ht="15" customHeight="1" s="1">
      <c r="A220" s="56" t="inlineStr">
        <is>
          <t>코카콜라 월드컵</t>
        </is>
      </c>
      <c r="B220" s="57" t="inlineStr">
        <is>
          <t>6월 26일</t>
        </is>
      </c>
      <c r="C220" s="56" t="inlineStr">
        <is>
          <t>파니니 월드컵 스티커</t>
        </is>
      </c>
      <c r="D220" s="57" t="inlineStr">
        <is>
          <t>2.86%</t>
        </is>
      </c>
      <c r="E220" s="57" t="n">
        <v>1</v>
      </c>
      <c r="F220" s="61" t="inlineStr">
        <is>
          <t>Trend</t>
        </is>
      </c>
    </row>
    <row r="221" ht="15" customHeight="1" s="1">
      <c r="A221" s="56" t="inlineStr">
        <is>
          <t>코카콜라 월드컵</t>
        </is>
      </c>
      <c r="B221" s="57" t="inlineStr">
        <is>
          <t>6월 27일</t>
        </is>
      </c>
      <c r="C221" s="56" t="inlineStr">
        <is>
          <t>월드컵 코카콜라</t>
        </is>
      </c>
      <c r="D221" s="57" t="inlineStr">
        <is>
          <t>7.69%</t>
        </is>
      </c>
      <c r="E221" s="57" t="n">
        <v>1</v>
      </c>
      <c r="F221" s="61" t="inlineStr">
        <is>
          <t>Trend</t>
        </is>
      </c>
    </row>
    <row r="222" ht="15" customHeight="1" s="1">
      <c r="A222" s="56" t="inlineStr">
        <is>
          <t>코카콜라 월드컵</t>
        </is>
      </c>
      <c r="B222" s="57" t="inlineStr">
        <is>
          <t>6월 27일</t>
        </is>
      </c>
      <c r="C222" s="56" t="inlineStr">
        <is>
          <t>월드컵 코카콜라 광고</t>
        </is>
      </c>
      <c r="D222" s="57" t="inlineStr">
        <is>
          <t>7.69%</t>
        </is>
      </c>
      <c r="E222" s="57" t="n">
        <v>1</v>
      </c>
      <c r="F222" s="61" t="inlineStr">
        <is>
          <t>Trend</t>
        </is>
      </c>
    </row>
    <row r="223" ht="15" customHeight="1" s="1">
      <c r="A223" s="56" t="inlineStr">
        <is>
          <t>코카콜라 월드컵</t>
        </is>
      </c>
      <c r="B223" s="57" t="inlineStr">
        <is>
          <t>6월 27일</t>
        </is>
      </c>
      <c r="C223" s="56" t="inlineStr">
        <is>
          <t>코카콜라 월드컵</t>
        </is>
      </c>
      <c r="D223" s="57" t="inlineStr">
        <is>
          <t>7.69%</t>
        </is>
      </c>
      <c r="E223" s="57" t="n">
        <v>1</v>
      </c>
      <c r="F223" s="61" t="inlineStr">
        <is>
          <t>Trend</t>
        </is>
      </c>
    </row>
    <row r="224" ht="15" customHeight="1" s="1">
      <c r="A224" s="56" t="inlineStr">
        <is>
          <t>코카콜라 월드컵</t>
        </is>
      </c>
      <c r="B224" s="57" t="inlineStr">
        <is>
          <t>6월 27일</t>
        </is>
      </c>
      <c r="C224" s="56" t="inlineStr">
        <is>
          <t>코카콜라 축구선수 스티카ㅗ</t>
        </is>
      </c>
      <c r="D224" s="57" t="inlineStr">
        <is>
          <t>7.69%</t>
        </is>
      </c>
      <c r="E224" s="57" t="n">
        <v>1</v>
      </c>
      <c r="F224" s="61" t="inlineStr">
        <is>
          <t>Trend</t>
        </is>
      </c>
    </row>
    <row r="225" ht="15" customHeight="1" s="1">
      <c r="A225" s="56" t="inlineStr">
        <is>
          <t>코카콜라 월드컵</t>
        </is>
      </c>
      <c r="B225" s="57" t="inlineStr">
        <is>
          <t>6월 28일</t>
        </is>
      </c>
      <c r="C225" s="56" t="inlineStr">
        <is>
          <t>코카콜라 월드컵</t>
        </is>
      </c>
      <c r="D225" s="57" t="inlineStr">
        <is>
          <t>5.33%</t>
        </is>
      </c>
      <c r="E225" s="57" t="n">
        <v>4</v>
      </c>
      <c r="F225" s="61" t="inlineStr">
        <is>
          <t>Trend</t>
        </is>
      </c>
    </row>
    <row r="226" ht="15" customHeight="1" s="1">
      <c r="A226" s="56" t="inlineStr">
        <is>
          <t>코카콜라 월드컵</t>
        </is>
      </c>
      <c r="B226" s="57" t="inlineStr">
        <is>
          <t>6월 28일</t>
        </is>
      </c>
      <c r="C226" s="56" t="inlineStr">
        <is>
          <t>월드컵 코카콜라</t>
        </is>
      </c>
      <c r="D226" s="57" t="inlineStr">
        <is>
          <t>1.33%</t>
        </is>
      </c>
      <c r="E226" s="57" t="n">
        <v>1</v>
      </c>
      <c r="F226" s="61" t="inlineStr">
        <is>
          <t>Trend</t>
        </is>
      </c>
    </row>
    <row r="227" ht="15" customHeight="1" s="1">
      <c r="A227" s="56" t="inlineStr">
        <is>
          <t>코카콜라 월드컵</t>
        </is>
      </c>
      <c r="B227" s="57" t="inlineStr">
        <is>
          <t>6월 28일</t>
        </is>
      </c>
      <c r="C227" s="56" t="inlineStr">
        <is>
          <t>코카콜라 축구선수 스티커</t>
        </is>
      </c>
      <c r="D227" s="57" t="inlineStr">
        <is>
          <t>1.33%</t>
        </is>
      </c>
      <c r="E227" s="57" t="n">
        <v>1</v>
      </c>
      <c r="F227" s="61" t="inlineStr">
        <is>
          <t>Trend</t>
        </is>
      </c>
    </row>
    <row r="228" ht="15" customHeight="1" s="1">
      <c r="A228" s="56" t="inlineStr">
        <is>
          <t>코카콜라 월드컵</t>
        </is>
      </c>
      <c r="B228" s="57" t="inlineStr">
        <is>
          <t>6월 29일</t>
        </is>
      </c>
      <c r="C228" s="56" t="inlineStr">
        <is>
          <t>월드컵 코카콜라</t>
        </is>
      </c>
      <c r="D228" s="57" t="inlineStr">
        <is>
          <t>2.27%</t>
        </is>
      </c>
      <c r="E228" s="57" t="n">
        <v>1</v>
      </c>
      <c r="F228" s="61" t="inlineStr">
        <is>
          <t>Trend</t>
        </is>
      </c>
    </row>
    <row r="229" ht="15" customHeight="1" s="1">
      <c r="A229" s="56" t="inlineStr">
        <is>
          <t>코카콜라 월드컵</t>
        </is>
      </c>
      <c r="B229" s="57" t="inlineStr">
        <is>
          <t>6월 30일</t>
        </is>
      </c>
      <c r="C229" s="56" t="inlineStr">
        <is>
          <t>월드컵 마케팅</t>
        </is>
      </c>
      <c r="D229" s="57" t="inlineStr">
        <is>
          <t>0.84%</t>
        </is>
      </c>
      <c r="E229" s="57" t="n">
        <v>1</v>
      </c>
      <c r="F229" s="61" t="inlineStr">
        <is>
          <t>Trend</t>
        </is>
      </c>
    </row>
    <row r="230" ht="15" customHeight="1" s="1">
      <c r="A230" s="56" t="inlineStr">
        <is>
          <t>코카콜라 월드컵</t>
        </is>
      </c>
      <c r="B230" s="57" t="inlineStr">
        <is>
          <t>6월 30일</t>
        </is>
      </c>
      <c r="C230" s="56" t="inlineStr">
        <is>
          <t>월드컵 파니니 스티커</t>
        </is>
      </c>
      <c r="D230" s="57" t="inlineStr">
        <is>
          <t>1.68%</t>
        </is>
      </c>
      <c r="E230" s="57" t="n">
        <v>2</v>
      </c>
      <c r="F230" s="61" t="inlineStr">
        <is>
          <t>Trend</t>
        </is>
      </c>
    </row>
    <row r="231" ht="15" customHeight="1" s="1">
      <c r="A231" s="56" t="inlineStr">
        <is>
          <t>코카콜라 월드컵</t>
        </is>
      </c>
      <c r="B231" s="57" t="inlineStr">
        <is>
          <t>6월 30일</t>
        </is>
      </c>
      <c r="C231" s="56" t="inlineStr">
        <is>
          <t>2026 월드컵에디션</t>
        </is>
      </c>
      <c r="D231" s="57" t="inlineStr">
        <is>
          <t>0.84%</t>
        </is>
      </c>
      <c r="E231" s="57" t="n">
        <v>1</v>
      </c>
      <c r="F231" s="61" t="inlineStr">
        <is>
          <t>Trend</t>
        </is>
      </c>
    </row>
    <row r="232" ht="15" customHeight="1" s="1">
      <c r="A232" s="56" t="inlineStr">
        <is>
          <t>코카콜라 월드컵</t>
        </is>
      </c>
      <c r="B232" s="57" t="inlineStr">
        <is>
          <t>6월 30일</t>
        </is>
      </c>
      <c r="C232" s="56" t="inlineStr">
        <is>
          <t>월드컵 스티커 콜라</t>
        </is>
      </c>
      <c r="D232" s="57" t="inlineStr">
        <is>
          <t>0.84%</t>
        </is>
      </c>
      <c r="E232" s="57" t="n">
        <v>1</v>
      </c>
      <c r="F232" s="61" t="inlineStr">
        <is>
          <t>Trend</t>
        </is>
      </c>
    </row>
    <row r="233" ht="15" customHeight="1" s="1">
      <c r="A233" s="56" t="inlineStr">
        <is>
          <t>코카콜라 월드컵</t>
        </is>
      </c>
      <c r="B233" s="57" t="inlineStr">
        <is>
          <t>6월 30일</t>
        </is>
      </c>
      <c r="C233" s="56" t="inlineStr">
        <is>
          <t>코카콜라 2026 월드컵</t>
        </is>
      </c>
      <c r="D233" s="57" t="inlineStr">
        <is>
          <t>0.84%</t>
        </is>
      </c>
      <c r="E233" s="57" t="n">
        <v>1</v>
      </c>
      <c r="F233" s="61" t="inlineStr">
        <is>
          <t>Trend</t>
        </is>
      </c>
    </row>
    <row r="234" ht="15" customHeight="1" s="1">
      <c r="A234" s="56" t="inlineStr">
        <is>
          <t>토스</t>
        </is>
      </c>
      <c r="B234" s="57" t="inlineStr">
        <is>
          <t>6월 10일</t>
        </is>
      </c>
      <c r="C234" s="56" t="inlineStr">
        <is>
          <t>토스 애즈 광고</t>
        </is>
      </c>
      <c r="D234" s="57" t="inlineStr">
        <is>
          <t>0.87%</t>
        </is>
      </c>
      <c r="E234" s="57" t="n">
        <v>1</v>
      </c>
      <c r="F234" s="58" t="inlineStr">
        <is>
          <t>Media</t>
        </is>
      </c>
    </row>
    <row r="235" ht="15" customHeight="1" s="1">
      <c r="A235" s="56" t="inlineStr">
        <is>
          <t>토스</t>
        </is>
      </c>
      <c r="B235" s="57" t="inlineStr">
        <is>
          <t>6월 13일</t>
        </is>
      </c>
      <c r="C235" s="56" t="inlineStr">
        <is>
          <t>토스 리워드광고 비용은 얼마나 되나요?</t>
        </is>
      </c>
      <c r="D235" s="57" t="inlineStr">
        <is>
          <t>6.25%</t>
        </is>
      </c>
      <c r="E235" s="57" t="n">
        <v>1</v>
      </c>
      <c r="F235" s="58" t="inlineStr">
        <is>
          <t>Media</t>
        </is>
      </c>
    </row>
    <row r="236" ht="15" customHeight="1" s="1">
      <c r="A236" s="56" t="inlineStr">
        <is>
          <t>토스</t>
        </is>
      </c>
      <c r="B236" s="57" t="inlineStr">
        <is>
          <t>6월 16일</t>
        </is>
      </c>
      <c r="C236" s="56" t="inlineStr">
        <is>
          <t>토스애즈</t>
        </is>
      </c>
      <c r="D236" s="57" t="inlineStr">
        <is>
          <t>2.04%</t>
        </is>
      </c>
      <c r="E236" s="57" t="n">
        <v>1</v>
      </c>
      <c r="F236" s="58" t="inlineStr">
        <is>
          <t>Media</t>
        </is>
      </c>
    </row>
    <row r="237" ht="15" customHeight="1" s="1">
      <c r="A237" s="56" t="inlineStr">
        <is>
          <t>토스</t>
        </is>
      </c>
      <c r="B237" s="57" t="inlineStr">
        <is>
          <t>6월 1일</t>
        </is>
      </c>
      <c r="C237" s="56" t="inlineStr">
        <is>
          <t>토스 광고 CPC 계산 방법 알려주세요</t>
        </is>
      </c>
      <c r="D237" s="57" t="inlineStr">
        <is>
          <t>3.03%</t>
        </is>
      </c>
      <c r="E237" s="57" t="n">
        <v>1</v>
      </c>
      <c r="F237" s="58" t="inlineStr">
        <is>
          <t>Media</t>
        </is>
      </c>
    </row>
    <row r="238" ht="15" customHeight="1" s="1">
      <c r="A238" s="56" t="inlineStr">
        <is>
          <t>토스</t>
        </is>
      </c>
      <c r="B238" s="57" t="inlineStr">
        <is>
          <t>6월 24일</t>
        </is>
      </c>
      <c r="C238" s="56" t="inlineStr">
        <is>
          <t>토스애즈 광고</t>
        </is>
      </c>
      <c r="D238" s="57" t="inlineStr">
        <is>
          <t>2.94%</t>
        </is>
      </c>
      <c r="E238" s="57" t="n">
        <v>1</v>
      </c>
      <c r="F238" s="58" t="inlineStr">
        <is>
          <t>Media</t>
        </is>
      </c>
    </row>
    <row r="239" ht="15" customHeight="1" s="1">
      <c r="A239" s="56" t="inlineStr">
        <is>
          <t>토스</t>
        </is>
      </c>
      <c r="B239" s="57" t="inlineStr">
        <is>
          <t>6월 24일</t>
        </is>
      </c>
      <c r="C239" s="56" t="inlineStr">
        <is>
          <t>토스애드</t>
        </is>
      </c>
      <c r="D239" s="57" t="inlineStr">
        <is>
          <t>2.94%</t>
        </is>
      </c>
      <c r="E239" s="57" t="n">
        <v>1</v>
      </c>
      <c r="F239" s="58" t="inlineStr">
        <is>
          <t>Media</t>
        </is>
      </c>
    </row>
    <row r="240" ht="15" customHeight="1" s="1">
      <c r="A240" s="56" t="inlineStr">
        <is>
          <t>토스</t>
        </is>
      </c>
      <c r="B240" s="57" t="inlineStr">
        <is>
          <t>6월 26일</t>
        </is>
      </c>
      <c r="C240" s="56" t="inlineStr">
        <is>
          <t>토스애즈</t>
        </is>
      </c>
      <c r="D240" s="57" t="inlineStr">
        <is>
          <t>2.86%</t>
        </is>
      </c>
      <c r="E240" s="57" t="n">
        <v>1</v>
      </c>
      <c r="F240" s="58" t="inlineStr">
        <is>
          <t>Media</t>
        </is>
      </c>
    </row>
    <row r="241" ht="15" customHeight="1" s="1">
      <c r="A241" s="56" t="inlineStr">
        <is>
          <t>토스</t>
        </is>
      </c>
      <c r="B241" s="57" t="inlineStr">
        <is>
          <t>6월 2일</t>
        </is>
      </c>
      <c r="C241" s="56" t="inlineStr">
        <is>
          <t>토스애즈</t>
        </is>
      </c>
      <c r="D241" s="57" t="inlineStr">
        <is>
          <t>1.89%</t>
        </is>
      </c>
      <c r="E241" s="57" t="n">
        <v>1</v>
      </c>
      <c r="F241" s="58" t="inlineStr">
        <is>
          <t>Media</t>
        </is>
      </c>
    </row>
    <row r="242" ht="15" customHeight="1" s="1">
      <c r="A242" s="56" t="inlineStr">
        <is>
          <t>토스</t>
        </is>
      </c>
      <c r="B242" s="57" t="inlineStr">
        <is>
          <t>6월 30일</t>
        </is>
      </c>
      <c r="C242" s="56" t="inlineStr">
        <is>
          <t>TOSS ADS</t>
        </is>
      </c>
      <c r="D242" s="57" t="inlineStr">
        <is>
          <t>0.84%</t>
        </is>
      </c>
      <c r="E242" s="57" t="n">
        <v>1</v>
      </c>
      <c r="F242" s="58" t="inlineStr">
        <is>
          <t>Media</t>
        </is>
      </c>
    </row>
    <row r="243" ht="15" customHeight="1" s="1">
      <c r="A243" s="56" t="inlineStr">
        <is>
          <t>토스</t>
        </is>
      </c>
      <c r="B243" s="57" t="inlineStr">
        <is>
          <t>6월 30일</t>
        </is>
      </c>
      <c r="C243" s="56" t="inlineStr">
        <is>
          <t>토스 애즈</t>
        </is>
      </c>
      <c r="D243" s="57" t="inlineStr">
        <is>
          <t>0.84%</t>
        </is>
      </c>
      <c r="E243" s="57" t="n">
        <v>1</v>
      </c>
      <c r="F243" s="58" t="inlineStr">
        <is>
          <t>Media</t>
        </is>
      </c>
    </row>
    <row r="244" ht="15" customHeight="1" s="1">
      <c r="A244" s="56" t="inlineStr">
        <is>
          <t>토스</t>
        </is>
      </c>
      <c r="B244" s="57" t="inlineStr">
        <is>
          <t>6월 30일</t>
        </is>
      </c>
      <c r="C244" s="56" t="inlineStr">
        <is>
          <t>토스애즈</t>
        </is>
      </c>
      <c r="D244" s="57" t="inlineStr">
        <is>
          <t>0.84%</t>
        </is>
      </c>
      <c r="E244" s="57" t="n">
        <v>1</v>
      </c>
      <c r="F244" s="58" t="inlineStr">
        <is>
          <t>Media</t>
        </is>
      </c>
    </row>
    <row r="245" ht="15" customHeight="1" s="1">
      <c r="A245" s="56" t="inlineStr">
        <is>
          <t>토스</t>
        </is>
      </c>
      <c r="B245" s="57" t="inlineStr">
        <is>
          <t>6월 5일</t>
        </is>
      </c>
      <c r="C245" s="56" t="inlineStr">
        <is>
          <t>토스리워드광고</t>
        </is>
      </c>
      <c r="D245" s="57" t="inlineStr">
        <is>
          <t>1.89%</t>
        </is>
      </c>
      <c r="E245" s="57" t="n">
        <v>1</v>
      </c>
      <c r="F245" s="58" t="inlineStr">
        <is>
          <t>Media</t>
        </is>
      </c>
    </row>
    <row r="246" ht="15" customHeight="1" s="1">
      <c r="A246" s="56" t="inlineStr">
        <is>
          <t>토스</t>
        </is>
      </c>
      <c r="B246" s="57" t="inlineStr">
        <is>
          <t>6월 5일</t>
        </is>
      </c>
      <c r="C246" s="56" t="inlineStr">
        <is>
          <t>토스광고 리워드</t>
        </is>
      </c>
      <c r="D246" s="57" t="inlineStr">
        <is>
          <t>1.89%</t>
        </is>
      </c>
      <c r="E246" s="57" t="n">
        <v>1</v>
      </c>
      <c r="F246" s="58" t="inlineStr">
        <is>
          <t>Media</t>
        </is>
      </c>
    </row>
    <row r="247" ht="15" customHeight="1" s="1">
      <c r="A247" s="56" t="inlineStr">
        <is>
          <t>토스</t>
        </is>
      </c>
      <c r="B247" s="57" t="inlineStr">
        <is>
          <t>6월 5일</t>
        </is>
      </c>
      <c r="C247" s="56" t="inlineStr">
        <is>
          <t>토스애즈 페르소나</t>
        </is>
      </c>
      <c r="D247" s="57" t="inlineStr">
        <is>
          <t>1.89%</t>
        </is>
      </c>
      <c r="E247" s="57" t="n">
        <v>1</v>
      </c>
      <c r="F247" s="58" t="inlineStr">
        <is>
          <t>Media</t>
        </is>
      </c>
    </row>
    <row r="248" ht="15" customHeight="1" s="1">
      <c r="A248" s="56" t="inlineStr">
        <is>
          <t>토스</t>
        </is>
      </c>
      <c r="B248" s="57" t="inlineStr">
        <is>
          <t>6월 8일</t>
        </is>
      </c>
      <c r="C248" s="56" t="inlineStr">
        <is>
          <t>토스애즈</t>
        </is>
      </c>
      <c r="D248" s="57" t="inlineStr">
        <is>
          <t>2.33%</t>
        </is>
      </c>
      <c r="E248" s="57" t="n">
        <v>1</v>
      </c>
      <c r="F248" s="58" t="inlineStr">
        <is>
          <t>Media</t>
        </is>
      </c>
    </row>
    <row r="249" ht="15" customHeight="1" s="1">
      <c r="A249" s="56" t="inlineStr">
        <is>
          <t>토스</t>
        </is>
      </c>
      <c r="B249" s="57" t="inlineStr">
        <is>
          <t>6월 9일</t>
        </is>
      </c>
      <c r="C249" s="56" t="inlineStr">
        <is>
          <t>토스애즈</t>
        </is>
      </c>
      <c r="D249" s="57" t="inlineStr">
        <is>
          <t>2.50%</t>
        </is>
      </c>
      <c r="E249" s="57" t="n">
        <v>1</v>
      </c>
      <c r="F249" s="58" t="inlineStr">
        <is>
          <t>Media</t>
        </is>
      </c>
    </row>
    <row r="250" ht="15" customHeight="1" s="1">
      <c r="A250" s="56" t="inlineStr">
        <is>
          <t>토스</t>
        </is>
      </c>
      <c r="B250" s="57" t="inlineStr">
        <is>
          <t>6월 9일</t>
        </is>
      </c>
      <c r="C250" s="56" t="inlineStr">
        <is>
          <t>토스애즈 터처블 2026</t>
        </is>
      </c>
      <c r="D250" s="57" t="inlineStr">
        <is>
          <t>2.50%</t>
        </is>
      </c>
      <c r="E250" s="57" t="n">
        <v>1</v>
      </c>
      <c r="F250" s="58" t="inlineStr">
        <is>
          <t>Media</t>
        </is>
      </c>
    </row>
    <row r="251" ht="15" customHeight="1" s="1">
      <c r="A251" s="56" t="inlineStr">
        <is>
          <t>어드민나이트</t>
        </is>
      </c>
      <c r="B251" s="57" t="inlineStr">
        <is>
          <t>6월 13일</t>
        </is>
      </c>
      <c r="C251" s="56" t="inlineStr">
        <is>
          <t>어드민나이트</t>
        </is>
      </c>
      <c r="D251" s="57" t="inlineStr">
        <is>
          <t>25.00%</t>
        </is>
      </c>
      <c r="E251" s="57" t="n">
        <v>4</v>
      </c>
      <c r="F251" s="61" t="inlineStr">
        <is>
          <t>Trend</t>
        </is>
      </c>
    </row>
    <row r="252" ht="15" customHeight="1" s="1">
      <c r="A252" s="56" t="inlineStr">
        <is>
          <t>어드민나이트</t>
        </is>
      </c>
      <c r="B252" s="57" t="inlineStr">
        <is>
          <t>6월 14일</t>
        </is>
      </c>
      <c r="C252" s="56" t="inlineStr">
        <is>
          <t>어드민나이트</t>
        </is>
      </c>
      <c r="D252" s="57" t="inlineStr">
        <is>
          <t>12.50%</t>
        </is>
      </c>
      <c r="E252" s="57" t="n">
        <v>1</v>
      </c>
      <c r="F252" s="61" t="inlineStr">
        <is>
          <t>Trend</t>
        </is>
      </c>
    </row>
    <row r="253" ht="15" customHeight="1" s="1">
      <c r="A253" s="56" t="inlineStr">
        <is>
          <t>어드민나이트</t>
        </is>
      </c>
      <c r="B253" s="57" t="inlineStr">
        <is>
          <t>6월 1일</t>
        </is>
      </c>
      <c r="C253" s="56" t="inlineStr">
        <is>
          <t>어드민 나이트</t>
        </is>
      </c>
      <c r="D253" s="57" t="inlineStr">
        <is>
          <t>3.03%</t>
        </is>
      </c>
      <c r="E253" s="57" t="n">
        <v>1</v>
      </c>
      <c r="F253" s="61" t="inlineStr">
        <is>
          <t>Trend</t>
        </is>
      </c>
    </row>
    <row r="254" ht="15" customHeight="1" s="1">
      <c r="A254" s="56" t="inlineStr">
        <is>
          <t>어드민나이트</t>
        </is>
      </c>
      <c r="B254" s="57" t="inlineStr">
        <is>
          <t>6월 2일</t>
        </is>
      </c>
      <c r="C254" s="56" t="inlineStr">
        <is>
          <t>어드민나이트</t>
        </is>
      </c>
      <c r="D254" s="57" t="inlineStr">
        <is>
          <t>1.89%</t>
        </is>
      </c>
      <c r="E254" s="57" t="n">
        <v>1</v>
      </c>
      <c r="F254" s="61" t="inlineStr">
        <is>
          <t>Trend</t>
        </is>
      </c>
    </row>
    <row r="255" ht="15" customHeight="1" s="1">
      <c r="A255" s="56" t="inlineStr">
        <is>
          <t>어드민나이트</t>
        </is>
      </c>
      <c r="B255" s="57" t="inlineStr">
        <is>
          <t>6월 3일</t>
        </is>
      </c>
      <c r="C255" s="56" t="inlineStr">
        <is>
          <t>어드민나이트</t>
        </is>
      </c>
      <c r="D255" s="57" t="inlineStr">
        <is>
          <t>5.56%</t>
        </is>
      </c>
      <c r="E255" s="57" t="n">
        <v>1</v>
      </c>
      <c r="F255" s="61" t="inlineStr">
        <is>
          <t>Trend</t>
        </is>
      </c>
    </row>
    <row r="256" ht="15" customHeight="1" s="1">
      <c r="A256" s="56" t="inlineStr">
        <is>
          <t>어드민나이트</t>
        </is>
      </c>
      <c r="B256" s="57" t="inlineStr">
        <is>
          <t>6월 4일</t>
        </is>
      </c>
      <c r="C256" s="56" t="inlineStr">
        <is>
          <t>어드민나이트</t>
        </is>
      </c>
      <c r="D256" s="57" t="inlineStr">
        <is>
          <t>1.92%</t>
        </is>
      </c>
      <c r="E256" s="57" t="n">
        <v>2</v>
      </c>
      <c r="F256" s="61" t="inlineStr">
        <is>
          <t>Trend</t>
        </is>
      </c>
    </row>
    <row r="257" ht="15" customHeight="1" s="1">
      <c r="A257" s="56" t="inlineStr">
        <is>
          <t>어드민나이트</t>
        </is>
      </c>
      <c r="B257" s="57" t="inlineStr">
        <is>
          <t>6월 6일</t>
        </is>
      </c>
      <c r="C257" s="56" t="inlineStr">
        <is>
          <t>어드민나이트</t>
        </is>
      </c>
      <c r="D257" s="57" t="inlineStr">
        <is>
          <t>4.00%</t>
        </is>
      </c>
      <c r="E257" s="57" t="n">
        <v>1</v>
      </c>
      <c r="F257" s="61" t="inlineStr">
        <is>
          <t>Trend</t>
        </is>
      </c>
    </row>
    <row r="258" ht="15" customHeight="1" s="1">
      <c r="A258" s="56" t="inlineStr">
        <is>
          <t>어드민나이트</t>
        </is>
      </c>
      <c r="B258" s="57" t="inlineStr">
        <is>
          <t>6월 8일</t>
        </is>
      </c>
      <c r="C258" s="56" t="inlineStr">
        <is>
          <t>어드민나이트</t>
        </is>
      </c>
      <c r="D258" s="57" t="inlineStr">
        <is>
          <t>2.33%</t>
        </is>
      </c>
      <c r="E258" s="57" t="n">
        <v>1</v>
      </c>
      <c r="F258" s="61" t="inlineStr">
        <is>
          <t>Trend</t>
        </is>
      </c>
    </row>
    <row r="259" ht="15" customHeight="1" s="1">
      <c r="A259" s="56" t="inlineStr">
        <is>
          <t>어드민나이트</t>
        </is>
      </c>
      <c r="B259" s="57" t="inlineStr">
        <is>
          <t>6월 9일</t>
        </is>
      </c>
      <c r="C259" s="56" t="inlineStr">
        <is>
          <t>어드민나이트</t>
        </is>
      </c>
      <c r="D259" s="57" t="inlineStr">
        <is>
          <t>2.50%</t>
        </is>
      </c>
      <c r="E259" s="57" t="n">
        <v>1</v>
      </c>
      <c r="F259" s="61" t="inlineStr">
        <is>
          <t>Trend</t>
        </is>
      </c>
    </row>
    <row r="260" ht="15" customHeight="1" s="1">
      <c r="A260" s="56" t="inlineStr">
        <is>
          <t>네이버</t>
        </is>
      </c>
      <c r="B260" s="57" t="inlineStr">
        <is>
          <t>6월 12일</t>
        </is>
      </c>
      <c r="C260" s="56" t="inlineStr">
        <is>
          <t>네이버쇼핑 선물하기</t>
        </is>
      </c>
      <c r="D260" s="57" t="inlineStr">
        <is>
          <t>2.08%</t>
        </is>
      </c>
      <c r="E260" s="57" t="n">
        <v>1</v>
      </c>
      <c r="F260" s="58" t="inlineStr">
        <is>
          <t>Media</t>
        </is>
      </c>
    </row>
    <row r="261" ht="15" customHeight="1" s="1">
      <c r="A261" s="56" t="inlineStr">
        <is>
          <t>네이버</t>
        </is>
      </c>
      <c r="B261" s="57" t="inlineStr">
        <is>
          <t>6월 15일</t>
        </is>
      </c>
      <c r="C261" s="56" t="inlineStr">
        <is>
          <t>네이버 쇼핑 선물하기</t>
        </is>
      </c>
      <c r="D261" s="57" t="inlineStr">
        <is>
          <t>2.86%</t>
        </is>
      </c>
      <c r="E261" s="57" t="n">
        <v>1</v>
      </c>
      <c r="F261" s="58" t="inlineStr">
        <is>
          <t>Media</t>
        </is>
      </c>
    </row>
    <row r="262" ht="15" customHeight="1" s="1">
      <c r="A262" s="56" t="inlineStr">
        <is>
          <t>네이버</t>
        </is>
      </c>
      <c r="B262" s="57" t="inlineStr">
        <is>
          <t>6월 19일</t>
        </is>
      </c>
      <c r="C262" s="56" t="inlineStr">
        <is>
          <t>네이버 스페셜 da 9:16</t>
        </is>
      </c>
      <c r="D262" s="57" t="inlineStr">
        <is>
          <t>1.75%</t>
        </is>
      </c>
      <c r="E262" s="57" t="n">
        <v>1</v>
      </c>
      <c r="F262" s="62" t="n"/>
    </row>
    <row r="263" ht="15" customHeight="1" s="1">
      <c r="A263" s="56" t="inlineStr">
        <is>
          <t>네이버</t>
        </is>
      </c>
      <c r="B263" s="57" t="inlineStr">
        <is>
          <t>6월 20일</t>
        </is>
      </c>
      <c r="C263" s="56" t="inlineStr">
        <is>
          <t>네이버 advoost 광고소재</t>
        </is>
      </c>
      <c r="D263" s="57" t="inlineStr">
        <is>
          <t>8.33%</t>
        </is>
      </c>
      <c r="E263" s="57" t="n">
        <v>1</v>
      </c>
      <c r="F263" s="58" t="inlineStr">
        <is>
          <t>Media</t>
        </is>
      </c>
    </row>
    <row r="264" ht="15" customHeight="1" s="1">
      <c r="A264" s="56" t="inlineStr">
        <is>
          <t>네이버</t>
        </is>
      </c>
      <c r="B264" s="57" t="inlineStr">
        <is>
          <t>6월 23일</t>
        </is>
      </c>
      <c r="C264" s="56" t="inlineStr">
        <is>
          <t>네이버 메인화면 6월 dmc미디어</t>
        </is>
      </c>
      <c r="D264" s="57" t="inlineStr">
        <is>
          <t>2.13%</t>
        </is>
      </c>
      <c r="E264" s="57" t="n">
        <v>1</v>
      </c>
      <c r="F264" s="59" t="inlineStr">
        <is>
          <t>About</t>
        </is>
      </c>
    </row>
    <row r="265" ht="15" customHeight="1" s="1">
      <c r="A265" s="56" t="inlineStr">
        <is>
          <t>네이버</t>
        </is>
      </c>
      <c r="B265" s="57" t="inlineStr">
        <is>
          <t>6월 23일</t>
        </is>
      </c>
      <c r="C265" s="56" t="inlineStr">
        <is>
          <t>네이버대행사 dmc</t>
        </is>
      </c>
      <c r="D265" s="57" t="inlineStr">
        <is>
          <t>2.13%</t>
        </is>
      </c>
      <c r="E265" s="57" t="n">
        <v>1</v>
      </c>
      <c r="F265" s="58" t="inlineStr">
        <is>
          <t>Media</t>
        </is>
      </c>
    </row>
    <row r="266" ht="15" customHeight="1" s="1">
      <c r="A266" s="56" t="inlineStr">
        <is>
          <t>네이버</t>
        </is>
      </c>
      <c r="B266" s="57" t="inlineStr">
        <is>
          <t>6월 25일</t>
        </is>
      </c>
      <c r="C266" s="56" t="inlineStr">
        <is>
          <t>네이버 검색광고 업종별 cvr</t>
        </is>
      </c>
      <c r="D266" s="57" t="inlineStr">
        <is>
          <t>0.96%</t>
        </is>
      </c>
      <c r="E266" s="57" t="n">
        <v>1</v>
      </c>
      <c r="F266" s="58" t="inlineStr">
        <is>
          <t>Media</t>
        </is>
      </c>
    </row>
    <row r="267" ht="15" customHeight="1" s="1">
      <c r="A267" s="56" t="inlineStr">
        <is>
          <t>네이버</t>
        </is>
      </c>
      <c r="B267" s="57" t="inlineStr">
        <is>
          <t>6월 2일</t>
        </is>
      </c>
      <c r="C267" s="56" t="inlineStr">
        <is>
          <t>ai로 네이버광고 집행방법</t>
        </is>
      </c>
      <c r="D267" s="57" t="inlineStr">
        <is>
          <t>1.89%</t>
        </is>
      </c>
      <c r="E267" s="57" t="n">
        <v>1</v>
      </c>
      <c r="F267" s="59" t="inlineStr">
        <is>
          <t>About</t>
        </is>
      </c>
    </row>
    <row r="268" ht="15" customHeight="1" s="1">
      <c r="A268" s="56" t="inlineStr">
        <is>
          <t>네이버</t>
        </is>
      </c>
      <c r="B268" s="57" t="inlineStr">
        <is>
          <t>6월 4일</t>
        </is>
      </c>
      <c r="C268" s="56" t="inlineStr">
        <is>
          <t>네이버AI광고방법</t>
        </is>
      </c>
      <c r="D268" s="57" t="inlineStr">
        <is>
          <t>0.96%</t>
        </is>
      </c>
      <c r="E268" s="57" t="n">
        <v>1</v>
      </c>
      <c r="F268" s="58" t="inlineStr">
        <is>
          <t>Media</t>
        </is>
      </c>
    </row>
    <row r="269" ht="15" customHeight="1" s="1">
      <c r="A269" s="56" t="inlineStr">
        <is>
          <t>네이버</t>
        </is>
      </c>
      <c r="B269" s="57" t="inlineStr">
        <is>
          <t>6월 5일</t>
        </is>
      </c>
      <c r="C269" s="56" t="inlineStr">
        <is>
          <t>네이버 팝업스토어 솔루션 패키지</t>
        </is>
      </c>
      <c r="D269" s="57" t="inlineStr">
        <is>
          <t>1.89%</t>
        </is>
      </c>
      <c r="E269" s="57" t="n">
        <v>1</v>
      </c>
      <c r="F269" s="59" t="inlineStr">
        <is>
          <t>About</t>
        </is>
      </c>
    </row>
    <row r="270" ht="15" customHeight="1" s="1">
      <c r="A270" s="56" t="inlineStr">
        <is>
          <t>네이버</t>
        </is>
      </c>
      <c r="B270" s="57" t="inlineStr">
        <is>
          <t>6월 5일</t>
        </is>
      </c>
      <c r="C270" s="56" t="inlineStr">
        <is>
          <t>네이버검색광고 키워드별 랜딩</t>
        </is>
      </c>
      <c r="D270" s="57" t="inlineStr">
        <is>
          <t>1.89%</t>
        </is>
      </c>
      <c r="E270" s="57" t="n">
        <v>1</v>
      </c>
      <c r="F270" s="58" t="inlineStr">
        <is>
          <t>Media</t>
        </is>
      </c>
    </row>
    <row r="271" ht="15" customHeight="1" s="1">
      <c r="A271" s="56" t="inlineStr">
        <is>
          <t>네이버</t>
        </is>
      </c>
      <c r="B271" s="57" t="inlineStr">
        <is>
          <t>6월 7일</t>
        </is>
      </c>
      <c r="C271" s="56" t="inlineStr">
        <is>
          <t>네이버 쇼핑 선물하기</t>
        </is>
      </c>
      <c r="D271" s="57" t="inlineStr">
        <is>
          <t>6.67%</t>
        </is>
      </c>
      <c r="E271" s="57" t="n">
        <v>1</v>
      </c>
      <c r="F271" s="58" t="inlineStr">
        <is>
          <t>Media</t>
        </is>
      </c>
    </row>
    <row r="272" ht="15" customHeight="1" s="1">
      <c r="A272" s="56" t="inlineStr">
        <is>
          <t>카카오톡/카카오</t>
        </is>
      </c>
      <c r="B272" s="57" t="inlineStr">
        <is>
          <t>6월 15일</t>
        </is>
      </c>
      <c r="C272" s="56" t="inlineStr">
        <is>
          <t>카카오 asap 프로그램</t>
        </is>
      </c>
      <c r="D272" s="57" t="inlineStr">
        <is>
          <t>2.86%</t>
        </is>
      </c>
      <c r="E272" s="57" t="n">
        <v>1</v>
      </c>
      <c r="F272" s="59" t="inlineStr">
        <is>
          <t>About</t>
        </is>
      </c>
    </row>
    <row r="273" ht="15" customHeight="1" s="1">
      <c r="A273" s="56" t="inlineStr">
        <is>
          <t>카카오톡/카카오</t>
        </is>
      </c>
      <c r="B273" s="57" t="inlineStr">
        <is>
          <t>6월 16일</t>
        </is>
      </c>
      <c r="C273" s="56" t="inlineStr">
        <is>
          <t>대규모 개편 이후의 카카오톡 광고상품 변화</t>
        </is>
      </c>
      <c r="D273" s="57" t="inlineStr">
        <is>
          <t>2.04%</t>
        </is>
      </c>
      <c r="E273" s="57" t="n">
        <v>1</v>
      </c>
      <c r="F273" s="58" t="inlineStr">
        <is>
          <t>Media</t>
        </is>
      </c>
    </row>
    <row r="274" ht="15" customHeight="1" s="1">
      <c r="A274" s="56" t="inlineStr">
        <is>
          <t>카카오톡/카카오</t>
        </is>
      </c>
      <c r="B274" s="57" t="inlineStr">
        <is>
          <t>6월 16일</t>
        </is>
      </c>
      <c r="C274" s="56" t="inlineStr">
        <is>
          <t>카카오톡 채널 요일별 메시지 전략 알려주세요</t>
        </is>
      </c>
      <c r="D274" s="57" t="inlineStr">
        <is>
          <t>2.04%</t>
        </is>
      </c>
      <c r="E274" s="57" t="n">
        <v>1</v>
      </c>
      <c r="F274" s="58" t="inlineStr">
        <is>
          <t>Media</t>
        </is>
      </c>
    </row>
    <row r="275" ht="15" customHeight="1" s="1">
      <c r="A275" s="56" t="inlineStr">
        <is>
          <t>카카오톡/카카오</t>
        </is>
      </c>
      <c r="B275" s="57" t="inlineStr">
        <is>
          <t>6월 18일</t>
        </is>
      </c>
      <c r="C275" s="56" t="inlineStr">
        <is>
          <t>카카오톡 비즈보드 광고</t>
        </is>
      </c>
      <c r="D275" s="57" t="inlineStr">
        <is>
          <t>1.09%</t>
        </is>
      </c>
      <c r="E275" s="57" t="n">
        <v>1</v>
      </c>
      <c r="F275" s="58" t="inlineStr">
        <is>
          <t>Media</t>
        </is>
      </c>
    </row>
    <row r="276" ht="15" customHeight="1" s="1">
      <c r="A276" s="56" t="inlineStr">
        <is>
          <t>카카오톡/카카오</t>
        </is>
      </c>
      <c r="B276" s="57" t="inlineStr">
        <is>
          <t>6월 23일</t>
        </is>
      </c>
      <c r="C276" s="56" t="inlineStr">
        <is>
          <t>카카오톡 낚시 메시지 예시를 알려주세요</t>
        </is>
      </c>
      <c r="D276" s="57" t="inlineStr">
        <is>
          <t>2.13%</t>
        </is>
      </c>
      <c r="E276" s="57" t="n">
        <v>1</v>
      </c>
      <c r="F276" s="58" t="inlineStr">
        <is>
          <t>Media</t>
        </is>
      </c>
    </row>
    <row r="277" ht="15" customHeight="1" s="1">
      <c r="A277" s="56" t="inlineStr">
        <is>
          <t>카카오톡/카카오</t>
        </is>
      </c>
      <c r="B277" s="57" t="inlineStr">
        <is>
          <t>6월 27일</t>
        </is>
      </c>
      <c r="C277" s="56" t="inlineStr">
        <is>
          <t>카카오톡 6-1008번 채널 정체 알려주세요</t>
        </is>
      </c>
      <c r="D277" s="57" t="inlineStr">
        <is>
          <t>7.69%</t>
        </is>
      </c>
      <c r="E277" s="57" t="n">
        <v>1</v>
      </c>
      <c r="F277" s="58" t="inlineStr">
        <is>
          <t>Media</t>
        </is>
      </c>
    </row>
    <row r="278" ht="15" customHeight="1" s="1">
      <c r="A278" s="56" t="inlineStr">
        <is>
          <t>카카오톡/카카오</t>
        </is>
      </c>
      <c r="B278" s="57" t="inlineStr">
        <is>
          <t>6월 29일</t>
        </is>
      </c>
      <c r="C278" s="56" t="inlineStr">
        <is>
          <t>카카오톡 채널톡 문의사항 종류별로</t>
        </is>
      </c>
      <c r="D278" s="57" t="inlineStr">
        <is>
          <t>2.27%</t>
        </is>
      </c>
      <c r="E278" s="57" t="n">
        <v>1</v>
      </c>
      <c r="F278" s="58" t="inlineStr">
        <is>
          <t>Media</t>
        </is>
      </c>
    </row>
    <row r="279" ht="15" customHeight="1" s="1">
      <c r="A279" s="56" t="inlineStr">
        <is>
          <t>카카오톡/카카오</t>
        </is>
      </c>
      <c r="B279" s="57" t="inlineStr">
        <is>
          <t>6월 3일</t>
        </is>
      </c>
      <c r="C279" s="56" t="inlineStr">
        <is>
          <t>카카오톡 채널 문자메세지의공유하기 방법</t>
        </is>
      </c>
      <c r="D279" s="57" t="inlineStr">
        <is>
          <t>5.56%</t>
        </is>
      </c>
      <c r="E279" s="57" t="n">
        <v>1</v>
      </c>
      <c r="F279" s="58" t="inlineStr">
        <is>
          <t>Media</t>
        </is>
      </c>
    </row>
    <row r="280" ht="15" customHeight="1" s="1">
      <c r="A280" s="56" t="inlineStr">
        <is>
          <t>카카오톡/카카오</t>
        </is>
      </c>
      <c r="B280" s="57" t="inlineStr">
        <is>
          <t>6월 4일</t>
        </is>
      </c>
      <c r="C280" s="56" t="inlineStr">
        <is>
          <t>뷰티 브랜드 카카오 플러스친구 운영 성공 사례 알려주세요</t>
        </is>
      </c>
      <c r="D280" s="57" t="inlineStr">
        <is>
          <t>0.96%</t>
        </is>
      </c>
      <c r="E280" s="57" t="n">
        <v>1</v>
      </c>
      <c r="F280" s="58" t="inlineStr">
        <is>
          <t>Media</t>
        </is>
      </c>
    </row>
    <row r="281" ht="15" customHeight="1" s="1">
      <c r="A281" s="56" t="inlineStr">
        <is>
          <t>카카오톡/카카오</t>
        </is>
      </c>
      <c r="B281" s="57" t="inlineStr">
        <is>
          <t>6월 4일</t>
        </is>
      </c>
      <c r="C281" s="56" t="inlineStr">
        <is>
          <t>카카오 asap프로그램</t>
        </is>
      </c>
      <c r="D281" s="57" t="inlineStr">
        <is>
          <t>0.96%</t>
        </is>
      </c>
      <c r="E281" s="57" t="n">
        <v>1</v>
      </c>
      <c r="F281" s="59" t="inlineStr">
        <is>
          <t>About</t>
        </is>
      </c>
    </row>
    <row r="282" ht="15" customHeight="1" s="1">
      <c r="A282" s="56" t="inlineStr">
        <is>
          <t>카카오톡/카카오</t>
        </is>
      </c>
      <c r="B282" s="57" t="inlineStr">
        <is>
          <t>6월 5일</t>
        </is>
      </c>
      <c r="C282" s="56" t="inlineStr">
        <is>
          <t>카카오채널 웰컴메시지 템플릿 예시 알려주세요</t>
        </is>
      </c>
      <c r="D282" s="57" t="inlineStr">
        <is>
          <t>1.89%</t>
        </is>
      </c>
      <c r="E282" s="57" t="n">
        <v>1</v>
      </c>
      <c r="F282" s="58" t="inlineStr">
        <is>
          <t>Media</t>
        </is>
      </c>
    </row>
    <row r="283" ht="15" customHeight="1" s="1">
      <c r="A283" s="56" t="inlineStr">
        <is>
          <t>카카오톡/카카오</t>
        </is>
      </c>
      <c r="B283" s="57" t="inlineStr">
        <is>
          <t>6월 5일</t>
        </is>
      </c>
      <c r="C283" s="56" t="inlineStr">
        <is>
          <t>카카오톡 프로필 광고</t>
        </is>
      </c>
      <c r="D283" s="57" t="inlineStr">
        <is>
          <t>1.89%</t>
        </is>
      </c>
      <c r="E283" s="57" t="n">
        <v>1</v>
      </c>
      <c r="F283" s="59" t="inlineStr">
        <is>
          <t>About</t>
        </is>
      </c>
    </row>
    <row r="284" ht="15" customHeight="1" s="1">
      <c r="A284" s="56" t="inlineStr">
        <is>
          <t>왕과사는남자/촬영실록</t>
        </is>
      </c>
      <c r="B284" s="57" t="inlineStr">
        <is>
          <t>6월 11일</t>
        </is>
      </c>
      <c r="C284" s="56" t="inlineStr">
        <is>
          <t>왕과 사는 남자 촬영실록</t>
        </is>
      </c>
      <c r="D284" s="57" t="inlineStr">
        <is>
          <t>2.56%</t>
        </is>
      </c>
      <c r="E284" s="57" t="n">
        <v>1</v>
      </c>
      <c r="F284" s="61" t="inlineStr">
        <is>
          <t>Trend</t>
        </is>
      </c>
    </row>
    <row r="285" ht="15" customHeight="1" s="1">
      <c r="A285" s="56" t="inlineStr">
        <is>
          <t>왕과사는남자/촬영실록</t>
        </is>
      </c>
      <c r="B285" s="57" t="inlineStr">
        <is>
          <t>6월 16일</t>
        </is>
      </c>
      <c r="C285" s="56" t="inlineStr">
        <is>
          <t>왕사남 촬영실록 노션</t>
        </is>
      </c>
      <c r="D285" s="57" t="inlineStr">
        <is>
          <t>2.04%</t>
        </is>
      </c>
      <c r="E285" s="57" t="n">
        <v>1</v>
      </c>
      <c r="F285" s="61" t="inlineStr">
        <is>
          <t>Trend</t>
        </is>
      </c>
    </row>
    <row r="286" ht="15" customHeight="1" s="1">
      <c r="A286" s="56" t="inlineStr">
        <is>
          <t>왕과사는남자/촬영실록</t>
        </is>
      </c>
      <c r="B286" s="57" t="inlineStr">
        <is>
          <t>6월 1일</t>
        </is>
      </c>
      <c r="C286" s="56" t="inlineStr">
        <is>
          <t>왕사남 촬영실록</t>
        </is>
      </c>
      <c r="D286" s="57" t="inlineStr">
        <is>
          <t>3.03%</t>
        </is>
      </c>
      <c r="E286" s="57" t="n">
        <v>1</v>
      </c>
      <c r="F286" s="61" t="inlineStr">
        <is>
          <t>Trend</t>
        </is>
      </c>
    </row>
    <row r="287" ht="15" customHeight="1" s="1">
      <c r="A287" s="56" t="inlineStr">
        <is>
          <t>왕과사는남자/촬영실록</t>
        </is>
      </c>
      <c r="B287" s="57" t="inlineStr">
        <is>
          <t>6월 20일</t>
        </is>
      </c>
      <c r="C287" s="56" t="inlineStr">
        <is>
          <t>왕사남 마케팅</t>
        </is>
      </c>
      <c r="D287" s="57" t="inlineStr">
        <is>
          <t>8.33%</t>
        </is>
      </c>
      <c r="E287" s="57" t="n">
        <v>1</v>
      </c>
      <c r="F287" s="61" t="inlineStr">
        <is>
          <t>Trend</t>
        </is>
      </c>
    </row>
    <row r="288" ht="15" customHeight="1" s="1">
      <c r="A288" s="56" t="inlineStr">
        <is>
          <t>왕과사는남자/촬영실록</t>
        </is>
      </c>
      <c r="B288" s="57" t="inlineStr">
        <is>
          <t>6월 23일</t>
        </is>
      </c>
      <c r="C288" s="56" t="inlineStr">
        <is>
          <t>왕과사는 남자 노션</t>
        </is>
      </c>
      <c r="D288" s="57" t="inlineStr">
        <is>
          <t>2.13%</t>
        </is>
      </c>
      <c r="E288" s="57" t="n">
        <v>1</v>
      </c>
      <c r="F288" s="61" t="inlineStr">
        <is>
          <t>Trend</t>
        </is>
      </c>
    </row>
    <row r="289" ht="15" customHeight="1" s="1">
      <c r="A289" s="56" t="inlineStr">
        <is>
          <t>왕과사는남자/촬영실록</t>
        </is>
      </c>
      <c r="B289" s="57" t="inlineStr">
        <is>
          <t>6월 24일</t>
        </is>
      </c>
      <c r="C289" s="56" t="inlineStr">
        <is>
          <t>쇼박스 노션</t>
        </is>
      </c>
      <c r="D289" s="57" t="inlineStr">
        <is>
          <t>2.94%</t>
        </is>
      </c>
      <c r="E289" s="57" t="n">
        <v>1</v>
      </c>
      <c r="F289" s="61" t="inlineStr">
        <is>
          <t>Trend</t>
        </is>
      </c>
    </row>
    <row r="290" ht="15" customHeight="1" s="1">
      <c r="A290" s="56" t="inlineStr">
        <is>
          <t>왕과사는남자/촬영실록</t>
        </is>
      </c>
      <c r="B290" s="57" t="inlineStr">
        <is>
          <t>6월 29일</t>
        </is>
      </c>
      <c r="C290" s="56" t="inlineStr">
        <is>
          <t>왕사남 촬영실록 노션</t>
        </is>
      </c>
      <c r="D290" s="57" t="inlineStr">
        <is>
          <t>2.27%</t>
        </is>
      </c>
      <c r="E290" s="57" t="n">
        <v>1</v>
      </c>
      <c r="F290" s="61" t="inlineStr">
        <is>
          <t>Trend</t>
        </is>
      </c>
    </row>
    <row r="291" ht="15" customHeight="1" s="1">
      <c r="A291" s="56" t="inlineStr">
        <is>
          <t>왕과사는남자/촬영실록</t>
        </is>
      </c>
      <c r="B291" s="57" t="inlineStr">
        <is>
          <t>6월 2일</t>
        </is>
      </c>
      <c r="C291" s="56" t="inlineStr">
        <is>
          <t>왕과 사는 남자 노션 마케팅</t>
        </is>
      </c>
      <c r="D291" s="57" t="inlineStr">
        <is>
          <t>1.89%</t>
        </is>
      </c>
      <c r="E291" s="57" t="n">
        <v>1</v>
      </c>
      <c r="F291" s="61" t="inlineStr">
        <is>
          <t>Trend</t>
        </is>
      </c>
    </row>
    <row r="292" ht="15" customHeight="1" s="1">
      <c r="A292" s="56" t="inlineStr">
        <is>
          <t>왕과사는남자/촬영실록</t>
        </is>
      </c>
      <c r="B292" s="57" t="inlineStr">
        <is>
          <t>6월 30일</t>
        </is>
      </c>
      <c r="C292" s="56" t="inlineStr">
        <is>
          <t>쇼박스 왕사남 촬영 실록</t>
        </is>
      </c>
      <c r="D292" s="57" t="inlineStr">
        <is>
          <t>0.84%</t>
        </is>
      </c>
      <c r="E292" s="57" t="n">
        <v>1</v>
      </c>
      <c r="F292" s="61" t="inlineStr">
        <is>
          <t>Trend</t>
        </is>
      </c>
    </row>
    <row r="293" ht="15" customHeight="1" s="1">
      <c r="A293" s="56" t="inlineStr">
        <is>
          <t>왕과사는남자/촬영실록</t>
        </is>
      </c>
      <c r="B293" s="57" t="inlineStr">
        <is>
          <t>6월 5일</t>
        </is>
      </c>
      <c r="C293" s="56" t="inlineStr">
        <is>
          <t>쇼박스 노션</t>
        </is>
      </c>
      <c r="D293" s="57" t="inlineStr">
        <is>
          <t>1.89%</t>
        </is>
      </c>
      <c r="E293" s="57" t="n">
        <v>1</v>
      </c>
      <c r="F293" s="61" t="inlineStr">
        <is>
          <t>Trend</t>
        </is>
      </c>
    </row>
    <row r="294" ht="15" customHeight="1" s="1">
      <c r="A294" s="56" t="inlineStr">
        <is>
          <t>왕과사는남자/촬영실록</t>
        </is>
      </c>
      <c r="B294" s="57" t="inlineStr">
        <is>
          <t>6월 5일</t>
        </is>
      </c>
      <c r="C294" s="56" t="inlineStr">
        <is>
          <t>왕과사는남자 촬영실록</t>
        </is>
      </c>
      <c r="D294" s="57" t="inlineStr">
        <is>
          <t>1.89%</t>
        </is>
      </c>
      <c r="E294" s="57" t="n">
        <v>1</v>
      </c>
      <c r="F294" s="61" t="inlineStr">
        <is>
          <t>Trend</t>
        </is>
      </c>
    </row>
    <row r="295" ht="15" customHeight="1" s="1">
      <c r="A295" s="56" t="inlineStr">
        <is>
          <t>하이네켄</t>
        </is>
      </c>
      <c r="B295" s="57" t="inlineStr">
        <is>
          <t>6월 10일</t>
        </is>
      </c>
      <c r="C295" s="56" t="inlineStr">
        <is>
          <t>하이네켄</t>
        </is>
      </c>
      <c r="D295" s="57" t="inlineStr">
        <is>
          <t>0.87%</t>
        </is>
      </c>
      <c r="E295" s="57" t="n">
        <v>1</v>
      </c>
      <c r="F295" s="61" t="inlineStr">
        <is>
          <t>Trend</t>
        </is>
      </c>
    </row>
    <row r="296" ht="15" customHeight="1" s="1">
      <c r="A296" s="56" t="inlineStr">
        <is>
          <t>하이네켄</t>
        </is>
      </c>
      <c r="B296" s="57" t="inlineStr">
        <is>
          <t>6월 12일</t>
        </is>
      </c>
      <c r="C296" s="56" t="inlineStr">
        <is>
          <t>하이네켄 페스티벌</t>
        </is>
      </c>
      <c r="D296" s="57" t="inlineStr">
        <is>
          <t>2.08%</t>
        </is>
      </c>
      <c r="E296" s="57" t="n">
        <v>1</v>
      </c>
      <c r="F296" s="61" t="inlineStr">
        <is>
          <t>Trend</t>
        </is>
      </c>
    </row>
    <row r="297" ht="15" customHeight="1" s="1">
      <c r="A297" s="56" t="inlineStr">
        <is>
          <t>하이네켄</t>
        </is>
      </c>
      <c r="B297" s="57" t="inlineStr">
        <is>
          <t>6월 15일</t>
        </is>
      </c>
      <c r="C297" s="56" t="inlineStr">
        <is>
          <t>하이네켄</t>
        </is>
      </c>
      <c r="D297" s="57" t="inlineStr">
        <is>
          <t>2.86%</t>
        </is>
      </c>
      <c r="E297" s="57" t="n">
        <v>1</v>
      </c>
      <c r="F297" s="61" t="inlineStr">
        <is>
          <t>Trend</t>
        </is>
      </c>
    </row>
    <row r="298" ht="15" customHeight="1" s="1">
      <c r="A298" s="56" t="inlineStr">
        <is>
          <t>하이네켄</t>
        </is>
      </c>
      <c r="B298" s="57" t="inlineStr">
        <is>
          <t>6월 16일</t>
        </is>
      </c>
      <c r="C298" s="56" t="inlineStr">
        <is>
          <t>하이네켄</t>
        </is>
      </c>
      <c r="D298" s="57" t="inlineStr">
        <is>
          <t>2.04%</t>
        </is>
      </c>
      <c r="E298" s="57" t="n">
        <v>1</v>
      </c>
      <c r="F298" s="61" t="inlineStr">
        <is>
          <t>Trend</t>
        </is>
      </c>
    </row>
    <row r="299" ht="15" customHeight="1" s="1">
      <c r="A299" s="56" t="inlineStr">
        <is>
          <t>하이네켄</t>
        </is>
      </c>
      <c r="B299" s="57" t="inlineStr">
        <is>
          <t>6월 19일</t>
        </is>
      </c>
      <c r="C299" s="56" t="inlineStr">
        <is>
          <t>하이네켄 캠페인</t>
        </is>
      </c>
      <c r="D299" s="57" t="inlineStr">
        <is>
          <t>1.75%</t>
        </is>
      </c>
      <c r="E299" s="57" t="n">
        <v>1</v>
      </c>
      <c r="F299" s="61" t="inlineStr">
        <is>
          <t>Trend</t>
        </is>
      </c>
    </row>
    <row r="300" ht="15" customHeight="1" s="1">
      <c r="A300" s="56" t="inlineStr">
        <is>
          <t>하이네켄</t>
        </is>
      </c>
      <c r="B300" s="57" t="inlineStr">
        <is>
          <t>6월 23일</t>
        </is>
      </c>
      <c r="C300" s="56" t="inlineStr">
        <is>
          <t>하이네켄 캠페인</t>
        </is>
      </c>
      <c r="D300" s="57" t="inlineStr">
        <is>
          <t>2.13%</t>
        </is>
      </c>
      <c r="E300" s="57" t="n">
        <v>1</v>
      </c>
      <c r="F300" s="61" t="inlineStr">
        <is>
          <t>Trend</t>
        </is>
      </c>
    </row>
    <row r="301" ht="15" customHeight="1" s="1">
      <c r="A301" s="56" t="inlineStr">
        <is>
          <t>하이네켄</t>
        </is>
      </c>
      <c r="B301" s="57" t="inlineStr">
        <is>
          <t>6월 2일</t>
        </is>
      </c>
      <c r="C301" s="56" t="inlineStr">
        <is>
          <t>하이네켄 페스티벌</t>
        </is>
      </c>
      <c r="D301" s="57" t="inlineStr">
        <is>
          <t>1.89%</t>
        </is>
      </c>
      <c r="E301" s="57" t="n">
        <v>1</v>
      </c>
      <c r="F301" s="61" t="inlineStr">
        <is>
          <t>Trend</t>
        </is>
      </c>
    </row>
    <row r="302" ht="15" customHeight="1" s="1">
      <c r="A302" s="56" t="inlineStr">
        <is>
          <t>하이네켄</t>
        </is>
      </c>
      <c r="B302" s="57" t="inlineStr">
        <is>
          <t>6월 3일</t>
        </is>
      </c>
      <c r="C302" s="56" t="inlineStr">
        <is>
          <t>하이네켄 페스티벌</t>
        </is>
      </c>
      <c r="D302" s="57" t="inlineStr">
        <is>
          <t>5.56%</t>
        </is>
      </c>
      <c r="E302" s="57" t="n">
        <v>1</v>
      </c>
      <c r="F302" s="61" t="inlineStr">
        <is>
          <t>Trend</t>
        </is>
      </c>
    </row>
    <row r="303" ht="15" customHeight="1" s="1">
      <c r="A303" s="56" t="inlineStr">
        <is>
          <t>하이네켄</t>
        </is>
      </c>
      <c r="B303" s="57" t="inlineStr">
        <is>
          <t>6월 9일</t>
        </is>
      </c>
      <c r="C303" s="56" t="inlineStr">
        <is>
          <t>하이네켄 the clinker</t>
        </is>
      </c>
      <c r="D303" s="57" t="inlineStr">
        <is>
          <t>2.50%</t>
        </is>
      </c>
      <c r="E303" s="57" t="n">
        <v>1</v>
      </c>
      <c r="F303" s="61" t="inlineStr">
        <is>
          <t>Trend</t>
        </is>
      </c>
    </row>
    <row r="304" ht="15" customHeight="1" s="1">
      <c r="A304" s="56" t="inlineStr">
        <is>
          <t>하이네켄</t>
        </is>
      </c>
      <c r="B304" s="57" t="inlineStr">
        <is>
          <t>6월 9일</t>
        </is>
      </c>
      <c r="C304" s="56" t="inlineStr">
        <is>
          <t>하이네켄 페스티벌</t>
        </is>
      </c>
      <c r="D304" s="57" t="inlineStr">
        <is>
          <t>2.50%</t>
        </is>
      </c>
      <c r="E304" s="57" t="n">
        <v>1</v>
      </c>
      <c r="F304" s="61" t="inlineStr">
        <is>
          <t>Trend</t>
        </is>
      </c>
    </row>
    <row r="305" ht="15" customHeight="1" s="1">
      <c r="A305" s="56" t="inlineStr">
        <is>
          <t>하이네켄</t>
        </is>
      </c>
      <c r="B305" s="57" t="inlineStr">
        <is>
          <t>6월 9일</t>
        </is>
      </c>
      <c r="C305" s="56" t="inlineStr">
        <is>
          <t>하이네켄 하우스 코첼라</t>
        </is>
      </c>
      <c r="D305" s="57" t="inlineStr">
        <is>
          <t>2.50%</t>
        </is>
      </c>
      <c r="E305" s="57" t="n">
        <v>1</v>
      </c>
      <c r="F305" s="61" t="inlineStr">
        <is>
          <t>Trend</t>
        </is>
      </c>
    </row>
    <row r="306" ht="15" customHeight="1" s="1">
      <c r="A306" s="56" t="inlineStr">
        <is>
          <t>Amplitude</t>
        </is>
      </c>
      <c r="B306" s="57" t="inlineStr">
        <is>
          <t>6월 10일</t>
        </is>
      </c>
      <c r="C306" s="56" t="inlineStr">
        <is>
          <t>GA4 앰플리튜드 이벤트 네이밍 컨벤션</t>
        </is>
      </c>
      <c r="D306" s="57" t="inlineStr">
        <is>
          <t>0.87%</t>
        </is>
      </c>
      <c r="E306" s="57" t="n">
        <v>1</v>
      </c>
      <c r="F306" s="63" t="inlineStr">
        <is>
          <t>Data</t>
        </is>
      </c>
    </row>
    <row r="307" ht="15" customHeight="1" s="1">
      <c r="A307" s="56" t="inlineStr">
        <is>
          <t>Amplitude</t>
        </is>
      </c>
      <c r="B307" s="57" t="inlineStr">
        <is>
          <t>6월 17일</t>
        </is>
      </c>
      <c r="C307" s="56" t="inlineStr">
        <is>
          <t>앰플리튜드 event</t>
        </is>
      </c>
      <c r="D307" s="57" t="inlineStr">
        <is>
          <t>3.23%</t>
        </is>
      </c>
      <c r="E307" s="57" t="n">
        <v>1</v>
      </c>
      <c r="F307" s="63" t="inlineStr">
        <is>
          <t>Data</t>
        </is>
      </c>
    </row>
    <row r="308" ht="15" customHeight="1" s="1">
      <c r="A308" s="56" t="inlineStr">
        <is>
          <t>Amplitude</t>
        </is>
      </c>
      <c r="B308" s="57" t="inlineStr">
        <is>
          <t>6월 18일</t>
        </is>
      </c>
      <c r="C308" s="56" t="inlineStr">
        <is>
          <t>앰플리튜드 세그먼트 차트</t>
        </is>
      </c>
      <c r="D308" s="57" t="inlineStr">
        <is>
          <t>1.09%</t>
        </is>
      </c>
      <c r="E308" s="57" t="n">
        <v>1</v>
      </c>
      <c r="F308" s="63" t="inlineStr">
        <is>
          <t>Data</t>
        </is>
      </c>
    </row>
    <row r="309" ht="15" customHeight="1" s="1">
      <c r="A309" s="56" t="inlineStr">
        <is>
          <t>Amplitude</t>
        </is>
      </c>
      <c r="B309" s="57" t="inlineStr">
        <is>
          <t>6월 22일</t>
        </is>
      </c>
      <c r="C309" s="56" t="inlineStr">
        <is>
          <t>amplitude MTU</t>
        </is>
      </c>
      <c r="D309" s="57" t="inlineStr">
        <is>
          <t>3.45%</t>
        </is>
      </c>
      <c r="E309" s="57" t="n">
        <v>1</v>
      </c>
      <c r="F309" s="63" t="inlineStr">
        <is>
          <t>Data</t>
        </is>
      </c>
    </row>
    <row r="310" ht="15" customHeight="1" s="1">
      <c r="A310" s="56" t="inlineStr">
        <is>
          <t>Amplitude</t>
        </is>
      </c>
      <c r="B310" s="57" t="inlineStr">
        <is>
          <t>6월 30일</t>
        </is>
      </c>
      <c r="C310" s="56" t="inlineStr">
        <is>
          <t>amplitude 축</t>
        </is>
      </c>
      <c r="D310" s="57" t="inlineStr">
        <is>
          <t>0.84%</t>
        </is>
      </c>
      <c r="E310" s="57" t="n">
        <v>1</v>
      </c>
      <c r="F310" s="63" t="inlineStr">
        <is>
          <t>Data</t>
        </is>
      </c>
    </row>
    <row r="311" ht="15" customHeight="1" s="1">
      <c r="A311" s="56" t="inlineStr">
        <is>
          <t>Amplitude</t>
        </is>
      </c>
      <c r="B311" s="57" t="inlineStr">
        <is>
          <t>6월 3일</t>
        </is>
      </c>
      <c r="C311" s="56" t="inlineStr">
        <is>
          <t>앰플리튜드 고유 유저가 중복 집계되는 경우</t>
        </is>
      </c>
      <c r="D311" s="57" t="inlineStr">
        <is>
          <t>5.56%</t>
        </is>
      </c>
      <c r="E311" s="57" t="n">
        <v>1</v>
      </c>
      <c r="F311" s="63" t="inlineStr">
        <is>
          <t>Data</t>
        </is>
      </c>
    </row>
    <row r="312" ht="15" customHeight="1" s="1">
      <c r="A312" s="56" t="inlineStr">
        <is>
          <t>Amplitude</t>
        </is>
      </c>
      <c r="B312" s="57" t="inlineStr">
        <is>
          <t>6월 5일</t>
        </is>
      </c>
      <c r="C312" s="56" t="inlineStr">
        <is>
          <t>앰플리튜드</t>
        </is>
      </c>
      <c r="D312" s="57" t="inlineStr">
        <is>
          <t>1.89%</t>
        </is>
      </c>
      <c r="E312" s="57" t="n">
        <v>1</v>
      </c>
      <c r="F312" s="63" t="inlineStr">
        <is>
          <t>Data</t>
        </is>
      </c>
    </row>
    <row r="313" ht="15" customHeight="1" s="1">
      <c r="A313" s="56" t="inlineStr">
        <is>
          <t>기타</t>
        </is>
      </c>
      <c r="B313" s="57" t="inlineStr">
        <is>
          <t>6월 11일</t>
        </is>
      </c>
      <c r="C313" s="56" t="inlineStr">
        <is>
          <t>크리테오ㅍclv</t>
        </is>
      </c>
      <c r="D313" s="57" t="inlineStr">
        <is>
          <t>5.13%</t>
        </is>
      </c>
      <c r="E313" s="57" t="n">
        <v>2</v>
      </c>
      <c r="F313" s="58" t="inlineStr">
        <is>
          <t>Media</t>
        </is>
      </c>
    </row>
    <row r="314" ht="15" customHeight="1" s="1">
      <c r="A314" s="56" t="inlineStr">
        <is>
          <t>기타</t>
        </is>
      </c>
      <c r="B314" s="57" t="inlineStr">
        <is>
          <t>6월 15일</t>
        </is>
      </c>
      <c r="C314" s="56" t="inlineStr">
        <is>
          <t>버티컬 매체 추천</t>
        </is>
      </c>
      <c r="D314" s="57" t="inlineStr">
        <is>
          <t>2.86%</t>
        </is>
      </c>
      <c r="E314" s="57" t="n">
        <v>1</v>
      </c>
      <c r="F314" s="58" t="inlineStr">
        <is>
          <t>Media</t>
        </is>
      </c>
    </row>
    <row r="315" ht="15" customHeight="1" s="1">
      <c r="A315" s="56" t="inlineStr">
        <is>
          <t>기타</t>
        </is>
      </c>
      <c r="B315" s="57" t="inlineStr">
        <is>
          <t>6월 15일</t>
        </is>
      </c>
      <c r="C315" s="56" t="inlineStr">
        <is>
          <t>스플래시 매체 엠넷플러스</t>
        </is>
      </c>
      <c r="D315" s="57" t="inlineStr">
        <is>
          <t>2.86%</t>
        </is>
      </c>
      <c r="E315" s="57" t="n">
        <v>1</v>
      </c>
      <c r="F315" s="58" t="inlineStr">
        <is>
          <t>Media</t>
        </is>
      </c>
    </row>
    <row r="316" ht="15" customHeight="1" s="1">
      <c r="A316" s="56" t="inlineStr">
        <is>
          <t>기타</t>
        </is>
      </c>
      <c r="B316" s="57" t="inlineStr">
        <is>
          <t>6월 16일</t>
        </is>
      </c>
      <c r="C316" s="56" t="inlineStr">
        <is>
          <t>Search에서 Answer로 : AI 검색이 바꾸는 소비자 구매 여정과 대응 전략</t>
        </is>
      </c>
      <c r="D316" s="57" t="inlineStr">
        <is>
          <t>2.04%</t>
        </is>
      </c>
      <c r="E316" s="57" t="n">
        <v>1</v>
      </c>
      <c r="F316" s="58" t="inlineStr">
        <is>
          <t>Media</t>
        </is>
      </c>
    </row>
    <row r="317" ht="15" customHeight="1" s="1">
      <c r="A317" s="56" t="inlineStr">
        <is>
          <t>기타</t>
        </is>
      </c>
      <c r="B317" s="57" t="inlineStr">
        <is>
          <t>6월 18일</t>
        </is>
      </c>
      <c r="C317" s="56" t="inlineStr">
        <is>
          <t>티맵 로컬 핀 광고</t>
        </is>
      </c>
      <c r="D317" s="57" t="inlineStr">
        <is>
          <t>1.09%</t>
        </is>
      </c>
      <c r="E317" s="57" t="n">
        <v>1</v>
      </c>
      <c r="F317" s="58" t="inlineStr">
        <is>
          <t>Media</t>
        </is>
      </c>
    </row>
    <row r="318" ht="15" customHeight="1" s="1">
      <c r="A318" s="56" t="inlineStr">
        <is>
          <t>기타</t>
        </is>
      </c>
      <c r="B318" s="57" t="inlineStr">
        <is>
          <t>6월 19일</t>
        </is>
      </c>
      <c r="C318" s="56" t="inlineStr">
        <is>
          <t>메타광고 CTR 공식 벤치마크</t>
        </is>
      </c>
      <c r="D318" s="57" t="inlineStr">
        <is>
          <t>1.75%</t>
        </is>
      </c>
      <c r="E318" s="57" t="n">
        <v>1</v>
      </c>
      <c r="F318" s="59" t="inlineStr">
        <is>
          <t>About</t>
        </is>
      </c>
    </row>
    <row r="319" ht="15" customHeight="1" s="1">
      <c r="A319" s="56" t="inlineStr">
        <is>
          <t>기타</t>
        </is>
      </c>
      <c r="B319" s="57" t="inlineStr">
        <is>
          <t>6월 24일</t>
        </is>
      </c>
      <c r="C319" s="56" t="inlineStr">
        <is>
          <t>헌혈 아이돌 앨범</t>
        </is>
      </c>
      <c r="D319" s="57" t="inlineStr">
        <is>
          <t>2.94%</t>
        </is>
      </c>
      <c r="E319" s="57" t="n">
        <v>1</v>
      </c>
      <c r="F319" s="61" t="inlineStr">
        <is>
          <t>Trend</t>
        </is>
      </c>
    </row>
    <row r="320" ht="15" customHeight="1" s="1">
      <c r="A320" s="56" t="inlineStr">
        <is>
          <t>기타</t>
        </is>
      </c>
      <c r="B320" s="57" t="inlineStr">
        <is>
          <t>6월 26일</t>
        </is>
      </c>
      <c r="C320" s="56" t="inlineStr">
        <is>
          <t>탸불라</t>
        </is>
      </c>
      <c r="D320" s="57" t="inlineStr">
        <is>
          <t>2.86%</t>
        </is>
      </c>
      <c r="E320" s="57" t="n">
        <v>1</v>
      </c>
      <c r="F320" s="58" t="inlineStr">
        <is>
          <t>Media</t>
        </is>
      </c>
    </row>
    <row r="321" ht="15" customHeight="1" s="1">
      <c r="A321" s="56" t="inlineStr">
        <is>
          <t>기타</t>
        </is>
      </c>
      <c r="B321" s="57" t="inlineStr">
        <is>
          <t>6월 26일</t>
        </is>
      </c>
      <c r="C321" s="56" t="inlineStr">
        <is>
          <t>그사람이 바로 나에요</t>
        </is>
      </c>
      <c r="D321" s="57" t="inlineStr">
        <is>
          <t>2.86%</t>
        </is>
      </c>
      <c r="E321" s="57" t="n">
        <v>1</v>
      </c>
      <c r="F321" s="62" t="n"/>
    </row>
    <row r="322" ht="15" customHeight="1" s="1">
      <c r="A322" s="56" t="inlineStr">
        <is>
          <t>기타</t>
        </is>
      </c>
      <c r="B322" s="57" t="inlineStr">
        <is>
          <t>6월 28일</t>
        </is>
      </c>
      <c r="C322" s="56" t="inlineStr">
        <is>
          <t>Mnet Plus 광고 상품</t>
        </is>
      </c>
      <c r="D322" s="57" t="inlineStr">
        <is>
          <t>1.33%</t>
        </is>
      </c>
      <c r="E322" s="57" t="n">
        <v>1</v>
      </c>
      <c r="F322" s="58" t="inlineStr">
        <is>
          <t>Media</t>
        </is>
      </c>
    </row>
    <row r="323" ht="15" customHeight="1" s="1">
      <c r="A323" s="56" t="inlineStr">
        <is>
          <t>기타</t>
        </is>
      </c>
      <c r="B323" s="57" t="inlineStr">
        <is>
          <t>6월 29일</t>
        </is>
      </c>
      <c r="C323" s="56" t="inlineStr">
        <is>
          <t>네이버 검색 프로모션 에스파</t>
        </is>
      </c>
      <c r="D323" s="57" t="inlineStr">
        <is>
          <t>2.27%</t>
        </is>
      </c>
      <c r="E323" s="57" t="n">
        <v>1</v>
      </c>
      <c r="F323" s="61" t="inlineStr">
        <is>
          <t>Trend</t>
        </is>
      </c>
    </row>
    <row r="324" ht="15" customHeight="1" s="1">
      <c r="A324" s="56" t="inlineStr">
        <is>
          <t>기타</t>
        </is>
      </c>
      <c r="B324" s="57" t="inlineStr">
        <is>
          <t>6월 29일</t>
        </is>
      </c>
      <c r="C324" s="56" t="inlineStr">
        <is>
          <t>유튜브 마스트헤드 최신 가이드</t>
        </is>
      </c>
      <c r="D324" s="57" t="inlineStr">
        <is>
          <t>2.27%</t>
        </is>
      </c>
      <c r="E324" s="57" t="n">
        <v>1</v>
      </c>
      <c r="F324" s="59" t="inlineStr">
        <is>
          <t>About</t>
        </is>
      </c>
    </row>
    <row r="325" ht="15" customHeight="1" s="1">
      <c r="A325" s="56" t="inlineStr">
        <is>
          <t>기타</t>
        </is>
      </c>
      <c r="B325" s="57" t="inlineStr">
        <is>
          <t>6월 29일</t>
        </is>
      </c>
      <c r="C325" s="56" t="inlineStr">
        <is>
          <t>유튜브에서 '야호'라는 표현이 자주 쓰이는 맥락은 무엇인가요?</t>
        </is>
      </c>
      <c r="D325" s="57" t="inlineStr">
        <is>
          <t>2.27%</t>
        </is>
      </c>
      <c r="E325" s="57" t="n">
        <v>1</v>
      </c>
      <c r="F325" s="62" t="n"/>
    </row>
    <row r="326" ht="15" customHeight="1" s="1">
      <c r="A326" s="56" t="inlineStr">
        <is>
          <t>기타</t>
        </is>
      </c>
      <c r="B326" s="57" t="inlineStr">
        <is>
          <t>6월 2일</t>
        </is>
      </c>
      <c r="C326" s="56" t="inlineStr">
        <is>
          <t>메타 슬라이드형 광고</t>
        </is>
      </c>
      <c r="D326" s="57" t="inlineStr">
        <is>
          <t>1.89%</t>
        </is>
      </c>
      <c r="E326" s="57" t="n">
        <v>1</v>
      </c>
      <c r="F326" s="59" t="inlineStr">
        <is>
          <t>About</t>
        </is>
      </c>
    </row>
    <row r="327" ht="15" customHeight="1" s="1">
      <c r="A327" s="56" t="inlineStr">
        <is>
          <t>기타</t>
        </is>
      </c>
      <c r="B327" s="57" t="inlineStr">
        <is>
          <t>6월 2일</t>
        </is>
      </c>
      <c r="C327" s="56" t="inlineStr">
        <is>
          <t>인스턴트 메신저 종류</t>
        </is>
      </c>
      <c r="D327" s="57" t="inlineStr">
        <is>
          <t>1.89%</t>
        </is>
      </c>
      <c r="E327" s="57" t="n">
        <v>1</v>
      </c>
      <c r="F327" s="62" t="n"/>
    </row>
    <row r="328" ht="15" customHeight="1" s="1">
      <c r="A328" s="56" t="inlineStr">
        <is>
          <t>기타</t>
        </is>
      </c>
      <c r="B328" s="57" t="inlineStr">
        <is>
          <t>6월 2일</t>
        </is>
      </c>
      <c r="C328" s="56" t="inlineStr">
        <is>
          <t>핀터 에스파 공식계정</t>
        </is>
      </c>
      <c r="D328" s="57" t="inlineStr">
        <is>
          <t>1.89%</t>
        </is>
      </c>
      <c r="E328" s="57" t="n">
        <v>1</v>
      </c>
      <c r="F328" s="61" t="inlineStr">
        <is>
          <t>Trend</t>
        </is>
      </c>
    </row>
    <row r="329" ht="15" customHeight="1" s="1">
      <c r="A329" s="56" t="inlineStr">
        <is>
          <t>기타</t>
        </is>
      </c>
      <c r="B329" s="57" t="inlineStr">
        <is>
          <t>6월 2일</t>
        </is>
      </c>
      <c r="C329" s="56" t="inlineStr">
        <is>
          <t>헌혈 아이돌</t>
        </is>
      </c>
      <c r="D329" s="57" t="inlineStr">
        <is>
          <t>1.89%</t>
        </is>
      </c>
      <c r="E329" s="57" t="n">
        <v>1</v>
      </c>
      <c r="F329" s="61" t="inlineStr">
        <is>
          <t>Trend</t>
        </is>
      </c>
    </row>
    <row r="330" ht="15" customHeight="1" s="1">
      <c r="A330" s="56" t="inlineStr">
        <is>
          <t>기타</t>
        </is>
      </c>
      <c r="B330" s="57" t="inlineStr">
        <is>
          <t>6월 4일</t>
        </is>
      </c>
      <c r="C330" s="56" t="inlineStr">
        <is>
          <t>AI가 검색어 광고의 효율성을 높이는 방법은?</t>
        </is>
      </c>
      <c r="D330" s="57" t="inlineStr">
        <is>
          <t>0.96%</t>
        </is>
      </c>
      <c r="E330" s="57" t="n">
        <v>1</v>
      </c>
      <c r="F330" s="58" t="inlineStr">
        <is>
          <t>Media</t>
        </is>
      </c>
    </row>
    <row r="331" ht="15" customHeight="1" s="1">
      <c r="A331" s="56" t="inlineStr">
        <is>
          <t>기타</t>
        </is>
      </c>
      <c r="B331" s="57" t="inlineStr">
        <is>
          <t>6월 4일</t>
        </is>
      </c>
      <c r="C331" s="56" t="inlineStr">
        <is>
          <t>크리테오 실행사</t>
        </is>
      </c>
      <c r="D331" s="57" t="inlineStr">
        <is>
          <t>0.96%</t>
        </is>
      </c>
      <c r="E331" s="57" t="n">
        <v>1</v>
      </c>
      <c r="F331" s="59" t="inlineStr">
        <is>
          <t>About</t>
        </is>
      </c>
    </row>
    <row r="332" ht="15" customHeight="1" s="1">
      <c r="A332" s="56" t="inlineStr">
        <is>
          <t>기타</t>
        </is>
      </c>
      <c r="B332" s="57" t="inlineStr">
        <is>
          <t>6월 4일</t>
        </is>
      </c>
      <c r="C332" s="56" t="inlineStr">
        <is>
          <t>중저가 의류 브랜드</t>
        </is>
      </c>
      <c r="D332" s="57" t="inlineStr">
        <is>
          <t>0.96%</t>
        </is>
      </c>
      <c r="E332" s="57" t="n">
        <v>1</v>
      </c>
      <c r="F332" s="62" t="n"/>
    </row>
    <row r="333" ht="15" customHeight="1" s="1">
      <c r="A333" s="56" t="inlineStr">
        <is>
          <t>기타</t>
        </is>
      </c>
      <c r="B333" s="57" t="inlineStr">
        <is>
          <t>6월 5일</t>
        </is>
      </c>
      <c r="C333" s="56" t="inlineStr">
        <is>
          <t>공식 에스파 핀터레스트</t>
        </is>
      </c>
      <c r="D333" s="57" t="inlineStr">
        <is>
          <t>1.89%</t>
        </is>
      </c>
      <c r="E333" s="57" t="n">
        <v>1</v>
      </c>
      <c r="F333" s="61" t="inlineStr">
        <is>
          <t>Trend</t>
        </is>
      </c>
    </row>
    <row r="334" ht="15" customHeight="1" s="1">
      <c r="A334" s="56" t="inlineStr">
        <is>
          <t>기타</t>
        </is>
      </c>
      <c r="B334" s="57" t="inlineStr">
        <is>
          <t>6월 6일</t>
        </is>
      </c>
      <c r="C334" s="56" t="inlineStr">
        <is>
          <t>공식 에스파 핀터레스트</t>
        </is>
      </c>
      <c r="D334" s="57" t="inlineStr">
        <is>
          <t>4.00%</t>
        </is>
      </c>
      <c r="E334" s="57" t="n">
        <v>1</v>
      </c>
      <c r="F334" s="61" t="inlineStr">
        <is>
          <t>Trend</t>
        </is>
      </c>
    </row>
    <row r="335" ht="15" customHeight="1" s="1">
      <c r="A335" s="56" t="inlineStr">
        <is>
          <t>기타</t>
        </is>
      </c>
      <c r="B335" s="57" t="inlineStr">
        <is>
          <t>6월 8일</t>
        </is>
      </c>
      <c r="C335" s="56" t="inlineStr">
        <is>
          <t>구글 크리에이터 파트너십 부스트</t>
        </is>
      </c>
      <c r="D335" s="57" t="inlineStr">
        <is>
          <t>2.33%</t>
        </is>
      </c>
      <c r="E335" s="57" t="n">
        <v>1</v>
      </c>
      <c r="F335" s="59" t="inlineStr">
        <is>
          <t>About</t>
        </is>
      </c>
    </row>
    <row r="336" ht="15" customHeight="1" s="1">
      <c r="A336" s="56" t="inlineStr">
        <is>
          <t>기타</t>
        </is>
      </c>
      <c r="B336" s="57" t="inlineStr">
        <is>
          <t>6월 9일</t>
        </is>
      </c>
      <c r="C336" s="56" t="inlineStr">
        <is>
          <t>구글 크리에이터 파트너십 부스트</t>
        </is>
      </c>
      <c r="D336" s="57" t="inlineStr">
        <is>
          <t>2.50%</t>
        </is>
      </c>
      <c r="E336" s="57" t="n">
        <v>1</v>
      </c>
      <c r="F336" s="59" t="inlineStr">
        <is>
          <t>About</t>
        </is>
      </c>
    </row>
    <row r="337" ht="15" customHeight="1" s="1">
      <c r="A337" s="56" t="inlineStr">
        <is>
          <t>기타</t>
        </is>
      </c>
      <c r="B337" s="57" t="inlineStr">
        <is>
          <t>6월 9일</t>
        </is>
      </c>
      <c r="C337" s="56" t="inlineStr">
        <is>
          <t>크리테오 광고 뜻</t>
        </is>
      </c>
      <c r="D337" s="57" t="inlineStr">
        <is>
          <t>2.50%</t>
        </is>
      </c>
      <c r="E337" s="57" t="n">
        <v>1</v>
      </c>
      <c r="F337" s="58" t="inlineStr">
        <is>
          <t>Media</t>
        </is>
      </c>
    </row>
  </sheetData>
  <autoFilter ref="A1:F1"/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9"/>
  <sheetViews>
    <sheetView zoomScaleNormal="100" workbookViewId="0">
      <selection activeCell="H28" sqref="H28"/>
    </sheetView>
  </sheetViews>
  <sheetFormatPr baseColWidth="8" defaultColWidth="8.6640625" defaultRowHeight="14.4"/>
  <cols>
    <col width="22" customWidth="1" style="1" min="1" max="1"/>
    <col width="8.5546875" customWidth="1" style="1" min="2" max="2"/>
    <col width="9" customWidth="1" style="1" min="3" max="3"/>
    <col width="22" customWidth="1" style="1" min="4" max="4"/>
    <col width="8" customWidth="1" style="1" min="5" max="5"/>
    <col width="9" customWidth="1" style="1" min="6" max="6"/>
    <col width="22" customWidth="1" style="1" min="7" max="7"/>
    <col width="9.21875" customWidth="1" style="1" min="8" max="8"/>
    <col width="9" customWidth="1" style="1" min="9" max="9"/>
    <col width="22" customWidth="1" style="1" min="10" max="10"/>
    <col width="7" customWidth="1" style="1" min="11" max="11"/>
    <col width="9" customWidth="1" style="1" min="12" max="12"/>
    <col width="22" customWidth="1" style="1" min="13" max="13"/>
    <col width="8.44140625" customWidth="1" style="1" min="14" max="14"/>
    <col width="9" customWidth="1" style="1" min="15" max="15"/>
    <col width="22" customWidth="1" style="1" min="16" max="16"/>
    <col width="7" customWidth="1" style="1" min="17" max="17"/>
    <col width="9" customWidth="1" style="1" min="18" max="18"/>
    <col width="22" customWidth="1" style="1" min="19" max="19"/>
    <col width="7" customWidth="1" style="1" min="20" max="20"/>
    <col width="9" customWidth="1" style="1" min="21" max="21"/>
    <col width="8.6640625" customWidth="1" style="1" min="22" max="16384"/>
  </cols>
  <sheetData>
    <row r="1" ht="21.75" customHeight="1" s="1">
      <c r="A1" s="2" t="inlineStr">
        <is>
          <t>월 설정</t>
        </is>
      </c>
      <c r="B1" s="3" t="n">
        <v>5</v>
      </c>
      <c r="C1" s="126" t="inlineStr">
        <is>
          <t>← B1 셀에서 월을 선택하면 날짜가 자동으로 바뀝니다</t>
        </is>
      </c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  <c r="T1" s="150" t="n"/>
      <c r="U1" s="150" t="n"/>
    </row>
    <row r="2" ht="15.75" customHeight="1" s="1">
      <c r="A2" s="4" t="inlineStr">
        <is>
          <t>키워드</t>
        </is>
      </c>
      <c r="B2" s="4" t="inlineStr">
        <is>
          <t>비중</t>
        </is>
      </c>
      <c r="C2" s="4" t="inlineStr">
        <is>
          <t>섹션</t>
        </is>
      </c>
      <c r="D2" s="4" t="inlineStr">
        <is>
          <t>키워드</t>
        </is>
      </c>
      <c r="E2" s="4" t="inlineStr">
        <is>
          <t>비중</t>
        </is>
      </c>
      <c r="F2" s="4" t="inlineStr">
        <is>
          <t>섹션</t>
        </is>
      </c>
      <c r="G2" s="4" t="inlineStr">
        <is>
          <t>키워드</t>
        </is>
      </c>
      <c r="H2" s="4" t="inlineStr">
        <is>
          <t>비중</t>
        </is>
      </c>
      <c r="I2" s="4" t="inlineStr">
        <is>
          <t>섹션</t>
        </is>
      </c>
      <c r="J2" s="4" t="inlineStr">
        <is>
          <t>키워드</t>
        </is>
      </c>
      <c r="K2" s="4" t="inlineStr">
        <is>
          <t>비중</t>
        </is>
      </c>
      <c r="L2" s="4" t="inlineStr">
        <is>
          <t>섹션</t>
        </is>
      </c>
      <c r="M2" s="4" t="inlineStr">
        <is>
          <t>키워드</t>
        </is>
      </c>
      <c r="N2" s="4" t="inlineStr">
        <is>
          <t>비중</t>
        </is>
      </c>
      <c r="O2" s="4" t="inlineStr">
        <is>
          <t>섹션</t>
        </is>
      </c>
      <c r="P2" s="4" t="inlineStr">
        <is>
          <t>키워드</t>
        </is>
      </c>
      <c r="Q2" s="4" t="inlineStr">
        <is>
          <t>비중</t>
        </is>
      </c>
      <c r="R2" s="4" t="inlineStr">
        <is>
          <t>섹션</t>
        </is>
      </c>
      <c r="S2" s="4" t="inlineStr">
        <is>
          <t>키워드</t>
        </is>
      </c>
      <c r="T2" s="4" t="inlineStr">
        <is>
          <t>비중</t>
        </is>
      </c>
      <c r="U2" s="4" t="inlineStr">
        <is>
          <t>섹션</t>
        </is>
      </c>
    </row>
    <row r="3" ht="15.75" customHeight="1" s="1">
      <c r="A3" s="5">
        <f>IF(1&lt;=DAY(EOMONTH(DATE(2026,$B$1,1),0)),$B$1&amp;"월 1일","")</f>
        <v/>
      </c>
      <c r="B3" s="6" t="n"/>
      <c r="C3" s="7" t="n"/>
      <c r="D3" s="5">
        <f>IF(2&lt;=DAY(EOMONTH(DATE(2026,$B$1,1),0)),$B$1&amp;"월 2일","")</f>
        <v/>
      </c>
      <c r="E3" s="6" t="n"/>
      <c r="F3" s="7" t="n"/>
      <c r="G3" s="5">
        <f>IF(3&lt;=DAY(EOMONTH(DATE(2026,$B$1,1),0)),$B$1&amp;"월 3일","")</f>
        <v/>
      </c>
      <c r="H3" s="6" t="n"/>
      <c r="I3" s="7" t="n"/>
      <c r="J3" s="5">
        <f>IF(4&lt;=DAY(EOMONTH(DATE(2026,$B$1,1),0)),$B$1&amp;"월 4일","")</f>
        <v/>
      </c>
      <c r="K3" s="6" t="n"/>
      <c r="L3" s="7" t="n"/>
      <c r="M3" s="5">
        <f>IF(5&lt;=DAY(EOMONTH(DATE(2026,$B$1,1),0)),$B$1&amp;"월 5일","")</f>
        <v/>
      </c>
      <c r="N3" s="6" t="n"/>
      <c r="O3" s="7" t="n"/>
      <c r="P3" s="5">
        <f>IF(6&lt;=DAY(EOMONTH(DATE(2026,$B$1,1),0)),$B$1&amp;"월 6일","")</f>
        <v/>
      </c>
      <c r="Q3" s="6" t="n"/>
      <c r="R3" s="7" t="n"/>
      <c r="S3" s="5">
        <f>IF(7&lt;=DAY(EOMONTH(DATE(2026,$B$1,1),0)),$B$1&amp;"월 7일","")</f>
        <v/>
      </c>
      <c r="T3" s="6" t="n"/>
      <c r="U3" s="7" t="n"/>
    </row>
    <row r="4" ht="15.75" customHeight="1" s="1">
      <c r="A4" s="8" t="inlineStr">
        <is>
          <t>쿠팡플레이 티빙</t>
        </is>
      </c>
      <c r="B4" s="9" t="n">
        <v>0.1667</v>
      </c>
      <c r="C4" s="10" t="inlineStr">
        <is>
          <t>About</t>
        </is>
      </c>
      <c r="D4" s="8" t="inlineStr">
        <is>
          <t>배민방학도시락 캠페인</t>
        </is>
      </c>
      <c r="E4" s="9" t="n">
        <v>0.1429</v>
      </c>
      <c r="F4" s="10" t="inlineStr">
        <is>
          <t>Trend</t>
        </is>
      </c>
      <c r="G4" s="8" t="inlineStr">
        <is>
          <t>식음료 트렌드 리포트</t>
        </is>
      </c>
      <c r="H4" s="64" t="n">
        <v>0.0667</v>
      </c>
      <c r="I4" s="10" t="inlineStr">
        <is>
          <t>Trend</t>
        </is>
      </c>
      <c r="J4" s="11" t="inlineStr">
        <is>
          <t>ADVoost 검색광고 AI 자동 최적화 기능 알려주세요</t>
        </is>
      </c>
      <c r="K4" s="9" t="n">
        <v>0.0455</v>
      </c>
      <c r="L4" s="10" t="n"/>
      <c r="M4" s="11" t="inlineStr">
        <is>
          <t>GA 원본 데이터 추출</t>
        </is>
      </c>
      <c r="N4" s="9" t="n">
        <v>0.1429</v>
      </c>
      <c r="O4" s="10" t="inlineStr">
        <is>
          <t>Data</t>
        </is>
      </c>
      <c r="P4" s="11" t="inlineStr">
        <is>
          <t>dframe GEO</t>
        </is>
      </c>
      <c r="Q4" s="9" t="n">
        <v>0.0323</v>
      </c>
      <c r="R4" s="10" t="inlineStr">
        <is>
          <t>About</t>
        </is>
      </c>
      <c r="S4" s="8" t="inlineStr">
        <is>
          <t>디엠씨미디어 이준희</t>
        </is>
      </c>
      <c r="T4" s="9" t="n">
        <v>0.0299</v>
      </c>
      <c r="U4" s="10" t="inlineStr">
        <is>
          <t>About</t>
        </is>
      </c>
    </row>
    <row r="5" ht="15.75" customHeight="1" s="1">
      <c r="A5" s="11" t="inlineStr">
        <is>
          <t>admin night</t>
        </is>
      </c>
      <c r="B5" s="9" t="n">
        <v>0.1667</v>
      </c>
      <c r="C5" s="10" t="inlineStr">
        <is>
          <t>Trend</t>
        </is>
      </c>
      <c r="D5" s="8" t="inlineStr">
        <is>
          <t>의류 플랫폼</t>
        </is>
      </c>
      <c r="E5" s="9" t="n">
        <v>0.1429</v>
      </c>
      <c r="F5" s="10" t="inlineStr">
        <is>
          <t>Trend</t>
        </is>
      </c>
      <c r="G5" s="8" t="inlineStr">
        <is>
          <t>당근 돗자리</t>
        </is>
      </c>
      <c r="H5" s="64" t="n">
        <v>0.0667</v>
      </c>
      <c r="I5" s="10" t="n"/>
      <c r="J5" s="11" t="inlineStr">
        <is>
          <t>ADVoost와 기존 네이버 광고 차이점이 궁금해요</t>
        </is>
      </c>
      <c r="K5" s="9" t="n">
        <v>0.0455</v>
      </c>
      <c r="L5" s="10" t="n"/>
      <c r="M5" s="8" t="inlineStr">
        <is>
          <t>네이버광고 AI 비용</t>
        </is>
      </c>
      <c r="N5" s="9" t="n">
        <v>0.1429</v>
      </c>
      <c r="O5" s="10" t="inlineStr">
        <is>
          <t>Media</t>
        </is>
      </c>
      <c r="P5" s="8" t="inlineStr">
        <is>
          <t>리테일 미디어 네트워크 뜻</t>
        </is>
      </c>
      <c r="Q5" s="9" t="n">
        <v>0.0323</v>
      </c>
      <c r="R5" s="10" t="n"/>
      <c r="S5" s="8" t="inlineStr">
        <is>
          <t>쿠팡플레이 광고</t>
        </is>
      </c>
      <c r="T5" s="9" t="n">
        <v>0.0299</v>
      </c>
      <c r="U5" s="10" t="inlineStr">
        <is>
          <t>About</t>
        </is>
      </c>
    </row>
    <row r="6" ht="15.75" customHeight="1" s="1">
      <c r="A6" s="8" t="inlineStr">
        <is>
          <t>쿠팡플레이 광고</t>
        </is>
      </c>
      <c r="B6" s="9" t="n">
        <v>0.1667</v>
      </c>
      <c r="C6" s="10" t="inlineStr">
        <is>
          <t>About</t>
        </is>
      </c>
      <c r="D6" s="8" t="inlineStr">
        <is>
          <t>자외선영양제</t>
        </is>
      </c>
      <c r="E6" s="9" t="n">
        <v>0.1429</v>
      </c>
      <c r="F6" s="10" t="inlineStr">
        <is>
          <t>Trend</t>
        </is>
      </c>
      <c r="G6" s="8" t="inlineStr">
        <is>
          <t>쿠팡플레이 광고</t>
        </is>
      </c>
      <c r="H6" s="64" t="n">
        <v>0.0667</v>
      </c>
      <c r="I6" s="10" t="inlineStr">
        <is>
          <t>About</t>
        </is>
      </c>
      <c r="J6" s="11" t="inlineStr">
        <is>
          <t>D.SaiO</t>
        </is>
      </c>
      <c r="K6" s="9" t="n">
        <v>0.0455</v>
      </c>
      <c r="L6" s="10" t="inlineStr">
        <is>
          <t>About</t>
        </is>
      </c>
      <c r="M6" s="8" t="inlineStr">
        <is>
          <t>엠넷 kpop</t>
        </is>
      </c>
      <c r="N6" s="9" t="n">
        <v>0.1429</v>
      </c>
      <c r="O6" s="10" t="inlineStr">
        <is>
          <t>Media</t>
        </is>
      </c>
      <c r="P6" s="8" t="inlineStr">
        <is>
          <t>쇼박스 촬영실록 링크</t>
        </is>
      </c>
      <c r="Q6" s="9" t="n">
        <v>0.0323</v>
      </c>
      <c r="R6" s="10" t="inlineStr">
        <is>
          <t>Trend</t>
        </is>
      </c>
      <c r="S6" s="11" t="inlineStr">
        <is>
          <t>MZ세대 금융 투자 정보 탐색 채널</t>
        </is>
      </c>
      <c r="T6" s="9" t="n">
        <v>0.0149</v>
      </c>
      <c r="U6" s="10" t="inlineStr">
        <is>
          <t>Trend</t>
        </is>
      </c>
    </row>
    <row r="7" ht="15.75" customHeight="1" s="1">
      <c r="A7" s="8" t="inlineStr">
        <is>
          <t>비주얼아이덴티티</t>
        </is>
      </c>
      <c r="B7" s="9" t="n">
        <v>0.1667</v>
      </c>
      <c r="C7" s="10" t="n"/>
      <c r="D7" s="8" t="inlineStr">
        <is>
          <t>앰플리튜드 차트</t>
        </is>
      </c>
      <c r="E7" s="9" t="n">
        <v>0.2857</v>
      </c>
      <c r="F7" s="10" t="inlineStr">
        <is>
          <t>Data</t>
        </is>
      </c>
      <c r="G7" s="8" t="inlineStr">
        <is>
          <t>삼신가전</t>
        </is>
      </c>
      <c r="H7" s="9" t="n">
        <v>0.0667</v>
      </c>
      <c r="I7" s="10" t="n"/>
      <c r="J7" s="11" t="inlineStr">
        <is>
          <t>DMC 미디어 AEO</t>
        </is>
      </c>
      <c r="K7" s="9" t="n">
        <v>0.0455</v>
      </c>
      <c r="L7" s="10" t="inlineStr">
        <is>
          <t>About</t>
        </is>
      </c>
      <c r="M7" s="8" t="inlineStr">
        <is>
          <t>주류트렌드보고서 저당</t>
        </is>
      </c>
      <c r="N7" s="9" t="n">
        <v>0.1429</v>
      </c>
      <c r="O7" s="10" t="n"/>
      <c r="P7" s="8" t="inlineStr">
        <is>
          <t>왕사남 노션</t>
        </is>
      </c>
      <c r="Q7" s="9" t="n">
        <v>0.0323</v>
      </c>
      <c r="R7" s="10" t="inlineStr">
        <is>
          <t>Trend</t>
        </is>
      </c>
      <c r="S7" s="8" t="inlineStr">
        <is>
          <t>디프레임 aeo 분석</t>
        </is>
      </c>
      <c r="T7" s="9" t="n">
        <v>0.0149</v>
      </c>
      <c r="U7" s="10" t="inlineStr">
        <is>
          <t>Media</t>
        </is>
      </c>
    </row>
    <row r="8" ht="15.75" customHeight="1" s="1">
      <c r="A8" s="8" t="inlineStr">
        <is>
          <t>온라인 오프라인 커뮤니케이션</t>
        </is>
      </c>
      <c r="B8" s="9" t="n">
        <v>0.1667</v>
      </c>
      <c r="C8" s="10" t="n"/>
      <c r="D8" s="8" t="inlineStr">
        <is>
          <t>휴머노이드 짤</t>
        </is>
      </c>
      <c r="E8" s="9" t="n">
        <v>0.1429</v>
      </c>
      <c r="F8" s="10" t="n"/>
      <c r="G8" s="8" t="inlineStr">
        <is>
          <t>쇼셜미디어데이터</t>
        </is>
      </c>
      <c r="H8" s="9" t="n">
        <v>0.0667</v>
      </c>
      <c r="I8" s="10" t="n"/>
      <c r="J8" s="11" t="inlineStr">
        <is>
          <t>DMC미디어 블로그</t>
        </is>
      </c>
      <c r="K8" s="9" t="n">
        <v>0.0455</v>
      </c>
      <c r="L8" s="10" t="inlineStr">
        <is>
          <t>About</t>
        </is>
      </c>
      <c r="M8" s="8" t="inlineStr">
        <is>
          <t>중저가패션</t>
        </is>
      </c>
      <c r="N8" s="9" t="n">
        <v>0.1429</v>
      </c>
      <c r="O8" s="10" t="inlineStr">
        <is>
          <t>Trend</t>
        </is>
      </c>
      <c r="P8" s="11" t="inlineStr">
        <is>
          <t>gs홈쇼핑 인터넷</t>
        </is>
      </c>
      <c r="Q8" s="9" t="n">
        <v>0.0323</v>
      </c>
      <c r="R8" s="10" t="inlineStr">
        <is>
          <t>Trend</t>
        </is>
      </c>
      <c r="S8" s="8" t="inlineStr">
        <is>
          <t>메타 세팅 관련 미디어</t>
        </is>
      </c>
      <c r="T8" s="9" t="n">
        <v>0.0149</v>
      </c>
      <c r="U8" s="10" t="inlineStr">
        <is>
          <t>About</t>
        </is>
      </c>
    </row>
    <row r="9" ht="15.75" customHeight="1" s="1">
      <c r="A9" s="11" t="n"/>
      <c r="B9" s="13" t="n"/>
      <c r="C9" s="10" t="n"/>
      <c r="D9" s="11" t="n"/>
      <c r="E9" s="13" t="n"/>
      <c r="F9" s="10" t="n"/>
      <c r="G9" s="11" t="n"/>
      <c r="H9" s="13" t="n"/>
      <c r="I9" s="10" t="n"/>
      <c r="J9" s="8" t="inlineStr">
        <is>
          <t>앰플리튜드 개념</t>
        </is>
      </c>
      <c r="K9" s="9" t="n">
        <v>0.0455</v>
      </c>
      <c r="L9" s="10" t="inlineStr">
        <is>
          <t>Data</t>
        </is>
      </c>
      <c r="M9" s="11" t="n"/>
      <c r="N9" s="13" t="n"/>
      <c r="O9" s="10" t="n"/>
      <c r="P9" s="8" t="inlineStr">
        <is>
          <t>공과금 내는 모임</t>
        </is>
      </c>
      <c r="Q9" s="9" t="n">
        <v>0.0323</v>
      </c>
      <c r="R9" s="10" t="inlineStr">
        <is>
          <t>Trend</t>
        </is>
      </c>
      <c r="S9" s="8" t="inlineStr">
        <is>
          <t>에스파 핀터레스트</t>
        </is>
      </c>
      <c r="T9" s="9" t="n">
        <v>0.0149</v>
      </c>
      <c r="U9" s="10" t="inlineStr">
        <is>
          <t>Trend</t>
        </is>
      </c>
    </row>
    <row r="10" ht="15.75" customHeight="1" s="1">
      <c r="A10" s="11" t="n"/>
      <c r="B10" s="13" t="n"/>
      <c r="C10" s="10" t="n"/>
      <c r="D10" s="11" t="n"/>
      <c r="E10" s="13" t="n"/>
      <c r="F10" s="10" t="n"/>
      <c r="G10" s="11" t="n"/>
      <c r="H10" s="13" t="n"/>
      <c r="I10" s="10" t="n"/>
      <c r="J10" s="8" t="inlineStr">
        <is>
          <t>앰플리튜드 프로퍼티</t>
        </is>
      </c>
      <c r="K10" s="9" t="n">
        <v>0.0455</v>
      </c>
      <c r="L10" s="10" t="inlineStr">
        <is>
          <t>Data</t>
        </is>
      </c>
      <c r="M10" s="11" t="n"/>
      <c r="N10" s="13" t="n"/>
      <c r="O10" s="10" t="n"/>
      <c r="P10" s="8" t="inlineStr">
        <is>
          <t>동료입사 10주년 선물</t>
        </is>
      </c>
      <c r="Q10" s="9" t="n">
        <v>0.0323</v>
      </c>
      <c r="R10" s="10" t="inlineStr">
        <is>
          <t>People</t>
        </is>
      </c>
      <c r="S10" s="8" t="inlineStr">
        <is>
          <t>온드미디어</t>
        </is>
      </c>
      <c r="T10" s="9" t="n">
        <v>0.0149</v>
      </c>
      <c r="U10" s="10" t="inlineStr">
        <is>
          <t>Media</t>
        </is>
      </c>
    </row>
    <row r="11" ht="15.75" customHeight="1" s="1">
      <c r="A11" s="11" t="n"/>
      <c r="B11" s="13" t="n"/>
      <c r="C11" s="10" t="n"/>
      <c r="D11" s="11" t="n"/>
      <c r="E11" s="13" t="n"/>
      <c r="F11" s="10" t="n"/>
      <c r="G11" s="11" t="n"/>
      <c r="H11" s="13" t="n"/>
      <c r="I11" s="10" t="n"/>
      <c r="J11" s="8" t="inlineStr">
        <is>
          <t>엠플리튜드 UID 확인</t>
        </is>
      </c>
      <c r="K11" s="9" t="n">
        <v>0.0455</v>
      </c>
      <c r="L11" s="10" t="inlineStr">
        <is>
          <t>Data</t>
        </is>
      </c>
      <c r="M11" s="11" t="n"/>
      <c r="N11" s="13" t="n"/>
      <c r="O11" s="10" t="n"/>
      <c r="P11" s="8" t="inlineStr">
        <is>
          <t>세븐일레븐 소용량 화장품</t>
        </is>
      </c>
      <c r="Q11" s="9" t="n">
        <v>0.0323</v>
      </c>
      <c r="R11" s="10" t="inlineStr">
        <is>
          <t>Trend</t>
        </is>
      </c>
      <c r="S11" s="8" t="inlineStr">
        <is>
          <t>쿠팡 티빙 광고</t>
        </is>
      </c>
      <c r="T11" s="9" t="n">
        <v>0.0149</v>
      </c>
      <c r="U11" s="10" t="inlineStr">
        <is>
          <t>About</t>
        </is>
      </c>
    </row>
    <row r="12" ht="15.75" customHeight="1" s="1">
      <c r="A12" s="11" t="n"/>
      <c r="B12" s="13" t="n"/>
      <c r="C12" s="10" t="n"/>
      <c r="D12" s="11" t="n"/>
      <c r="E12" s="13" t="n"/>
      <c r="F12" s="10" t="n"/>
      <c r="G12" s="11" t="n"/>
      <c r="H12" s="13" t="n"/>
      <c r="I12" s="10" t="n"/>
      <c r="J12" s="8" t="inlineStr">
        <is>
          <t>스트림플레이션 뜻</t>
        </is>
      </c>
      <c r="K12" s="9" t="n">
        <v>0.0455</v>
      </c>
      <c r="L12" s="10" t="inlineStr">
        <is>
          <t>Trend</t>
        </is>
      </c>
      <c r="M12" s="11" t="n"/>
      <c r="N12" s="13" t="n"/>
      <c r="O12" s="10" t="n"/>
      <c r="P12" s="11" t="n"/>
      <c r="Q12" s="13" t="n"/>
      <c r="R12" s="10" t="n"/>
      <c r="S12" s="11" t="inlineStr">
        <is>
          <t>DMC 미디어 디지털 광고 효과 2026</t>
        </is>
      </c>
      <c r="T12" s="9" t="n">
        <v>0.0149</v>
      </c>
      <c r="U12" s="10" t="inlineStr">
        <is>
          <t>About</t>
        </is>
      </c>
    </row>
    <row r="13" ht="15.75" customHeight="1" s="1">
      <c r="A13" s="11" t="n"/>
      <c r="B13" s="13" t="n"/>
      <c r="C13" s="10" t="n"/>
      <c r="D13" s="11" t="n"/>
      <c r="E13" s="13" t="n"/>
      <c r="F13" s="10" t="n"/>
      <c r="G13" s="11" t="n"/>
      <c r="H13" s="13" t="n"/>
      <c r="I13" s="10" t="n"/>
      <c r="J13" s="8" t="inlineStr">
        <is>
          <t>촬영실록</t>
        </is>
      </c>
      <c r="K13" s="9" t="n">
        <v>0.0455</v>
      </c>
      <c r="L13" s="10" t="inlineStr">
        <is>
          <t>Trend</t>
        </is>
      </c>
      <c r="M13" s="11" t="n"/>
      <c r="N13" s="13" t="n"/>
      <c r="O13" s="10" t="n"/>
      <c r="P13" s="11" t="n"/>
      <c r="Q13" s="13" t="n"/>
      <c r="R13" s="10" t="n"/>
      <c r="S13" s="8" t="inlineStr">
        <is>
          <t>어드민 나이트</t>
        </is>
      </c>
      <c r="T13" s="9" t="n">
        <v>0.0149</v>
      </c>
      <c r="U13" s="10" t="inlineStr">
        <is>
          <t>Trend</t>
        </is>
      </c>
    </row>
    <row r="14" ht="15.75" customHeight="1" s="1">
      <c r="A14" s="11" t="n"/>
      <c r="B14" s="13" t="n"/>
      <c r="C14" s="10" t="n"/>
      <c r="D14" s="11" t="n"/>
      <c r="E14" s="13" t="n"/>
      <c r="F14" s="10" t="n"/>
      <c r="G14" s="11" t="n"/>
      <c r="H14" s="13" t="n"/>
      <c r="I14" s="10" t="n"/>
      <c r="J14" s="8" t="inlineStr">
        <is>
          <t>디엠씨미디어</t>
        </is>
      </c>
      <c r="K14" s="9" t="n">
        <v>0.0455</v>
      </c>
      <c r="L14" s="10" t="inlineStr">
        <is>
          <t>About</t>
        </is>
      </c>
      <c r="M14" s="11" t="n"/>
      <c r="N14" s="13" t="n"/>
      <c r="O14" s="10" t="n"/>
      <c r="P14" s="11" t="n"/>
      <c r="Q14" s="13" t="n"/>
      <c r="R14" s="10" t="n"/>
      <c r="S14" s="8" t="inlineStr">
        <is>
          <t>티빙 광고 대행사</t>
        </is>
      </c>
      <c r="T14" s="9" t="n">
        <v>0.0149</v>
      </c>
      <c r="U14" s="10" t="inlineStr">
        <is>
          <t>About</t>
        </is>
      </c>
    </row>
    <row r="15" ht="15.75" customHeight="1" s="1">
      <c r="A15" s="11" t="n"/>
      <c r="B15" s="13" t="n"/>
      <c r="C15" s="10" t="n"/>
      <c r="D15" s="11" t="n"/>
      <c r="E15" s="13" t="n"/>
      <c r="F15" s="10" t="n"/>
      <c r="G15" s="11" t="n"/>
      <c r="H15" s="13" t="n"/>
      <c r="I15" s="10" t="n"/>
      <c r="J15" s="11" t="n"/>
      <c r="K15" s="13" t="n"/>
      <c r="L15" s="10" t="n"/>
      <c r="M15" s="11" t="n"/>
      <c r="N15" s="13" t="n"/>
      <c r="O15" s="10" t="n"/>
      <c r="P15" s="11" t="n"/>
      <c r="Q15" s="13" t="n"/>
      <c r="R15" s="10" t="n"/>
      <c r="S15" s="8" t="inlineStr">
        <is>
          <t>디엠씨미디어</t>
        </is>
      </c>
      <c r="T15" s="9" t="n">
        <v>0.0299</v>
      </c>
      <c r="U15" s="10" t="inlineStr">
        <is>
          <t>About</t>
        </is>
      </c>
    </row>
    <row r="16" ht="15.75" customHeight="1" s="1">
      <c r="A16" s="11" t="n"/>
      <c r="B16" s="13" t="n"/>
      <c r="C16" s="10" t="n"/>
      <c r="D16" s="11" t="n"/>
      <c r="E16" s="13" t="n"/>
      <c r="F16" s="10" t="n"/>
      <c r="G16" s="11" t="n"/>
      <c r="H16" s="13" t="n"/>
      <c r="I16" s="10" t="n"/>
      <c r="J16" s="11" t="n"/>
      <c r="K16" s="13" t="n"/>
      <c r="L16" s="10" t="n"/>
      <c r="M16" s="11" t="n"/>
      <c r="N16" s="13" t="n"/>
      <c r="O16" s="10" t="n"/>
      <c r="P16" s="11" t="n"/>
      <c r="Q16" s="13" t="n"/>
      <c r="R16" s="10" t="n"/>
      <c r="S16" s="11" t="n"/>
      <c r="T16" s="13" t="n"/>
      <c r="U16" s="10" t="n"/>
    </row>
    <row r="17" ht="15.75" customHeight="1" s="1">
      <c r="A17" s="11" t="n"/>
      <c r="B17" s="13" t="n"/>
      <c r="C17" s="10" t="n"/>
      <c r="D17" s="11" t="n"/>
      <c r="E17" s="13" t="n"/>
      <c r="F17" s="10" t="n"/>
      <c r="G17" s="11" t="n"/>
      <c r="H17" s="13" t="n"/>
      <c r="I17" s="10" t="n"/>
      <c r="J17" s="11" t="n"/>
      <c r="K17" s="13" t="n"/>
      <c r="L17" s="10" t="n"/>
      <c r="M17" s="11" t="n"/>
      <c r="N17" s="13" t="n"/>
      <c r="O17" s="10" t="n"/>
      <c r="P17" s="11" t="n"/>
      <c r="Q17" s="13" t="n"/>
      <c r="R17" s="10" t="n"/>
      <c r="S17" s="11" t="n"/>
      <c r="T17" s="13" t="n"/>
      <c r="U17" s="10" t="n"/>
    </row>
    <row r="18" ht="15.75" customHeight="1" s="1">
      <c r="A18" s="11" t="n"/>
      <c r="B18" s="13" t="n"/>
      <c r="C18" s="10" t="n"/>
      <c r="D18" s="11" t="n"/>
      <c r="E18" s="13" t="n"/>
      <c r="F18" s="10" t="n"/>
      <c r="G18" s="11" t="n"/>
      <c r="H18" s="13" t="n"/>
      <c r="I18" s="10" t="n"/>
      <c r="J18" s="11" t="n"/>
      <c r="K18" s="13" t="n"/>
      <c r="L18" s="10" t="n"/>
      <c r="M18" s="11" t="n"/>
      <c r="N18" s="13" t="n"/>
      <c r="O18" s="10" t="n"/>
      <c r="P18" s="11" t="n"/>
      <c r="Q18" s="13" t="n"/>
      <c r="R18" s="10" t="n"/>
      <c r="S18" s="11" t="n"/>
      <c r="T18" s="13" t="n"/>
      <c r="U18" s="10" t="n"/>
    </row>
    <row r="19" ht="15.75" customHeight="1" s="1">
      <c r="A19" s="11" t="n"/>
      <c r="B19" s="13" t="n"/>
      <c r="C19" s="10" t="n"/>
      <c r="D19" s="11" t="n"/>
      <c r="E19" s="13" t="n"/>
      <c r="F19" s="10" t="n"/>
      <c r="G19" s="11" t="n"/>
      <c r="H19" s="13" t="n"/>
      <c r="I19" s="10" t="n"/>
      <c r="J19" s="11" t="n"/>
      <c r="K19" s="13" t="n"/>
      <c r="L19" s="10" t="n"/>
      <c r="M19" s="11" t="n"/>
      <c r="N19" s="13" t="n"/>
      <c r="O19" s="10" t="n"/>
      <c r="P19" s="11" t="n"/>
      <c r="Q19" s="13" t="n"/>
      <c r="R19" s="10" t="n"/>
      <c r="S19" s="11" t="n"/>
      <c r="T19" s="13" t="n"/>
      <c r="U19" s="10" t="n"/>
    </row>
    <row r="20" ht="15.75" customHeight="1" s="1">
      <c r="A20" s="11" t="n"/>
      <c r="B20" s="13" t="n"/>
      <c r="C20" s="10" t="n"/>
      <c r="D20" s="11" t="n"/>
      <c r="E20" s="13" t="n"/>
      <c r="F20" s="10" t="n"/>
      <c r="G20" s="11" t="n"/>
      <c r="H20" s="13" t="n"/>
      <c r="I20" s="10" t="n"/>
      <c r="J20" s="11" t="n"/>
      <c r="K20" s="13" t="n"/>
      <c r="L20" s="10" t="n"/>
      <c r="M20" s="11" t="n"/>
      <c r="N20" s="13" t="n"/>
      <c r="O20" s="10" t="n"/>
      <c r="P20" s="11" t="n"/>
      <c r="Q20" s="13" t="n"/>
      <c r="R20" s="10" t="n"/>
      <c r="S20" s="11" t="n"/>
      <c r="T20" s="13" t="n"/>
      <c r="U20" s="10" t="n"/>
    </row>
    <row r="21" ht="15.75" customHeight="1" s="1">
      <c r="A21" s="14" t="n"/>
      <c r="B21" s="15" t="n"/>
      <c r="C21" s="16" t="n"/>
      <c r="D21" s="14" t="n"/>
      <c r="E21" s="15" t="n"/>
      <c r="F21" s="16" t="n"/>
      <c r="G21" s="14" t="n"/>
      <c r="H21" s="15" t="n"/>
      <c r="I21" s="16" t="n"/>
      <c r="J21" s="14" t="n"/>
      <c r="K21" s="15" t="n"/>
      <c r="L21" s="16" t="n"/>
      <c r="M21" s="14" t="n"/>
      <c r="N21" s="15" t="n"/>
      <c r="O21" s="16" t="n"/>
      <c r="P21" s="14" t="n"/>
      <c r="Q21" s="15" t="n"/>
      <c r="R21" s="16" t="n"/>
      <c r="S21" s="14" t="n"/>
      <c r="T21" s="15" t="n"/>
      <c r="U21" s="16" t="n"/>
    </row>
    <row r="22" ht="15.75" customHeight="1" s="1">
      <c r="A22" s="5">
        <f>IF(8&lt;=DAY(EOMONTH(DATE(2026,$B$1,1),0)),$B$1&amp;"월 8일","")</f>
        <v/>
      </c>
      <c r="B22" s="6" t="n"/>
      <c r="C22" s="7" t="n"/>
      <c r="D22" s="5">
        <f>IF(9&lt;=DAY(EOMONTH(DATE(2026,$B$1,1),0)),$B$1&amp;"월 9일","")</f>
        <v/>
      </c>
      <c r="E22" s="6" t="n"/>
      <c r="F22" s="7" t="n"/>
      <c r="G22" s="5">
        <f>IF(10&lt;=DAY(EOMONTH(DATE(2026,$B$1,1),0)),$B$1&amp;"월 10일","")</f>
        <v/>
      </c>
      <c r="H22" s="6" t="n"/>
      <c r="I22" s="7" t="n"/>
      <c r="J22" s="5">
        <f>IF(11&lt;=DAY(EOMONTH(DATE(2026,$B$1,1),0)),$B$1&amp;"월 11일","")</f>
        <v/>
      </c>
      <c r="K22" s="6" t="n"/>
      <c r="L22" s="7" t="n"/>
      <c r="M22" s="5">
        <f>IF(12&lt;=DAY(EOMONTH(DATE(2026,$B$1,1),0)),$B$1&amp;"월 12일","")</f>
        <v/>
      </c>
      <c r="N22" s="6" t="n"/>
      <c r="O22" s="7" t="n"/>
      <c r="P22" s="5">
        <f>IF(13&lt;=DAY(EOMONTH(DATE(2026,$B$1,1),0)),$B$1&amp;"월 13일","")</f>
        <v/>
      </c>
      <c r="Q22" s="6" t="n"/>
      <c r="R22" s="7" t="n"/>
      <c r="S22" s="5">
        <f>IF(14&lt;=DAY(EOMONTH(DATE(2026,$B$1,1),0)),$B$1&amp;"월 14일","")</f>
        <v/>
      </c>
      <c r="T22" s="6" t="n"/>
      <c r="U22" s="7" t="n"/>
    </row>
    <row r="23" ht="15.75" customHeight="1" s="1">
      <c r="A23" s="11" t="inlineStr">
        <is>
          <t>[한국OOH광고학회] 2026 춘계 정기학술대회</t>
        </is>
      </c>
      <c r="B23" s="9" t="n">
        <v>0.0217</v>
      </c>
      <c r="C23" s="10" t="inlineStr">
        <is>
          <t>About</t>
        </is>
      </c>
      <c r="D23" s="8" t="inlineStr">
        <is>
          <t>소비자 53.2% '내 피부 적합성' 최우선 / 25~29세 여성 65.7% 2025년 뷰티 소비 트렌드 조사</t>
        </is>
      </c>
      <c r="E23" s="9" t="n">
        <v>0.125</v>
      </c>
      <c r="F23" s="10" t="inlineStr">
        <is>
          <t>Trend</t>
        </is>
      </c>
      <c r="G23" s="11" t="inlineStr">
        <is>
          <t>m브랜딩 da</t>
        </is>
      </c>
      <c r="H23" s="9" t="n">
        <v>0.0667</v>
      </c>
      <c r="I23" s="10" t="n"/>
      <c r="J23" s="11" t="inlineStr">
        <is>
          <t>DMC 리포트 매체별 리포트</t>
        </is>
      </c>
      <c r="K23" s="9" t="n">
        <v>0.0233</v>
      </c>
      <c r="L23" s="10" t="inlineStr">
        <is>
          <t>About</t>
        </is>
      </c>
      <c r="M23" s="11" t="inlineStr">
        <is>
          <t>d saio</t>
        </is>
      </c>
      <c r="N23" s="9" t="n">
        <v>0.0313</v>
      </c>
      <c r="O23" s="10" t="inlineStr">
        <is>
          <t>About</t>
        </is>
      </c>
      <c r="P23" s="8" t="inlineStr">
        <is>
          <t>마케팅 웨비나</t>
        </is>
      </c>
      <c r="Q23" s="12" t="n">
        <v>0.05</v>
      </c>
      <c r="R23" s="10" t="inlineStr">
        <is>
          <t>About</t>
        </is>
      </c>
      <c r="S23" s="8" t="inlineStr">
        <is>
          <t>로켓위젯</t>
        </is>
      </c>
      <c r="T23" s="9" t="n">
        <v>0.0571</v>
      </c>
      <c r="U23" s="10" t="inlineStr">
        <is>
          <t>Trend</t>
        </is>
      </c>
    </row>
    <row r="24" ht="15.75" customHeight="1" s="1">
      <c r="A24" s="11" t="inlineStr">
        <is>
          <t>dmc AEO GEO</t>
        </is>
      </c>
      <c r="B24" s="9" t="n">
        <v>0.0217</v>
      </c>
      <c r="C24" s="10" t="inlineStr">
        <is>
          <t>About</t>
        </is>
      </c>
      <c r="D24" s="8" t="inlineStr">
        <is>
          <t>앰플리튜드 Conversion</t>
        </is>
      </c>
      <c r="E24" s="9" t="n">
        <v>0.125</v>
      </c>
      <c r="F24" s="10" t="inlineStr">
        <is>
          <t>Data</t>
        </is>
      </c>
      <c r="G24" s="8" t="inlineStr">
        <is>
          <t>넷플릭스 광고 대행</t>
        </is>
      </c>
      <c r="H24" s="9" t="n">
        <v>0.0667</v>
      </c>
      <c r="I24" s="10" t="inlineStr">
        <is>
          <t>About</t>
        </is>
      </c>
      <c r="J24" s="11" t="inlineStr">
        <is>
          <t>dmc미디어 웨비나</t>
        </is>
      </c>
      <c r="K24" s="9" t="n">
        <v>0.0233</v>
      </c>
      <c r="L24" s="10" t="inlineStr">
        <is>
          <t>About</t>
        </is>
      </c>
      <c r="M24" s="11" t="inlineStr">
        <is>
          <t>pDOOH</t>
        </is>
      </c>
      <c r="N24" s="9" t="n">
        <v>0.0313</v>
      </c>
      <c r="O24" s="10" t="inlineStr">
        <is>
          <t>Trend</t>
        </is>
      </c>
      <c r="P24" s="11" t="inlineStr">
        <is>
          <t>ADVoost 쇼핑 광고 비용 계산 방법</t>
        </is>
      </c>
      <c r="Q24" s="9" t="n">
        <v>0.025</v>
      </c>
      <c r="R24" s="10" t="n"/>
      <c r="S24" s="11" t="inlineStr">
        <is>
          <t>ga gtm 권한부여</t>
        </is>
      </c>
      <c r="T24" s="9" t="n">
        <v>0.0286</v>
      </c>
      <c r="U24" s="10" t="inlineStr">
        <is>
          <t>Data</t>
        </is>
      </c>
    </row>
    <row r="25" ht="15.75" customHeight="1" s="1">
      <c r="A25" s="8" t="inlineStr">
        <is>
          <t>디엠씨미디어</t>
        </is>
      </c>
      <c r="B25" s="9" t="n">
        <v>0.0217</v>
      </c>
      <c r="C25" s="10" t="inlineStr">
        <is>
          <t>About</t>
        </is>
      </c>
      <c r="D25" s="8" t="inlineStr">
        <is>
          <t>의류브랜드 쉬인</t>
        </is>
      </c>
      <c r="E25" s="9" t="n">
        <v>0.125</v>
      </c>
      <c r="F25" s="10" t="n"/>
      <c r="G25" s="8" t="inlineStr">
        <is>
          <t>아이돌 세계관</t>
        </is>
      </c>
      <c r="H25" s="9" t="n">
        <v>0.0667</v>
      </c>
      <c r="I25" s="10" t="inlineStr">
        <is>
          <t>Trend</t>
        </is>
      </c>
      <c r="J25" s="11" t="inlineStr">
        <is>
          <t>pdooh</t>
        </is>
      </c>
      <c r="K25" s="9" t="n">
        <v>0.0233</v>
      </c>
      <c r="L25" s="10" t="inlineStr">
        <is>
          <t>Trend</t>
        </is>
      </c>
      <c r="M25" s="8" t="inlineStr">
        <is>
          <t>네이버지도 스플래시</t>
        </is>
      </c>
      <c r="N25" s="9" t="n">
        <v>0.0313</v>
      </c>
      <c r="O25" s="10" t="inlineStr">
        <is>
          <t>About</t>
        </is>
      </c>
      <c r="P25" s="11" t="inlineStr">
        <is>
          <t>DMC미디어 ABBE</t>
        </is>
      </c>
      <c r="Q25" s="9" t="n">
        <v>0.025</v>
      </c>
      <c r="R25" s="10" t="inlineStr">
        <is>
          <t>About</t>
        </is>
      </c>
      <c r="S25" s="8" t="inlineStr">
        <is>
          <t>디엠씨미디어 렙사</t>
        </is>
      </c>
      <c r="T25" s="9" t="n">
        <v>0.0286</v>
      </c>
      <c r="U25" s="10" t="inlineStr">
        <is>
          <t>People</t>
        </is>
      </c>
    </row>
    <row r="26" ht="15.75" customHeight="1" s="1">
      <c r="A26" s="8" t="inlineStr">
        <is>
          <t>마케팅 셀퍼란</t>
        </is>
      </c>
      <c r="B26" s="9" t="n">
        <v>0.0217</v>
      </c>
      <c r="C26" s="10" t="inlineStr">
        <is>
          <t>People</t>
        </is>
      </c>
      <c r="D26" s="11" t="n"/>
      <c r="E26" s="13" t="n"/>
      <c r="F26" s="10" t="n"/>
      <c r="G26" s="8" t="inlineStr">
        <is>
          <t>쿠팡플레이 광고</t>
        </is>
      </c>
      <c r="H26" s="9" t="n">
        <v>0.0667</v>
      </c>
      <c r="I26" s="10" t="inlineStr">
        <is>
          <t>About</t>
        </is>
      </c>
      <c r="J26" s="8" t="inlineStr">
        <is>
          <t>네이버 쇼케이스 EAST</t>
        </is>
      </c>
      <c r="K26" s="9" t="n">
        <v>0.0233</v>
      </c>
      <c r="L26" s="10" t="n"/>
      <c r="M26" s="8" t="inlineStr">
        <is>
          <t>메타 스티커 CTA</t>
        </is>
      </c>
      <c r="N26" s="9" t="n">
        <v>0.0313</v>
      </c>
      <c r="O26" s="10" t="inlineStr">
        <is>
          <t>About</t>
        </is>
      </c>
      <c r="P26" s="11" t="inlineStr">
        <is>
          <t>DMC미디어 블로그</t>
        </is>
      </c>
      <c r="Q26" s="9" t="n">
        <v>0.025</v>
      </c>
      <c r="R26" s="10" t="inlineStr">
        <is>
          <t>About</t>
        </is>
      </c>
      <c r="S26" s="8" t="inlineStr">
        <is>
          <t>식음료 트렌드 리포트</t>
        </is>
      </c>
      <c r="T26" s="9" t="n">
        <v>0.0286</v>
      </c>
      <c r="U26" s="10" t="inlineStr">
        <is>
          <t>Trend</t>
        </is>
      </c>
    </row>
    <row r="27" ht="15.75" customHeight="1" s="1">
      <c r="A27" s="8" t="inlineStr">
        <is>
          <t>어드민나이트</t>
        </is>
      </c>
      <c r="B27" s="9" t="n">
        <v>0.0217</v>
      </c>
      <c r="C27" s="10" t="inlineStr">
        <is>
          <t>Trend</t>
        </is>
      </c>
      <c r="D27" s="11" t="n"/>
      <c r="E27" s="13" t="n"/>
      <c r="F27" s="10" t="n"/>
      <c r="G27" s="8" t="inlineStr">
        <is>
          <t>쿠팡 광고 리테일 미디어</t>
        </is>
      </c>
      <c r="H27" s="9" t="n">
        <v>0.0667</v>
      </c>
      <c r="I27" s="10" t="inlineStr">
        <is>
          <t>Media</t>
        </is>
      </c>
      <c r="J27" s="8" t="inlineStr">
        <is>
          <t>디엠씨미디어 이준희</t>
        </is>
      </c>
      <c r="K27" s="9" t="n">
        <v>0.0233</v>
      </c>
      <c r="L27" s="10" t="inlineStr">
        <is>
          <t>About</t>
        </is>
      </c>
      <c r="M27" s="8" t="inlineStr">
        <is>
          <t>우천시 창립기념행사</t>
        </is>
      </c>
      <c r="N27" s="9" t="n">
        <v>0.0313</v>
      </c>
      <c r="O27" s="10" t="inlineStr">
        <is>
          <t>People</t>
        </is>
      </c>
      <c r="P27" s="11" t="inlineStr">
        <is>
          <t>dmc미디어</t>
        </is>
      </c>
      <c r="Q27" s="9" t="n">
        <v>0.025</v>
      </c>
      <c r="R27" s="10" t="inlineStr">
        <is>
          <t>About</t>
        </is>
      </c>
      <c r="S27" s="8" t="inlineStr">
        <is>
          <t>왕과 사는 남자 노션</t>
        </is>
      </c>
      <c r="T27" s="9" t="n">
        <v>0.0286</v>
      </c>
      <c r="U27" s="10" t="inlineStr">
        <is>
          <t>Trend</t>
        </is>
      </c>
    </row>
    <row r="28" ht="15.75" customHeight="1" s="1">
      <c r="A28" s="8" t="inlineStr">
        <is>
          <t>여성중저가의류브랜드</t>
        </is>
      </c>
      <c r="B28" s="9" t="n">
        <v>0.0217</v>
      </c>
      <c r="C28" s="10" t="inlineStr">
        <is>
          <t>Trend</t>
        </is>
      </c>
      <c r="D28" s="11" t="n"/>
      <c r="E28" s="13" t="n"/>
      <c r="F28" s="10" t="n"/>
      <c r="G28" s="11" t="n"/>
      <c r="H28" s="13" t="n"/>
      <c r="I28" s="10" t="n"/>
      <c r="J28" s="8" t="inlineStr">
        <is>
          <t>왕과사는남자 촬영실록</t>
        </is>
      </c>
      <c r="K28" s="9" t="n">
        <v>0.0233</v>
      </c>
      <c r="L28" s="10" t="inlineStr">
        <is>
          <t>Trend</t>
        </is>
      </c>
      <c r="M28" s="8" t="inlineStr">
        <is>
          <t>카카오 플친 메세지 소재 형태별 특징</t>
        </is>
      </c>
      <c r="N28" s="9" t="n">
        <v>0.0313</v>
      </c>
      <c r="O28" s="10" t="inlineStr">
        <is>
          <t>Media</t>
        </is>
      </c>
      <c r="P28" s="8" t="inlineStr">
        <is>
          <t>네이버 보상형 광고 nosp</t>
        </is>
      </c>
      <c r="Q28" s="9" t="n">
        <v>0.025</v>
      </c>
      <c r="R28" s="10" t="n"/>
      <c r="S28" s="8" t="inlineStr">
        <is>
          <t>잡화 트렌드</t>
        </is>
      </c>
      <c r="T28" s="9" t="n">
        <v>0.0286</v>
      </c>
      <c r="U28" s="10" t="inlineStr">
        <is>
          <t>Trend</t>
        </is>
      </c>
    </row>
    <row r="29" ht="15.75" customHeight="1" s="1">
      <c r="A29" s="8" t="inlineStr">
        <is>
          <t>영화 왕과사는남자 마케팅</t>
        </is>
      </c>
      <c r="B29" s="9" t="n">
        <v>0.0217</v>
      </c>
      <c r="C29" s="10" t="inlineStr">
        <is>
          <t>Trend</t>
        </is>
      </c>
      <c r="D29" s="11" t="n"/>
      <c r="E29" s="13" t="n"/>
      <c r="F29" s="10" t="n"/>
      <c r="G29" s="11" t="n"/>
      <c r="H29" s="13" t="n"/>
      <c r="I29" s="10" t="n"/>
      <c r="J29" s="8" t="inlineStr">
        <is>
          <t>왕사남 노션 실록</t>
        </is>
      </c>
      <c r="K29" s="9" t="n">
        <v>0.0233</v>
      </c>
      <c r="L29" s="10" t="inlineStr">
        <is>
          <t>Trend</t>
        </is>
      </c>
      <c r="M29" s="8" t="inlineStr">
        <is>
          <t>톡딜 선물하기와 일반 선물하기의 차이점이 궁금해요</t>
        </is>
      </c>
      <c r="N29" s="9" t="n">
        <v>0.0313</v>
      </c>
      <c r="O29" s="10" t="inlineStr">
        <is>
          <t>Media</t>
        </is>
      </c>
      <c r="P29" s="8" t="inlineStr">
        <is>
          <t>로켓 위젯 앱</t>
        </is>
      </c>
      <c r="Q29" s="9" t="n">
        <v>0.025</v>
      </c>
      <c r="R29" s="10" t="inlineStr">
        <is>
          <t>Trend</t>
        </is>
      </c>
      <c r="S29" s="11" t="inlineStr">
        <is>
          <t>wendy’s 브랜드페르소나</t>
        </is>
      </c>
      <c r="T29" s="9" t="n">
        <v>0.0286</v>
      </c>
      <c r="U29" s="10" t="inlineStr">
        <is>
          <t>Trend</t>
        </is>
      </c>
    </row>
    <row r="30" ht="15.75" customHeight="1" s="1">
      <c r="A30" s="8" t="inlineStr">
        <is>
          <t>왕과사는남자 비하인드 notion</t>
        </is>
      </c>
      <c r="B30" s="9" t="n">
        <v>0.0217</v>
      </c>
      <c r="C30" s="10" t="inlineStr">
        <is>
          <t>Trend</t>
        </is>
      </c>
      <c r="D30" s="11" t="n"/>
      <c r="E30" s="13" t="n"/>
      <c r="F30" s="10" t="n"/>
      <c r="G30" s="11" t="n"/>
      <c r="H30" s="13" t="n"/>
      <c r="I30" s="10" t="n"/>
      <c r="J30" s="8" t="inlineStr">
        <is>
          <t>촬영 실록 노션 페이지 링크</t>
        </is>
      </c>
      <c r="K30" s="9" t="n">
        <v>0.0233</v>
      </c>
      <c r="L30" s="10" t="inlineStr">
        <is>
          <t>Trend</t>
        </is>
      </c>
      <c r="M30" s="8" t="inlineStr">
        <is>
          <t>쿠팡플레이 광고</t>
        </is>
      </c>
      <c r="N30" s="9" t="n">
        <v>0.0625</v>
      </c>
      <c r="O30" s="10" t="inlineStr">
        <is>
          <t>About</t>
        </is>
      </c>
      <c r="P30" s="8" t="inlineStr">
        <is>
          <t>무신사 스플래시 배너</t>
        </is>
      </c>
      <c r="Q30" s="9" t="n">
        <v>0.025</v>
      </c>
      <c r="R30" s="10" t="inlineStr">
        <is>
          <t>Media</t>
        </is>
      </c>
      <c r="S30" s="8" t="inlineStr">
        <is>
          <t>디엠씨미디어 인사총무</t>
        </is>
      </c>
      <c r="T30" s="9" t="n">
        <v>0.0286</v>
      </c>
      <c r="U30" s="10" t="inlineStr">
        <is>
          <t>About</t>
        </is>
      </c>
    </row>
    <row r="31" ht="15.75" customHeight="1" s="1">
      <c r="A31" s="8" t="inlineStr">
        <is>
          <t>캐릭터콜라보 제품 나이별 구매비중</t>
        </is>
      </c>
      <c r="B31" s="9" t="n">
        <v>0.0217</v>
      </c>
      <c r="C31" s="10" t="inlineStr">
        <is>
          <t>Trend</t>
        </is>
      </c>
      <c r="D31" s="11" t="n"/>
      <c r="E31" s="13" t="n"/>
      <c r="F31" s="10" t="n"/>
      <c r="G31" s="11" t="n"/>
      <c r="H31" s="13" t="n"/>
      <c r="I31" s="10" t="n"/>
      <c r="J31" s="8" t="inlineStr">
        <is>
          <t>쿠팡플레이 광고</t>
        </is>
      </c>
      <c r="K31" s="9" t="n">
        <v>0.0465</v>
      </c>
      <c r="L31" s="10" t="inlineStr">
        <is>
          <t>About</t>
        </is>
      </c>
      <c r="M31" s="8" t="inlineStr">
        <is>
          <t>데이터 기반 퍼포먼스 마케팅 원리</t>
        </is>
      </c>
      <c r="N31" s="9" t="n">
        <v>0.0313</v>
      </c>
      <c r="O31" s="10" t="inlineStr">
        <is>
          <t>About</t>
        </is>
      </c>
      <c r="P31" s="8" t="inlineStr">
        <is>
          <t>식음료업종 트렌드</t>
        </is>
      </c>
      <c r="Q31" s="9" t="n">
        <v>0.025</v>
      </c>
      <c r="R31" s="10" t="inlineStr">
        <is>
          <t>Trend</t>
        </is>
      </c>
      <c r="S31" s="11" t="n"/>
      <c r="T31" s="13" t="n"/>
      <c r="U31" s="10" t="n"/>
    </row>
    <row r="32" ht="15.75" customHeight="1" s="1">
      <c r="A32" s="8" t="inlineStr">
        <is>
          <t>쿠팡플레이 티빙 광고대행</t>
        </is>
      </c>
      <c r="B32" s="9" t="n">
        <v>0.0217</v>
      </c>
      <c r="C32" s="10" t="inlineStr">
        <is>
          <t>About</t>
        </is>
      </c>
      <c r="D32" s="11" t="n"/>
      <c r="E32" s="13" t="n"/>
      <c r="F32" s="10" t="n"/>
      <c r="G32" s="11" t="n"/>
      <c r="H32" s="13" t="n"/>
      <c r="I32" s="10" t="n"/>
      <c r="J32" s="8" t="inlineStr">
        <is>
          <t>온드미디어</t>
        </is>
      </c>
      <c r="K32" s="9" t="n">
        <v>0.0233</v>
      </c>
      <c r="L32" s="10" t="inlineStr">
        <is>
          <t>People</t>
        </is>
      </c>
      <c r="M32" s="8" t="inlineStr">
        <is>
          <t>디엠씨미디어</t>
        </is>
      </c>
      <c r="N32" s="9" t="n">
        <v>0.0313</v>
      </c>
      <c r="O32" s="10" t="inlineStr">
        <is>
          <t>About</t>
        </is>
      </c>
      <c r="P32" s="8" t="inlineStr">
        <is>
          <t>어드민나이트</t>
        </is>
      </c>
      <c r="Q32" s="9" t="n">
        <v>0.025</v>
      </c>
      <c r="R32" s="10" t="inlineStr">
        <is>
          <t>Trend</t>
        </is>
      </c>
      <c r="S32" s="11" t="n"/>
      <c r="T32" s="13" t="n"/>
      <c r="U32" s="10" t="n"/>
    </row>
    <row r="33" ht="15.75" customHeight="1" s="1">
      <c r="A33" s="8" t="inlineStr">
        <is>
          <t>크리테오 프로스펙팅</t>
        </is>
      </c>
      <c r="B33" s="9" t="n">
        <v>0.0217</v>
      </c>
      <c r="C33" s="10" t="inlineStr">
        <is>
          <t>Media</t>
        </is>
      </c>
      <c r="D33" s="11" t="n"/>
      <c r="E33" s="13" t="n"/>
      <c r="F33" s="10" t="n"/>
      <c r="G33" s="11" t="n"/>
      <c r="H33" s="13" t="n"/>
      <c r="I33" s="10" t="n"/>
      <c r="J33" s="8" t="inlineStr">
        <is>
          <t>감다살 브랜드</t>
        </is>
      </c>
      <c r="K33" s="9" t="n">
        <v>0.0233</v>
      </c>
      <c r="L33" s="10" t="inlineStr">
        <is>
          <t>Trend</t>
        </is>
      </c>
      <c r="M33" s="8" t="inlineStr">
        <is>
          <t>리테일 미디어 사례</t>
        </is>
      </c>
      <c r="N33" s="9" t="n">
        <v>0.0313</v>
      </c>
      <c r="O33" s="10" t="inlineStr">
        <is>
          <t>Media</t>
        </is>
      </c>
      <c r="P33" s="8" t="inlineStr">
        <is>
          <t>에스파 핀터레스트 계정</t>
        </is>
      </c>
      <c r="Q33" s="9" t="n">
        <v>0.025</v>
      </c>
      <c r="R33" s="10" t="inlineStr">
        <is>
          <t>Trend</t>
        </is>
      </c>
      <c r="S33" s="11" t="n"/>
      <c r="T33" s="13" t="n"/>
      <c r="U33" s="10" t="n"/>
    </row>
    <row r="34" ht="15.75" customHeight="1" s="1">
      <c r="A34" s="8" t="inlineStr">
        <is>
          <t>어드민 나이트</t>
        </is>
      </c>
      <c r="B34" s="9" t="n">
        <v>0.0435</v>
      </c>
      <c r="C34" s="10" t="inlineStr">
        <is>
          <t>Trend</t>
        </is>
      </c>
      <c r="D34" s="11" t="n"/>
      <c r="E34" s="13" t="n"/>
      <c r="F34" s="10" t="n"/>
      <c r="G34" s="11" t="n"/>
      <c r="H34" s="13" t="n"/>
      <c r="I34" s="10" t="n"/>
      <c r="J34" s="11" t="n"/>
      <c r="K34" s="13" t="n"/>
      <c r="L34" s="10" t="n"/>
      <c r="M34" s="8" t="inlineStr">
        <is>
          <t>중저가 의류 브랜드</t>
        </is>
      </c>
      <c r="N34" s="9" t="n">
        <v>0.0313</v>
      </c>
      <c r="O34" s="10" t="inlineStr">
        <is>
          <t>Trend</t>
        </is>
      </c>
      <c r="P34" s="8" t="inlineStr">
        <is>
          <t>왕과 사는 남자 촬영실록</t>
        </is>
      </c>
      <c r="Q34" s="9" t="n">
        <v>0.025</v>
      </c>
      <c r="R34" s="10" t="inlineStr">
        <is>
          <t>Trend</t>
        </is>
      </c>
      <c r="S34" s="11" t="n"/>
      <c r="T34" s="13" t="n"/>
      <c r="U34" s="10" t="n"/>
    </row>
    <row r="35" ht="15.75" customHeight="1" s="1">
      <c r="A35" s="8" t="inlineStr">
        <is>
          <t>쿠팡플레이 광고</t>
        </is>
      </c>
      <c r="B35" s="9" t="n">
        <v>0.0435</v>
      </c>
      <c r="C35" s="10" t="inlineStr">
        <is>
          <t>About</t>
        </is>
      </c>
      <c r="D35" s="11" t="n"/>
      <c r="E35" s="13" t="n"/>
      <c r="F35" s="10" t="n"/>
      <c r="G35" s="11" t="n"/>
      <c r="H35" s="13" t="n"/>
      <c r="I35" s="10" t="n"/>
      <c r="J35" s="11" t="n"/>
      <c r="K35" s="13" t="n"/>
      <c r="L35" s="10" t="n"/>
      <c r="M35" s="11" t="n"/>
      <c r="N35" s="13" t="n"/>
      <c r="O35" s="10" t="n"/>
      <c r="P35" s="8" t="inlineStr">
        <is>
          <t>콜라보 굿즈 레포트</t>
        </is>
      </c>
      <c r="Q35" s="9" t="n">
        <v>0.025</v>
      </c>
      <c r="R35" s="10" t="inlineStr">
        <is>
          <t>Trend</t>
        </is>
      </c>
      <c r="S35" s="11" t="n"/>
      <c r="T35" s="13" t="n"/>
      <c r="U35" s="10" t="n"/>
    </row>
    <row r="36" ht="15.75" customHeight="1" s="1">
      <c r="A36" s="8" t="inlineStr">
        <is>
          <t>토스 게임 광고</t>
        </is>
      </c>
      <c r="B36" s="9" t="n">
        <v>0.0435</v>
      </c>
      <c r="C36" s="10" t="inlineStr">
        <is>
          <t>Media</t>
        </is>
      </c>
      <c r="D36" s="11" t="n"/>
      <c r="E36" s="13" t="n"/>
      <c r="F36" s="10" t="n"/>
      <c r="G36" s="11" t="n"/>
      <c r="H36" s="13" t="n"/>
      <c r="I36" s="10" t="n"/>
      <c r="J36" s="11" t="n"/>
      <c r="K36" s="13" t="n"/>
      <c r="L36" s="10" t="n"/>
      <c r="M36" s="11" t="n"/>
      <c r="N36" s="13" t="n"/>
      <c r="O36" s="10" t="n"/>
      <c r="P36" s="8" t="inlineStr">
        <is>
          <t>토스애즈 커스텀 타겟팅</t>
        </is>
      </c>
      <c r="Q36" s="9" t="n">
        <v>0.025</v>
      </c>
      <c r="R36" s="10" t="inlineStr">
        <is>
          <t>Media</t>
        </is>
      </c>
      <c r="S36" s="11" t="n"/>
      <c r="T36" s="13" t="n"/>
      <c r="U36" s="10" t="n"/>
    </row>
    <row r="37" ht="15.75" customHeight="1" s="1">
      <c r="A37" s="8" t="inlineStr">
        <is>
          <t>메타 트랜딩 애즈</t>
        </is>
      </c>
      <c r="B37" s="9" t="n">
        <v>0.0217</v>
      </c>
      <c r="C37" s="10" t="inlineStr">
        <is>
          <t>About</t>
        </is>
      </c>
      <c r="D37" s="11" t="n"/>
      <c r="E37" s="13" t="n"/>
      <c r="F37" s="10" t="n"/>
      <c r="G37" s="11" t="n"/>
      <c r="H37" s="13" t="n"/>
      <c r="I37" s="10" t="n"/>
      <c r="J37" s="11" t="n"/>
      <c r="K37" s="13" t="n"/>
      <c r="L37" s="10" t="n"/>
      <c r="M37" s="11" t="n"/>
      <c r="N37" s="13" t="n"/>
      <c r="O37" s="10" t="n"/>
      <c r="P37" s="11" t="inlineStr">
        <is>
          <t>SNT미디어가 제공하는 광고 상품 종류는 무엇인가요?</t>
        </is>
      </c>
      <c r="Q37" s="9" t="n">
        <v>0.025</v>
      </c>
      <c r="R37" s="10" t="inlineStr">
        <is>
          <t>Media</t>
        </is>
      </c>
      <c r="S37" s="11" t="n"/>
      <c r="T37" s="13" t="n"/>
      <c r="U37" s="10" t="n"/>
    </row>
    <row r="38" ht="15.75" customHeight="1" s="1">
      <c r="A38" s="8" t="inlineStr">
        <is>
          <t>카톡 프로필 업데이트 광고</t>
        </is>
      </c>
      <c r="B38" s="9" t="n">
        <v>0.0217</v>
      </c>
      <c r="C38" s="10" t="inlineStr">
        <is>
          <t>Media</t>
        </is>
      </c>
      <c r="D38" s="11" t="n"/>
      <c r="E38" s="13" t="n"/>
      <c r="F38" s="10" t="n"/>
      <c r="G38" s="11" t="n"/>
      <c r="H38" s="13" t="n"/>
      <c r="I38" s="10" t="n"/>
      <c r="J38" s="11" t="n"/>
      <c r="K38" s="13" t="n"/>
      <c r="L38" s="10" t="n"/>
      <c r="M38" s="11" t="n"/>
      <c r="N38" s="13" t="n"/>
      <c r="O38" s="10" t="n"/>
      <c r="P38" s="8" t="inlineStr">
        <is>
          <t>그로타치온유통기안6개월넘는데먹어되나요</t>
        </is>
      </c>
      <c r="Q38" s="9" t="n">
        <v>0.025</v>
      </c>
      <c r="R38" s="10" t="inlineStr">
        <is>
          <t>Trend</t>
        </is>
      </c>
      <c r="S38" s="11" t="n"/>
      <c r="T38" s="13" t="n"/>
      <c r="U38" s="10" t="n"/>
    </row>
    <row r="39" ht="15.75" customHeight="1" s="1">
      <c r="A39" s="8" t="inlineStr">
        <is>
          <t>쉬인 플랫폼</t>
        </is>
      </c>
      <c r="B39" s="9" t="n">
        <v>0.0217</v>
      </c>
      <c r="C39" s="10" t="n"/>
      <c r="D39" s="11" t="n"/>
      <c r="E39" s="13" t="n"/>
      <c r="F39" s="10" t="n"/>
      <c r="G39" s="11" t="n"/>
      <c r="H39" s="13" t="n"/>
      <c r="I39" s="10" t="n"/>
      <c r="J39" s="11" t="n"/>
      <c r="K39" s="13" t="n"/>
      <c r="L39" s="10" t="n"/>
      <c r="M39" s="11" t="n"/>
      <c r="N39" s="13" t="n"/>
      <c r="O39" s="10" t="n"/>
      <c r="P39" s="8" t="inlineStr">
        <is>
          <t>에스파 핀터레스트 계정</t>
        </is>
      </c>
      <c r="Q39" s="9" t="n">
        <v>0.025</v>
      </c>
      <c r="R39" s="10" t="inlineStr">
        <is>
          <t>Trend</t>
        </is>
      </c>
      <c r="S39" s="11" t="n"/>
      <c r="T39" s="13" t="n"/>
      <c r="U39" s="10" t="n"/>
    </row>
    <row r="40" ht="15.75" customHeight="1" s="1">
      <c r="A40" s="11" t="n"/>
      <c r="B40" s="13" t="n"/>
      <c r="C40" s="10" t="n"/>
      <c r="D40" s="11" t="n"/>
      <c r="E40" s="13" t="n"/>
      <c r="F40" s="10" t="n"/>
      <c r="G40" s="11" t="n"/>
      <c r="H40" s="13" t="n"/>
      <c r="I40" s="10" t="n"/>
      <c r="J40" s="11" t="n"/>
      <c r="K40" s="13" t="n"/>
      <c r="L40" s="10" t="n"/>
      <c r="M40" s="11" t="n"/>
      <c r="N40" s="13" t="n"/>
      <c r="O40" s="10" t="n"/>
      <c r="P40" s="8" t="inlineStr">
        <is>
          <t>중가 옷브랜드</t>
        </is>
      </c>
      <c r="Q40" s="9" t="n">
        <v>0.025</v>
      </c>
      <c r="R40" s="10" t="inlineStr">
        <is>
          <t>Trend</t>
        </is>
      </c>
      <c r="S40" s="11" t="n"/>
      <c r="T40" s="13" t="n"/>
      <c r="U40" s="10" t="n"/>
    </row>
    <row r="41" ht="15.75" customHeight="1" s="1">
      <c r="A41" s="11" t="n"/>
      <c r="B41" s="13" t="n"/>
      <c r="C41" s="10" t="n"/>
      <c r="D41" s="11" t="n"/>
      <c r="E41" s="13" t="n"/>
      <c r="F41" s="10" t="n"/>
      <c r="G41" s="11" t="n"/>
      <c r="H41" s="13" t="n"/>
      <c r="I41" s="10" t="n"/>
      <c r="J41" s="11" t="n"/>
      <c r="K41" s="13" t="n"/>
      <c r="L41" s="10" t="n"/>
      <c r="M41" s="11" t="n"/>
      <c r="N41" s="13" t="n"/>
      <c r="O41" s="10" t="n"/>
      <c r="P41" s="8" t="inlineStr">
        <is>
          <t>카카오톡 선물하기와 톡스토어의 차이점이 궁금해요</t>
        </is>
      </c>
      <c r="Q41" s="9" t="n">
        <v>0.025</v>
      </c>
      <c r="R41" s="10" t="inlineStr">
        <is>
          <t>Media</t>
        </is>
      </c>
      <c r="S41" s="11" t="n"/>
      <c r="T41" s="13" t="n"/>
      <c r="U41" s="10" t="n"/>
    </row>
    <row r="42" ht="15.75" customHeight="1" s="1">
      <c r="A42" s="11" t="n"/>
      <c r="B42" s="13" t="n"/>
      <c r="C42" s="10" t="n"/>
      <c r="D42" s="11" t="n"/>
      <c r="E42" s="13" t="n"/>
      <c r="F42" s="10" t="n"/>
      <c r="G42" s="11" t="n"/>
      <c r="H42" s="13" t="n"/>
      <c r="I42" s="10" t="n"/>
      <c r="J42" s="11" t="n"/>
      <c r="K42" s="13" t="n"/>
      <c r="L42" s="10" t="n"/>
      <c r="M42" s="11" t="n"/>
      <c r="N42" s="13" t="n"/>
      <c r="O42" s="10" t="n"/>
      <c r="P42" s="8" t="inlineStr">
        <is>
          <t>코비 유튜브 프리미엄 유저 타겟팅</t>
        </is>
      </c>
      <c r="Q42" s="9" t="n">
        <v>0.025</v>
      </c>
      <c r="R42" s="10" t="inlineStr">
        <is>
          <t>Media</t>
        </is>
      </c>
      <c r="S42" s="11" t="n"/>
      <c r="T42" s="13" t="n"/>
      <c r="U42" s="10" t="n"/>
    </row>
    <row r="43" ht="15.75" customHeight="1" s="1">
      <c r="A43" s="11" t="n"/>
      <c r="B43" s="13" t="n"/>
      <c r="C43" s="10" t="n"/>
      <c r="D43" s="11" t="n"/>
      <c r="E43" s="13" t="n"/>
      <c r="F43" s="10" t="n"/>
      <c r="G43" s="11" t="n"/>
      <c r="H43" s="13" t="n"/>
      <c r="I43" s="10" t="n"/>
      <c r="J43" s="11" t="n"/>
      <c r="K43" s="13" t="n"/>
      <c r="L43" s="10" t="n"/>
      <c r="M43" s="11" t="n"/>
      <c r="N43" s="13" t="n"/>
      <c r="O43" s="10" t="n"/>
      <c r="P43" s="8" t="inlineStr">
        <is>
          <t>디엠씨미디어</t>
        </is>
      </c>
      <c r="Q43" s="9" t="n">
        <v>0.025</v>
      </c>
      <c r="R43" s="10" t="inlineStr">
        <is>
          <t>About</t>
        </is>
      </c>
      <c r="S43" s="11" t="n"/>
      <c r="T43" s="13" t="n"/>
      <c r="U43" s="10" t="n"/>
    </row>
    <row r="44" ht="15.75" customHeight="1" s="1">
      <c r="A44" s="11" t="n"/>
      <c r="B44" s="13" t="n"/>
      <c r="C44" s="10" t="n"/>
      <c r="D44" s="11" t="n"/>
      <c r="E44" s="13" t="n"/>
      <c r="F44" s="10" t="n"/>
      <c r="G44" s="11" t="n"/>
      <c r="H44" s="13" t="n"/>
      <c r="I44" s="10" t="n"/>
      <c r="J44" s="11" t="n"/>
      <c r="K44" s="13" t="n"/>
      <c r="L44" s="10" t="n"/>
      <c r="M44" s="11" t="n"/>
      <c r="N44" s="13" t="n"/>
      <c r="O44" s="10" t="n"/>
      <c r="P44" s="11" t="n"/>
      <c r="Q44" s="13" t="n"/>
      <c r="R44" s="10" t="n"/>
      <c r="S44" s="11" t="n"/>
      <c r="T44" s="13" t="n"/>
      <c r="U44" s="10" t="n"/>
    </row>
    <row r="45" ht="15.75" customHeight="1" s="1">
      <c r="A45" s="11" t="n"/>
      <c r="B45" s="13" t="n"/>
      <c r="C45" s="10" t="n"/>
      <c r="D45" s="11" t="n"/>
      <c r="E45" s="13" t="n"/>
      <c r="F45" s="10" t="n"/>
      <c r="G45" s="11" t="n"/>
      <c r="H45" s="13" t="n"/>
      <c r="I45" s="10" t="n"/>
      <c r="J45" s="11" t="n"/>
      <c r="K45" s="13" t="n"/>
      <c r="L45" s="10" t="n"/>
      <c r="M45" s="11" t="n"/>
      <c r="N45" s="13" t="n"/>
      <c r="O45" s="10" t="n"/>
      <c r="P45" s="11" t="n"/>
      <c r="Q45" s="13" t="n"/>
      <c r="R45" s="10" t="n"/>
      <c r="S45" s="11" t="n"/>
      <c r="T45" s="13" t="n"/>
      <c r="U45" s="10" t="n"/>
    </row>
    <row r="46" ht="15.75" customHeight="1" s="1">
      <c r="A46" s="14" t="n"/>
      <c r="B46" s="15" t="n"/>
      <c r="C46" s="16" t="n"/>
      <c r="D46" s="14" t="n"/>
      <c r="E46" s="15" t="n"/>
      <c r="F46" s="16" t="n"/>
      <c r="G46" s="14" t="n"/>
      <c r="H46" s="15" t="n"/>
      <c r="I46" s="16" t="n"/>
      <c r="J46" s="14" t="n"/>
      <c r="K46" s="15" t="n"/>
      <c r="L46" s="16" t="n"/>
      <c r="M46" s="14" t="n"/>
      <c r="N46" s="15" t="n"/>
      <c r="O46" s="16" t="n"/>
      <c r="P46" s="14" t="n"/>
      <c r="Q46" s="15" t="n"/>
      <c r="R46" s="16" t="n"/>
      <c r="S46" s="14" t="n"/>
      <c r="T46" s="15" t="n"/>
      <c r="U46" s="16" t="n"/>
    </row>
    <row r="47" ht="15.75" customHeight="1" s="1">
      <c r="A47" s="5">
        <f>IF(15&lt;=DAY(EOMONTH(DATE(2026,$B$1,1),0)),$B$1&amp;"월 15일","")</f>
        <v/>
      </c>
      <c r="B47" s="6" t="n"/>
      <c r="C47" s="7" t="n"/>
      <c r="D47" s="5">
        <f>IF(16&lt;=DAY(EOMONTH(DATE(2026,$B$1,1),0)),$B$1&amp;"월 16일","")</f>
        <v/>
      </c>
      <c r="E47" s="6" t="n"/>
      <c r="F47" s="7" t="n"/>
      <c r="G47" s="5">
        <f>IF(17&lt;=DAY(EOMONTH(DATE(2026,$B$1,1),0)),$B$1&amp;"월 17일","")</f>
        <v/>
      </c>
      <c r="H47" s="6" t="n"/>
      <c r="I47" s="7" t="n"/>
      <c r="J47" s="5">
        <f>IF(18&lt;=DAY(EOMONTH(DATE(2026,$B$1,1),0)),$B$1&amp;"월 18일","")</f>
        <v/>
      </c>
      <c r="K47" s="6" t="n"/>
      <c r="L47" s="7" t="n"/>
      <c r="M47" s="5">
        <f>IF(19&lt;=DAY(EOMONTH(DATE(2026,$B$1,1),0)),$B$1&amp;"월 19일","")</f>
        <v/>
      </c>
      <c r="N47" s="6" t="n"/>
      <c r="O47" s="7" t="n"/>
      <c r="P47" s="5">
        <f>IF(20&lt;=DAY(EOMONTH(DATE(2026,$B$1,1),0)),$B$1&amp;"월 20일","")</f>
        <v/>
      </c>
      <c r="Q47" s="6" t="n"/>
      <c r="R47" s="7" t="n"/>
      <c r="S47" s="5">
        <f>IF(21&lt;=DAY(EOMONTH(DATE(2026,$B$1,1),0)),$B$1&amp;"월 21일","")</f>
        <v/>
      </c>
      <c r="T47" s="6" t="n"/>
      <c r="U47" s="7" t="n"/>
    </row>
    <row r="48" ht="15.75" customHeight="1" s="1">
      <c r="A48" s="8" t="inlineStr">
        <is>
          <t>디엠씨미디어 복지</t>
        </is>
      </c>
      <c r="B48" s="9" t="n">
        <v>0.0256</v>
      </c>
      <c r="C48" s="10" t="inlineStr">
        <is>
          <t>People</t>
        </is>
      </c>
      <c r="D48" s="11" t="inlineStr">
        <is>
          <t>admin night</t>
        </is>
      </c>
      <c r="E48" s="12" t="n">
        <v>0.08</v>
      </c>
      <c r="F48" s="10" t="inlineStr">
        <is>
          <t>Trend</t>
        </is>
      </c>
      <c r="G48" s="11" t="inlineStr">
        <is>
          <t>Pinterest video downloader</t>
        </is>
      </c>
      <c r="H48" s="9" t="n">
        <v>0.1111</v>
      </c>
      <c r="I48" s="10" t="n"/>
      <c r="J48" s="11" t="inlineStr">
        <is>
          <t>amplitude organization 만들기</t>
        </is>
      </c>
      <c r="K48" s="9" t="n">
        <v>0.0417</v>
      </c>
      <c r="L48" s="10" t="inlineStr">
        <is>
          <t>Data</t>
        </is>
      </c>
      <c r="M48" s="8" t="inlineStr">
        <is>
          <t>티빙 광고 대행사</t>
        </is>
      </c>
      <c r="N48" s="9" t="n">
        <v>0.06900000000000001</v>
      </c>
      <c r="O48" s="10" t="inlineStr">
        <is>
          <t>About</t>
        </is>
      </c>
      <c r="P48" s="11" t="inlineStr">
        <is>
          <t>da 광고 성과 목표</t>
        </is>
      </c>
      <c r="Q48" s="12" t="n">
        <v>0.05</v>
      </c>
      <c r="R48" s="10" t="inlineStr">
        <is>
          <t>Media</t>
        </is>
      </c>
      <c r="S48" s="8" t="inlineStr">
        <is>
          <t>타불라</t>
        </is>
      </c>
      <c r="T48" s="9" t="n">
        <v>0.0219</v>
      </c>
      <c r="U48" s="10" t="inlineStr">
        <is>
          <t>Media</t>
        </is>
      </c>
    </row>
    <row r="49" ht="15.75" customHeight="1" s="1">
      <c r="A49" s="8" t="inlineStr">
        <is>
          <t>휴먼파티데이터</t>
        </is>
      </c>
      <c r="B49" s="9" t="n">
        <v>0.0256</v>
      </c>
      <c r="C49" s="10" t="inlineStr">
        <is>
          <t>Media</t>
        </is>
      </c>
      <c r="D49" s="8" t="inlineStr">
        <is>
          <t>메타버스와 관련된 웨어러블 기기 종류 알려주세요</t>
        </is>
      </c>
      <c r="E49" s="12" t="n">
        <v>0.04</v>
      </c>
      <c r="F49" s="10" t="inlineStr">
        <is>
          <t>Trend</t>
        </is>
      </c>
      <c r="G49" s="8" t="inlineStr">
        <is>
          <t>로켓위젯</t>
        </is>
      </c>
      <c r="H49" s="9" t="n">
        <v>0.1111</v>
      </c>
      <c r="I49" s="10" t="inlineStr">
        <is>
          <t>Trend</t>
        </is>
      </c>
      <c r="J49" s="11" t="inlineStr">
        <is>
          <t>dmc미디어 블로그</t>
        </is>
      </c>
      <c r="K49" s="9" t="n">
        <v>0.0417</v>
      </c>
      <c r="L49" s="10" t="inlineStr">
        <is>
          <t>About</t>
        </is>
      </c>
      <c r="M49" s="11" t="inlineStr">
        <is>
          <t>DMC미디어 이인성</t>
        </is>
      </c>
      <c r="N49" s="9" t="n">
        <v>0.0345</v>
      </c>
      <c r="O49" s="10" t="inlineStr">
        <is>
          <t>About</t>
        </is>
      </c>
      <c r="P49" s="8" t="inlineStr">
        <is>
          <t>어드민 나이트</t>
        </is>
      </c>
      <c r="Q49" s="12" t="n">
        <v>0.05</v>
      </c>
      <c r="R49" s="10" t="inlineStr">
        <is>
          <t>Trend</t>
        </is>
      </c>
      <c r="S49" s="8" t="inlineStr">
        <is>
          <t>디지털 마케팅 suprt</t>
        </is>
      </c>
      <c r="T49" s="9" t="n">
        <v>0.0146</v>
      </c>
      <c r="U49" s="10" t="inlineStr">
        <is>
          <t>Trend</t>
        </is>
      </c>
    </row>
    <row r="50" ht="15.75" customHeight="1" s="1">
      <c r="A50" s="8" t="inlineStr">
        <is>
          <t>디엠씨미디어</t>
        </is>
      </c>
      <c r="B50" s="9" t="n">
        <v>0.0256</v>
      </c>
      <c r="C50" s="10" t="inlineStr">
        <is>
          <t>About</t>
        </is>
      </c>
      <c r="D50" s="8" t="inlineStr">
        <is>
          <t>옷 협찬을 받을 수 있는 플랫폼에는 어떤 것이 있나요</t>
        </is>
      </c>
      <c r="E50" s="12" t="n">
        <v>0.04</v>
      </c>
      <c r="F50" s="10" t="inlineStr">
        <is>
          <t>Media</t>
        </is>
      </c>
      <c r="G50" s="8" t="inlineStr">
        <is>
          <t>왕과 사는 남자 촬영실록</t>
        </is>
      </c>
      <c r="H50" s="9" t="n">
        <v>0.1111</v>
      </c>
      <c r="I50" s="10" t="inlineStr">
        <is>
          <t>Trend</t>
        </is>
      </c>
      <c r="J50" s="11" t="inlineStr">
        <is>
          <t>dmc미디어 쿠팡플레이</t>
        </is>
      </c>
      <c r="K50" s="9" t="n">
        <v>0.0417</v>
      </c>
      <c r="L50" s="10" t="inlineStr">
        <is>
          <t>About</t>
        </is>
      </c>
      <c r="M50" s="11" t="inlineStr">
        <is>
          <t>ga 계정 관리</t>
        </is>
      </c>
      <c r="N50" s="9" t="n">
        <v>0.0345</v>
      </c>
      <c r="O50" s="10" t="inlineStr">
        <is>
          <t>Data</t>
        </is>
      </c>
      <c r="P50" s="8" t="inlineStr">
        <is>
          <t>온드미디어</t>
        </is>
      </c>
      <c r="Q50" s="12" t="n">
        <v>0.05</v>
      </c>
      <c r="R50" s="10" t="inlineStr">
        <is>
          <t>People</t>
        </is>
      </c>
      <c r="S50" s="11" t="inlineStr">
        <is>
          <t>ai 인간 짤</t>
        </is>
      </c>
      <c r="T50" s="9" t="n">
        <v>0.0073</v>
      </c>
      <c r="U50" s="10" t="inlineStr">
        <is>
          <t>People</t>
        </is>
      </c>
    </row>
    <row r="51" ht="15.75" customHeight="1" s="1">
      <c r="A51" s="8" t="inlineStr">
        <is>
          <t>디엠씨미디어 면접</t>
        </is>
      </c>
      <c r="B51" s="9" t="n">
        <v>0.0256</v>
      </c>
      <c r="C51" s="10" t="inlineStr">
        <is>
          <t>People</t>
        </is>
      </c>
      <c r="D51" s="8" t="inlineStr">
        <is>
          <t>미디어믹스</t>
        </is>
      </c>
      <c r="E51" s="12" t="n">
        <v>0.04</v>
      </c>
      <c r="F51" s="10" t="inlineStr">
        <is>
          <t>People</t>
        </is>
      </c>
      <c r="G51" s="8" t="inlineStr">
        <is>
          <t>리테일 미디어 네트워크 제 3의 물결</t>
        </is>
      </c>
      <c r="H51" s="9" t="n">
        <v>0.1111</v>
      </c>
      <c r="I51" s="10" t="inlineStr">
        <is>
          <t>Media</t>
        </is>
      </c>
      <c r="J51" s="8" t="inlineStr">
        <is>
          <t>디엠씨미디어</t>
        </is>
      </c>
      <c r="K51" s="9" t="n">
        <v>0.0417</v>
      </c>
      <c r="L51" s="10" t="inlineStr">
        <is>
          <t>About</t>
        </is>
      </c>
      <c r="M51" s="8" t="inlineStr">
        <is>
          <t>디프레임</t>
        </is>
      </c>
      <c r="N51" s="9" t="n">
        <v>0.0345</v>
      </c>
      <c r="O51" s="10" t="inlineStr">
        <is>
          <t>About</t>
        </is>
      </c>
      <c r="P51" s="8" t="inlineStr">
        <is>
          <t>카카오 메타</t>
        </is>
      </c>
      <c r="Q51" s="12" t="n">
        <v>0.05</v>
      </c>
      <c r="R51" s="10" t="inlineStr">
        <is>
          <t>About</t>
        </is>
      </c>
      <c r="S51" s="8" t="inlineStr">
        <is>
          <t>다이소 전용 서브 브랜드</t>
        </is>
      </c>
      <c r="T51" s="9" t="n">
        <v>0.0073</v>
      </c>
      <c r="U51" s="10" t="inlineStr">
        <is>
          <t>Trend</t>
        </is>
      </c>
    </row>
    <row r="52" ht="15.75" customHeight="1" s="1">
      <c r="A52" s="8" t="inlineStr">
        <is>
          <t>세종대왕 맥북프로 던짐사건</t>
        </is>
      </c>
      <c r="B52" s="9" t="n">
        <v>0.0256</v>
      </c>
      <c r="C52" s="10" t="n"/>
      <c r="D52" s="8" t="inlineStr">
        <is>
          <t>어드민 나이트</t>
        </is>
      </c>
      <c r="E52" s="12" t="n">
        <v>0.04</v>
      </c>
      <c r="F52" s="10" t="inlineStr">
        <is>
          <t>Trend</t>
        </is>
      </c>
      <c r="G52" s="11" t="n"/>
      <c r="H52" s="13" t="n"/>
      <c r="I52" s="10" t="n"/>
      <c r="J52" s="8" t="inlineStr">
        <is>
          <t>모비엠</t>
        </is>
      </c>
      <c r="K52" s="9" t="n">
        <v>0.0417</v>
      </c>
      <c r="L52" s="10" t="inlineStr">
        <is>
          <t>About</t>
        </is>
      </c>
      <c r="M52" s="8" t="inlineStr">
        <is>
          <t>어드민나이트</t>
        </is>
      </c>
      <c r="N52" s="9" t="n">
        <v>0.0345</v>
      </c>
      <c r="O52" s="10" t="inlineStr">
        <is>
          <t>Trend</t>
        </is>
      </c>
      <c r="P52" s="8" t="inlineStr">
        <is>
          <t>타불라 광고</t>
        </is>
      </c>
      <c r="Q52" s="12" t="n">
        <v>0.05</v>
      </c>
      <c r="R52" s="10" t="inlineStr">
        <is>
          <t>Media</t>
        </is>
      </c>
      <c r="S52" s="8" t="inlineStr">
        <is>
          <t>메타 릴스 트렌딩 광고</t>
        </is>
      </c>
      <c r="T52" s="9" t="n">
        <v>0.0073</v>
      </c>
      <c r="U52" s="10" t="inlineStr">
        <is>
          <t>About</t>
        </is>
      </c>
    </row>
    <row r="53" ht="15.75" customHeight="1" s="1">
      <c r="A53" s="8" t="inlineStr">
        <is>
          <t>온드미디어 geo 15%</t>
        </is>
      </c>
      <c r="B53" s="9" t="n">
        <v>0.0256</v>
      </c>
      <c r="C53" s="10" t="inlineStr">
        <is>
          <t>Media</t>
        </is>
      </c>
      <c r="D53" s="8" t="inlineStr">
        <is>
          <t>중저가 의류 브랜드</t>
        </is>
      </c>
      <c r="E53" s="12" t="n">
        <v>0.04</v>
      </c>
      <c r="F53" s="10" t="inlineStr">
        <is>
          <t>Trend</t>
        </is>
      </c>
      <c r="G53" s="11" t="n"/>
      <c r="H53" s="13" t="n"/>
      <c r="I53" s="10" t="n"/>
      <c r="J53" s="8" t="inlineStr">
        <is>
          <t>왕과 사는 남자 촬영실록</t>
        </is>
      </c>
      <c r="K53" s="9" t="n">
        <v>0.0417</v>
      </c>
      <c r="L53" s="10" t="inlineStr">
        <is>
          <t>Trend</t>
        </is>
      </c>
      <c r="M53" s="11" t="inlineStr">
        <is>
          <t>dmc미디어</t>
        </is>
      </c>
      <c r="N53" s="9" t="n">
        <v>0.0345</v>
      </c>
      <c r="O53" s="10" t="inlineStr">
        <is>
          <t>About</t>
        </is>
      </c>
      <c r="P53" s="8" t="inlineStr">
        <is>
          <t>핀터레스트 가수 홍보</t>
        </is>
      </c>
      <c r="Q53" s="12" t="n">
        <v>0.05</v>
      </c>
      <c r="R53" s="10" t="inlineStr">
        <is>
          <t>Trend</t>
        </is>
      </c>
      <c r="S53" s="8" t="inlineStr">
        <is>
          <t>촬영실록</t>
        </is>
      </c>
      <c r="T53" s="9" t="n">
        <v>0.0073</v>
      </c>
      <c r="U53" s="10" t="inlineStr">
        <is>
          <t>Trend</t>
        </is>
      </c>
    </row>
    <row r="54" ht="15.75" customHeight="1" s="1">
      <c r="A54" s="11" t="inlineStr">
        <is>
          <t>AEO마케팅 제안서</t>
        </is>
      </c>
      <c r="B54" s="9" t="n">
        <v>0.0256</v>
      </c>
      <c r="C54" s="10" t="inlineStr">
        <is>
          <t>About</t>
        </is>
      </c>
      <c r="D54" s="11" t="n"/>
      <c r="E54" s="13" t="n"/>
      <c r="F54" s="10" t="n"/>
      <c r="G54" s="11" t="n"/>
      <c r="H54" s="13" t="n"/>
      <c r="I54" s="10" t="n"/>
      <c r="J54" s="11" t="inlineStr">
        <is>
          <t>ddooh</t>
        </is>
      </c>
      <c r="K54" s="9" t="n">
        <v>0.0417</v>
      </c>
      <c r="L54" s="10" t="inlineStr">
        <is>
          <t>Trend</t>
        </is>
      </c>
      <c r="M54" s="8" t="inlineStr">
        <is>
          <t>키친플래그 후기</t>
        </is>
      </c>
      <c r="N54" s="9" t="n">
        <v>0.0345</v>
      </c>
      <c r="O54" s="10" t="n"/>
      <c r="P54" s="8" t="inlineStr">
        <is>
          <t>당근광고 동영상</t>
        </is>
      </c>
      <c r="Q54" s="12" t="n">
        <v>0.05</v>
      </c>
      <c r="R54" s="10" t="inlineStr">
        <is>
          <t>Media</t>
        </is>
      </c>
      <c r="S54" s="11" t="inlineStr">
        <is>
          <t>MZ세대 대상 한정판 마케팅 효과 통계 자료 알려주세요</t>
        </is>
      </c>
      <c r="T54" s="9" t="n">
        <v>0.0073</v>
      </c>
      <c r="U54" s="10" t="inlineStr">
        <is>
          <t>Trend</t>
        </is>
      </c>
    </row>
    <row r="55" ht="15.75" customHeight="1" s="1">
      <c r="A55" s="11" t="n"/>
      <c r="B55" s="13" t="n"/>
      <c r="C55" s="10" t="n"/>
      <c r="D55" s="11" t="n"/>
      <c r="E55" s="13" t="n"/>
      <c r="F55" s="10" t="n"/>
      <c r="G55" s="11" t="n"/>
      <c r="H55" s="13" t="n"/>
      <c r="I55" s="10" t="n"/>
      <c r="J55" s="8" t="inlineStr">
        <is>
          <t>디엠씨미디어</t>
        </is>
      </c>
      <c r="K55" s="9" t="n">
        <v>0.0417</v>
      </c>
      <c r="L55" s="10" t="inlineStr">
        <is>
          <t>About</t>
        </is>
      </c>
      <c r="M55" s="8" t="inlineStr">
        <is>
          <t>헌혈의집 마케팅</t>
        </is>
      </c>
      <c r="N55" s="9" t="n">
        <v>0.0345</v>
      </c>
      <c r="O55" s="10" t="inlineStr">
        <is>
          <t>Trend</t>
        </is>
      </c>
      <c r="P55" s="8" t="inlineStr">
        <is>
          <t>디엠씨미디어</t>
        </is>
      </c>
      <c r="Q55" s="12" t="n">
        <v>0.05</v>
      </c>
      <c r="R55" s="10" t="inlineStr">
        <is>
          <t>About</t>
        </is>
      </c>
      <c r="S55" s="8" t="inlineStr">
        <is>
          <t>다이소 서브브랜드</t>
        </is>
      </c>
      <c r="T55" s="9" t="n">
        <v>0.0073</v>
      </c>
      <c r="U55" s="10" t="inlineStr">
        <is>
          <t>Trend</t>
        </is>
      </c>
    </row>
    <row r="56" ht="15.75" customHeight="1" s="1">
      <c r="A56" s="11" t="n"/>
      <c r="B56" s="13" t="n"/>
      <c r="C56" s="10" t="n"/>
      <c r="D56" s="11" t="n"/>
      <c r="E56" s="13" t="n"/>
      <c r="F56" s="10" t="n"/>
      <c r="G56" s="11" t="n"/>
      <c r="H56" s="13" t="n"/>
      <c r="I56" s="10" t="n"/>
      <c r="J56" s="8" t="inlineStr">
        <is>
          <t>어드민나이트</t>
        </is>
      </c>
      <c r="K56" s="9" t="n">
        <v>0.0417</v>
      </c>
      <c r="L56" s="10" t="inlineStr">
        <is>
          <t>Trend</t>
        </is>
      </c>
      <c r="M56" s="8" t="inlineStr">
        <is>
          <t>중저가 의류 브랜드</t>
        </is>
      </c>
      <c r="N56" s="9" t="n">
        <v>0.0345</v>
      </c>
      <c r="O56" s="10" t="inlineStr">
        <is>
          <t>Trend</t>
        </is>
      </c>
      <c r="P56" s="8" t="inlineStr">
        <is>
          <t>의류 소비트렌드 데이터</t>
        </is>
      </c>
      <c r="Q56" s="12" t="n">
        <v>0.05</v>
      </c>
      <c r="R56" s="10" t="inlineStr">
        <is>
          <t>Trend</t>
        </is>
      </c>
      <c r="S56" s="8" t="inlineStr">
        <is>
          <t>디엠씨미디어</t>
        </is>
      </c>
      <c r="T56" s="9" t="n">
        <v>0.0073</v>
      </c>
      <c r="U56" s="10" t="inlineStr">
        <is>
          <t>About</t>
        </is>
      </c>
    </row>
    <row r="57" ht="15.75" customHeight="1" s="1">
      <c r="A57" s="11" t="n"/>
      <c r="B57" s="13" t="n"/>
      <c r="C57" s="10" t="n"/>
      <c r="D57" s="11" t="n"/>
      <c r="E57" s="13" t="n"/>
      <c r="F57" s="10" t="n"/>
      <c r="G57" s="11" t="n"/>
      <c r="H57" s="13" t="n"/>
      <c r="I57" s="10" t="n"/>
      <c r="J57" s="11" t="inlineStr">
        <is>
          <t>LightweightMMM</t>
        </is>
      </c>
      <c r="K57" s="9" t="n">
        <v>0.0417</v>
      </c>
      <c r="L57" s="10" t="inlineStr">
        <is>
          <t>Trend</t>
        </is>
      </c>
      <c r="M57" s="8" t="inlineStr">
        <is>
          <t>디엠씨미디어</t>
        </is>
      </c>
      <c r="N57" s="9" t="n">
        <v>0.0345</v>
      </c>
      <c r="O57" s="10" t="inlineStr">
        <is>
          <t>About</t>
        </is>
      </c>
      <c r="P57" s="8" t="inlineStr">
        <is>
          <t>가전 삼신기</t>
        </is>
      </c>
      <c r="Q57" s="12" t="n">
        <v>0.05</v>
      </c>
      <c r="R57" s="10" t="inlineStr">
        <is>
          <t>Trend</t>
        </is>
      </c>
      <c r="S57" s="8" t="inlineStr">
        <is>
          <t>레디코어 트렌드에서 MZ세대가 선호하는 합리적인 가격대 뷰티 제품 알려주세요</t>
        </is>
      </c>
      <c r="T57" s="9" t="n">
        <v>0.0073</v>
      </c>
      <c r="U57" s="10" t="inlineStr">
        <is>
          <t>Trend</t>
        </is>
      </c>
    </row>
    <row r="58" ht="15.75" customHeight="1" s="1">
      <c r="A58" s="11" t="n"/>
      <c r="B58" s="13" t="n"/>
      <c r="C58" s="10" t="n"/>
      <c r="D58" s="11" t="n"/>
      <c r="E58" s="13" t="n"/>
      <c r="F58" s="10" t="n"/>
      <c r="G58" s="11" t="n"/>
      <c r="H58" s="13" t="n"/>
      <c r="I58" s="10" t="n"/>
      <c r="J58" s="11" t="n"/>
      <c r="K58" s="13" t="n"/>
      <c r="L58" s="10" t="inlineStr">
        <is>
          <t>Data</t>
        </is>
      </c>
      <c r="M58" s="11" t="n"/>
      <c r="N58" s="13" t="n"/>
      <c r="O58" s="10" t="n"/>
      <c r="P58" s="11" t="n"/>
      <c r="Q58" s="13" t="n"/>
      <c r="R58" s="10" t="n"/>
      <c r="S58" s="8" t="inlineStr">
        <is>
          <t>타불라</t>
        </is>
      </c>
      <c r="T58" s="9" t="n">
        <v>0.0073</v>
      </c>
      <c r="U58" s="10" t="inlineStr">
        <is>
          <t>Media</t>
        </is>
      </c>
    </row>
    <row r="59" ht="15.75" customHeight="1" s="1">
      <c r="A59" s="11" t="n"/>
      <c r="B59" s="13" t="n"/>
      <c r="C59" s="10" t="n"/>
      <c r="D59" s="11" t="n"/>
      <c r="E59" s="13" t="n"/>
      <c r="F59" s="10" t="n"/>
      <c r="G59" s="11" t="n"/>
      <c r="H59" s="13" t="n"/>
      <c r="I59" s="10" t="n"/>
      <c r="J59" s="11" t="n"/>
      <c r="K59" s="13" t="n"/>
      <c r="L59" s="10" t="n"/>
      <c r="M59" s="11" t="n"/>
      <c r="N59" s="13" t="n"/>
      <c r="O59" s="10" t="n"/>
      <c r="P59" s="11" t="n"/>
      <c r="Q59" s="13" t="n"/>
      <c r="R59" s="10" t="n"/>
      <c r="S59" s="8" t="inlineStr">
        <is>
          <t>토스 지나친 광고</t>
        </is>
      </c>
      <c r="T59" s="9" t="n">
        <v>0.0073</v>
      </c>
      <c r="U59" s="10" t="inlineStr">
        <is>
          <t>Media</t>
        </is>
      </c>
    </row>
    <row r="60" ht="15.75" customHeight="1" s="1">
      <c r="A60" s="11" t="n"/>
      <c r="B60" s="13" t="n"/>
      <c r="C60" s="10" t="n"/>
      <c r="D60" s="11" t="n"/>
      <c r="E60" s="13" t="n"/>
      <c r="F60" s="10" t="n"/>
      <c r="G60" s="11" t="n"/>
      <c r="H60" s="13" t="n"/>
      <c r="I60" s="10" t="n"/>
      <c r="J60" s="11" t="n"/>
      <c r="K60" s="13" t="n"/>
      <c r="L60" s="10" t="n"/>
      <c r="M60" s="11" t="n"/>
      <c r="N60" s="13" t="n"/>
      <c r="O60" s="10" t="n"/>
      <c r="P60" s="11" t="n"/>
      <c r="Q60" s="13" t="n"/>
      <c r="R60" s="10" t="n"/>
      <c r="S60" s="11" t="inlineStr">
        <is>
          <t>(주)디엠씨미디어</t>
        </is>
      </c>
      <c r="T60" s="9" t="n">
        <v>0.0073</v>
      </c>
      <c r="U60" s="10" t="inlineStr">
        <is>
          <t>About</t>
        </is>
      </c>
    </row>
    <row r="61" ht="15.75" customHeight="1" s="1">
      <c r="A61" s="11" t="n"/>
      <c r="B61" s="13" t="n"/>
      <c r="C61" s="10" t="n"/>
      <c r="D61" s="11" t="n"/>
      <c r="E61" s="13" t="n"/>
      <c r="F61" s="10" t="n"/>
      <c r="G61" s="11" t="n"/>
      <c r="H61" s="13" t="n"/>
      <c r="I61" s="10" t="n"/>
      <c r="J61" s="11" t="n"/>
      <c r="K61" s="13" t="n"/>
      <c r="L61" s="10" t="n"/>
      <c r="M61" s="11" t="n"/>
      <c r="N61" s="13" t="n"/>
      <c r="O61" s="10" t="n"/>
      <c r="P61" s="11" t="n"/>
      <c r="Q61" s="13" t="n"/>
      <c r="R61" s="10" t="n"/>
      <c r="S61" s="8" t="inlineStr">
        <is>
          <t>디엠씨미디어</t>
        </is>
      </c>
      <c r="T61" s="9" t="n">
        <v>0.0073</v>
      </c>
      <c r="U61" s="10" t="inlineStr">
        <is>
          <t>About</t>
        </is>
      </c>
    </row>
    <row r="62" ht="15.75" customHeight="1" s="1">
      <c r="A62" s="11" t="n"/>
      <c r="B62" s="13" t="n"/>
      <c r="C62" s="10" t="n"/>
      <c r="D62" s="11" t="n"/>
      <c r="E62" s="13" t="n"/>
      <c r="F62" s="10" t="n"/>
      <c r="G62" s="11" t="n"/>
      <c r="H62" s="13" t="n"/>
      <c r="I62" s="10" t="n"/>
      <c r="J62" s="11" t="n"/>
      <c r="K62" s="13" t="n"/>
      <c r="L62" s="10" t="n"/>
      <c r="M62" s="11" t="n"/>
      <c r="N62" s="13" t="n"/>
      <c r="O62" s="10" t="n"/>
      <c r="P62" s="11" t="n"/>
      <c r="Q62" s="13" t="n"/>
      <c r="R62" s="10" t="n"/>
      <c r="S62" s="11" t="n"/>
      <c r="T62" s="13" t="n"/>
      <c r="U62" s="10" t="n"/>
    </row>
    <row r="63" ht="15.75" customHeight="1" s="1">
      <c r="A63" s="11" t="n"/>
      <c r="B63" s="13" t="n"/>
      <c r="C63" s="10" t="n"/>
      <c r="D63" s="11" t="n"/>
      <c r="E63" s="13" t="n"/>
      <c r="F63" s="10" t="n"/>
      <c r="G63" s="11" t="n"/>
      <c r="H63" s="13" t="n"/>
      <c r="I63" s="10" t="n"/>
      <c r="J63" s="11" t="n"/>
      <c r="K63" s="13" t="n"/>
      <c r="L63" s="10" t="n"/>
      <c r="M63" s="11" t="n"/>
      <c r="N63" s="13" t="n"/>
      <c r="O63" s="10" t="n"/>
      <c r="P63" s="11" t="n"/>
      <c r="Q63" s="13" t="n"/>
      <c r="R63" s="10" t="n"/>
      <c r="S63" s="11" t="n"/>
      <c r="T63" s="13" t="n"/>
      <c r="U63" s="10" t="n"/>
    </row>
    <row r="64" ht="15.75" customHeight="1" s="1">
      <c r="A64" s="11" t="n"/>
      <c r="B64" s="13" t="n"/>
      <c r="C64" s="10" t="n"/>
      <c r="D64" s="11" t="n"/>
      <c r="E64" s="13" t="n"/>
      <c r="F64" s="10" t="n"/>
      <c r="G64" s="11" t="n"/>
      <c r="H64" s="13" t="n"/>
      <c r="I64" s="10" t="n"/>
      <c r="J64" s="11" t="n"/>
      <c r="K64" s="13" t="n"/>
      <c r="L64" s="10" t="n"/>
      <c r="M64" s="11" t="n"/>
      <c r="N64" s="13" t="n"/>
      <c r="O64" s="10" t="n"/>
      <c r="P64" s="11" t="n"/>
      <c r="Q64" s="13" t="n"/>
      <c r="R64" s="10" t="n"/>
      <c r="S64" s="11" t="n"/>
      <c r="T64" s="13" t="n"/>
      <c r="U64" s="10" t="n"/>
    </row>
    <row r="65" ht="15.75" customHeight="1" s="1">
      <c r="A65" s="11" t="n"/>
      <c r="B65" s="13" t="n"/>
      <c r="C65" s="10" t="n"/>
      <c r="D65" s="11" t="n"/>
      <c r="E65" s="13" t="n"/>
      <c r="F65" s="10" t="n"/>
      <c r="G65" s="11" t="n"/>
      <c r="H65" s="13" t="n"/>
      <c r="I65" s="10" t="n"/>
      <c r="J65" s="11" t="n"/>
      <c r="K65" s="13" t="n"/>
      <c r="L65" s="10" t="n"/>
      <c r="M65" s="11" t="n"/>
      <c r="N65" s="13" t="n"/>
      <c r="O65" s="10" t="n"/>
      <c r="P65" s="11" t="n"/>
      <c r="Q65" s="13" t="n"/>
      <c r="R65" s="10" t="n"/>
      <c r="S65" s="11" t="n"/>
      <c r="T65" s="13" t="n"/>
      <c r="U65" s="10" t="n"/>
    </row>
    <row r="66" ht="15.75" customHeight="1" s="1">
      <c r="A66" s="11" t="n"/>
      <c r="B66" s="13" t="n"/>
      <c r="C66" s="10" t="n"/>
      <c r="D66" s="11" t="n"/>
      <c r="E66" s="13" t="n"/>
      <c r="F66" s="10" t="n"/>
      <c r="G66" s="11" t="n"/>
      <c r="H66" s="13" t="n"/>
      <c r="I66" s="10" t="n"/>
      <c r="J66" s="11" t="n"/>
      <c r="K66" s="13" t="n"/>
      <c r="L66" s="10" t="n"/>
      <c r="M66" s="11" t="n"/>
      <c r="N66" s="13" t="n"/>
      <c r="O66" s="10" t="n"/>
      <c r="P66" s="11" t="n"/>
      <c r="Q66" s="13" t="n"/>
      <c r="R66" s="10" t="n"/>
      <c r="S66" s="11" t="n"/>
      <c r="T66" s="13" t="n"/>
      <c r="U66" s="10" t="n"/>
    </row>
    <row r="67" ht="15.75" customHeight="1" s="1">
      <c r="A67" s="14" t="n"/>
      <c r="B67" s="15" t="n"/>
      <c r="C67" s="16" t="n"/>
      <c r="D67" s="14" t="n"/>
      <c r="E67" s="15" t="n"/>
      <c r="F67" s="16" t="n"/>
      <c r="G67" s="14" t="n"/>
      <c r="H67" s="15" t="n"/>
      <c r="I67" s="16" t="n"/>
      <c r="J67" s="14" t="n"/>
      <c r="K67" s="15" t="n"/>
      <c r="L67" s="16" t="n"/>
      <c r="M67" s="14" t="n"/>
      <c r="N67" s="15" t="n"/>
      <c r="O67" s="16" t="n"/>
      <c r="P67" s="14" t="n"/>
      <c r="Q67" s="15" t="n"/>
      <c r="R67" s="16" t="n"/>
      <c r="S67" s="14" t="n"/>
      <c r="T67" s="15" t="n"/>
      <c r="U67" s="16" t="n"/>
    </row>
    <row r="68" ht="15.75" customHeight="1" s="1">
      <c r="A68" s="5">
        <f>IF(22&lt;=DAY(EOMONTH(DATE(2026,$B$1,1),0)),$B$1&amp;"월 22일","")</f>
        <v/>
      </c>
      <c r="B68" s="6" t="n"/>
      <c r="C68" s="7" t="n"/>
      <c r="D68" s="5">
        <f>IF(23&lt;=DAY(EOMONTH(DATE(2026,$B$1,1),0)),$B$1&amp;"월 23일","")</f>
        <v/>
      </c>
      <c r="E68" s="6" t="n"/>
      <c r="F68" s="7" t="n"/>
      <c r="G68" s="5">
        <f>IF(24&lt;=DAY(EOMONTH(DATE(2026,$B$1,1),0)),$B$1&amp;"월 24일","")</f>
        <v/>
      </c>
      <c r="H68" s="6" t="n"/>
      <c r="I68" s="7" t="n"/>
      <c r="J68" s="5">
        <f>IF(25&lt;=DAY(EOMONTH(DATE(2026,$B$1,1),0)),$B$1&amp;"월 25일","")</f>
        <v/>
      </c>
      <c r="K68" s="6" t="n"/>
      <c r="L68" s="7" t="n"/>
      <c r="M68" s="5">
        <f>IF(26&lt;=DAY(EOMONTH(DATE(2026,$B$1,1),0)),$B$1&amp;"월 26일","")</f>
        <v/>
      </c>
      <c r="N68" s="6" t="n"/>
      <c r="O68" s="7" t="n"/>
      <c r="P68" s="5">
        <f>IF(27&lt;=DAY(EOMONTH(DATE(2026,$B$1,1),0)),$B$1&amp;"월 27일","")</f>
        <v/>
      </c>
      <c r="Q68" s="6" t="n"/>
      <c r="R68" s="7" t="n"/>
      <c r="S68" s="5">
        <f>IF(28&lt;=DAY(EOMONTH(DATE(2026,$B$1,1),0)),$B$1&amp;"월 28일","")</f>
        <v/>
      </c>
      <c r="T68" s="6" t="n"/>
      <c r="U68" s="7" t="n"/>
    </row>
    <row r="69" ht="15.75" customHeight="1" s="1">
      <c r="A69" s="8" t="inlineStr">
        <is>
          <t>디싸이오</t>
        </is>
      </c>
      <c r="B69" s="9" t="n">
        <v>0.0278</v>
      </c>
      <c r="C69" s="10" t="inlineStr">
        <is>
          <t>About</t>
        </is>
      </c>
      <c r="D69" s="8" t="inlineStr">
        <is>
          <t>디엠씨미디어</t>
        </is>
      </c>
      <c r="E69" s="9" t="n">
        <v>0.0455</v>
      </c>
      <c r="F69" s="10" t="inlineStr">
        <is>
          <t>About</t>
        </is>
      </c>
      <c r="G69" s="8" t="inlineStr">
        <is>
          <t>네이버 ai탭 광고</t>
        </is>
      </c>
      <c r="H69" s="12" t="n">
        <v>0.2</v>
      </c>
      <c r="I69" s="10" t="inlineStr">
        <is>
          <t>About</t>
        </is>
      </c>
      <c r="J69" s="8" t="inlineStr">
        <is>
          <t>어드민나이트</t>
        </is>
      </c>
      <c r="K69" s="9" t="n">
        <v>0.0455</v>
      </c>
      <c r="L69" s="10" t="inlineStr">
        <is>
          <t>Trend</t>
        </is>
      </c>
      <c r="M69" s="8" t="inlineStr">
        <is>
          <t>하이네켄 캠페인</t>
        </is>
      </c>
      <c r="N69" s="12" t="n">
        <v>0.05</v>
      </c>
      <c r="O69" s="10" t="inlineStr">
        <is>
          <t>Trend</t>
        </is>
      </c>
      <c r="P69" s="8" t="inlineStr">
        <is>
          <t>디지털 마케팅 suprt</t>
        </is>
      </c>
      <c r="Q69" s="9" t="n">
        <v>0.09089999999999999</v>
      </c>
      <c r="R69" s="10" t="inlineStr">
        <is>
          <t>Trend</t>
        </is>
      </c>
      <c r="S69" s="8" t="inlineStr">
        <is>
          <t>디엠씨미디어 복지</t>
        </is>
      </c>
      <c r="T69" s="9" t="n">
        <v>0.1071</v>
      </c>
      <c r="U69" s="10" t="inlineStr">
        <is>
          <t>People</t>
        </is>
      </c>
    </row>
    <row r="70" ht="15.75" customHeight="1" s="1">
      <c r="A70" s="8" t="inlineStr">
        <is>
          <t>디엠씨미디어 블로그</t>
        </is>
      </c>
      <c r="B70" s="9" t="n">
        <v>0.0278</v>
      </c>
      <c r="C70" s="10" t="inlineStr">
        <is>
          <t>People</t>
        </is>
      </c>
      <c r="D70" s="8" t="inlineStr">
        <is>
          <t>최신 자동차 광고 카피</t>
        </is>
      </c>
      <c r="E70" s="9" t="n">
        <v>0.0455</v>
      </c>
      <c r="F70" s="10" t="inlineStr">
        <is>
          <t>Media</t>
        </is>
      </c>
      <c r="G70" s="8" t="inlineStr">
        <is>
          <t>집안 삼신기</t>
        </is>
      </c>
      <c r="H70" s="12" t="n">
        <v>0.2</v>
      </c>
      <c r="I70" s="10" t="inlineStr">
        <is>
          <t>Trend</t>
        </is>
      </c>
      <c r="J70" s="8" t="inlineStr">
        <is>
          <t>옷 앱 순위</t>
        </is>
      </c>
      <c r="K70" s="9" t="n">
        <v>0.0455</v>
      </c>
      <c r="L70" s="10" t="n"/>
      <c r="M70" s="8" t="inlineStr">
        <is>
          <t>네이버 플레이스 4월 노출 지면</t>
        </is>
      </c>
      <c r="N70" s="9" t="n">
        <v>0.025</v>
      </c>
      <c r="O70" s="10" t="inlineStr">
        <is>
          <t>About</t>
        </is>
      </c>
      <c r="P70" s="8" t="inlineStr">
        <is>
          <t>타불라</t>
        </is>
      </c>
      <c r="Q70" s="9" t="n">
        <v>0.0606</v>
      </c>
      <c r="R70" s="10" t="inlineStr">
        <is>
          <t>Media</t>
        </is>
      </c>
      <c r="S70" s="11" t="inlineStr">
        <is>
          <t>2025년 뷰티 제품 소비 빅데이터 트렌드 알려주세요</t>
        </is>
      </c>
      <c r="T70" s="9" t="n">
        <v>0.0357</v>
      </c>
      <c r="U70" s="10" t="inlineStr">
        <is>
          <t>Trend</t>
        </is>
      </c>
    </row>
    <row r="71" ht="15.75" customHeight="1" s="1">
      <c r="A71" s="8" t="inlineStr">
        <is>
          <t>카카오 알림톡, 카플친</t>
        </is>
      </c>
      <c r="B71" s="9" t="n">
        <v>0.0139</v>
      </c>
      <c r="C71" s="10" t="inlineStr">
        <is>
          <t>Media</t>
        </is>
      </c>
      <c r="D71" s="8" t="inlineStr">
        <is>
          <t>쿠팡콜라보클럽 협업 캐릭터 상품 목록 알려주세요</t>
        </is>
      </c>
      <c r="E71" s="9" t="n">
        <v>0.0455</v>
      </c>
      <c r="F71" s="10" t="inlineStr">
        <is>
          <t>Trend</t>
        </is>
      </c>
      <c r="G71" s="8" t="inlineStr">
        <is>
          <t>해운대 미디어타워 미디어폴 입찰</t>
        </is>
      </c>
      <c r="H71" s="12" t="n">
        <v>0.2</v>
      </c>
      <c r="I71" s="10" t="inlineStr">
        <is>
          <t>About</t>
        </is>
      </c>
      <c r="J71" s="8" t="inlineStr">
        <is>
          <t>중가여성의류</t>
        </is>
      </c>
      <c r="K71" s="9" t="n">
        <v>0.0455</v>
      </c>
      <c r="L71" s="10" t="inlineStr">
        <is>
          <t>Trend</t>
        </is>
      </c>
      <c r="M71" s="8" t="inlineStr">
        <is>
          <t>넷플릭스 광고판매대행사</t>
        </is>
      </c>
      <c r="N71" s="9" t="n">
        <v>0.025</v>
      </c>
      <c r="O71" s="10" t="inlineStr">
        <is>
          <t>About</t>
        </is>
      </c>
      <c r="P71" s="8" t="inlineStr">
        <is>
          <t>디엠씨미디어 면접</t>
        </is>
      </c>
      <c r="Q71" s="9" t="n">
        <v>0.0303</v>
      </c>
      <c r="R71" s="10" t="inlineStr">
        <is>
          <t>People</t>
        </is>
      </c>
      <c r="S71" s="8" t="inlineStr">
        <is>
          <t>네이티브 광고</t>
        </is>
      </c>
      <c r="T71" s="9" t="n">
        <v>0.0357</v>
      </c>
      <c r="U71" s="10" t="inlineStr">
        <is>
          <t>Media</t>
        </is>
      </c>
    </row>
    <row r="72" ht="15.75" customHeight="1" s="1">
      <c r="A72" s="8" t="inlineStr">
        <is>
          <t>타불라</t>
        </is>
      </c>
      <c r="B72" s="9" t="n">
        <v>0.0139</v>
      </c>
      <c r="C72" s="10" t="inlineStr">
        <is>
          <t>Media</t>
        </is>
      </c>
      <c r="D72" s="8" t="inlineStr">
        <is>
          <t>타불라</t>
        </is>
      </c>
      <c r="E72" s="9" t="n">
        <v>0.0455</v>
      </c>
      <c r="F72" s="10" t="inlineStr">
        <is>
          <t>Media</t>
        </is>
      </c>
      <c r="G72" s="8" t="inlineStr">
        <is>
          <t>적십자 아이돌 뱀파이어</t>
        </is>
      </c>
      <c r="H72" s="12" t="n">
        <v>0.2</v>
      </c>
      <c r="I72" s="10" t="inlineStr">
        <is>
          <t>Trend</t>
        </is>
      </c>
      <c r="J72" s="8" t="inlineStr">
        <is>
          <t>어드민나이트</t>
        </is>
      </c>
      <c r="K72" s="9" t="n">
        <v>0.0455</v>
      </c>
      <c r="L72" s="10" t="inlineStr">
        <is>
          <t>Trend</t>
        </is>
      </c>
      <c r="M72" s="8" t="inlineStr">
        <is>
          <t>왕과사는남자 마케팅</t>
        </is>
      </c>
      <c r="N72" s="9" t="n">
        <v>0.025</v>
      </c>
      <c r="O72" s="10" t="inlineStr">
        <is>
          <t>Trend</t>
        </is>
      </c>
      <c r="P72" s="8" t="inlineStr">
        <is>
          <t>디엠씨미디어 블로그</t>
        </is>
      </c>
      <c r="Q72" s="9" t="n">
        <v>0.0303</v>
      </c>
      <c r="R72" s="10" t="inlineStr">
        <is>
          <t>People</t>
        </is>
      </c>
      <c r="S72" s="8" t="inlineStr">
        <is>
          <t>앰플리튜드 계정 조직 연결</t>
        </is>
      </c>
      <c r="T72" s="9" t="n">
        <v>0.0357</v>
      </c>
      <c r="U72" s="10" t="inlineStr">
        <is>
          <t>Data</t>
        </is>
      </c>
    </row>
    <row r="73" ht="15.75" customHeight="1" s="1">
      <c r="A73" s="8" t="inlineStr">
        <is>
          <t>타불라</t>
        </is>
      </c>
      <c r="B73" s="9" t="n">
        <v>0.0417</v>
      </c>
      <c r="C73" s="10" t="inlineStr">
        <is>
          <t>Media</t>
        </is>
      </c>
      <c r="D73" s="8" t="inlineStr">
        <is>
          <t>타불라 계정 생성</t>
        </is>
      </c>
      <c r="E73" s="9" t="n">
        <v>0.0455</v>
      </c>
      <c r="F73" s="10" t="inlineStr">
        <is>
          <t>Media</t>
        </is>
      </c>
      <c r="G73" s="11" t="n"/>
      <c r="H73" s="13" t="n"/>
      <c r="I73" s="10" t="n"/>
      <c r="J73" s="11" t="n"/>
      <c r="K73" s="13" t="n"/>
      <c r="L73" s="10" t="n"/>
      <c r="M73" s="8" t="inlineStr">
        <is>
          <t>웨비나 매체</t>
        </is>
      </c>
      <c r="N73" s="9" t="n">
        <v>0.025</v>
      </c>
      <c r="O73" s="10" t="inlineStr">
        <is>
          <t>About</t>
        </is>
      </c>
      <c r="P73" s="8" t="inlineStr">
        <is>
          <t>모비엠</t>
        </is>
      </c>
      <c r="Q73" s="9" t="n">
        <v>0.0303</v>
      </c>
      <c r="R73" s="10" t="inlineStr">
        <is>
          <t>About</t>
        </is>
      </c>
      <c r="S73" s="8" t="inlineStr">
        <is>
          <t>카카오톡 채널 친구추가 처음뜨는 메시지</t>
        </is>
      </c>
      <c r="T73" s="9" t="n">
        <v>0.0357</v>
      </c>
      <c r="U73" s="10" t="inlineStr">
        <is>
          <t>Media</t>
        </is>
      </c>
    </row>
    <row r="74" ht="15.75" customHeight="1" s="1">
      <c r="A74" s="8" t="inlineStr">
        <is>
          <t>비지오 TV</t>
        </is>
      </c>
      <c r="B74" s="9" t="n">
        <v>0.0139</v>
      </c>
      <c r="C74" s="10" t="inlineStr">
        <is>
          <t>Media</t>
        </is>
      </c>
      <c r="D74" s="8" t="inlineStr">
        <is>
          <t>노션 아카이브 만들기</t>
        </is>
      </c>
      <c r="E74" s="9" t="n">
        <v>0.0455</v>
      </c>
      <c r="F74" s="10" t="inlineStr">
        <is>
          <t>Trend</t>
        </is>
      </c>
      <c r="G74" s="11" t="n"/>
      <c r="H74" s="13" t="n"/>
      <c r="I74" s="10" t="n"/>
      <c r="J74" s="11" t="n"/>
      <c r="K74" s="13" t="n"/>
      <c r="L74" s="10" t="n"/>
      <c r="M74" s="8" t="inlineStr">
        <is>
          <t>타불라 광고</t>
        </is>
      </c>
      <c r="N74" s="9" t="n">
        <v>0.025</v>
      </c>
      <c r="O74" s="10" t="inlineStr">
        <is>
          <t>Media</t>
        </is>
      </c>
      <c r="P74" s="8" t="inlineStr">
        <is>
          <t>어드민 나이트</t>
        </is>
      </c>
      <c r="Q74" s="9" t="n">
        <v>0.0303</v>
      </c>
      <c r="R74" s="10" t="inlineStr">
        <is>
          <t>Trend</t>
        </is>
      </c>
      <c r="S74" s="8" t="inlineStr">
        <is>
          <t>카카오톡채널 카달로그형</t>
        </is>
      </c>
      <c r="T74" s="9" t="n">
        <v>0.0357</v>
      </c>
      <c r="U74" s="10" t="inlineStr">
        <is>
          <t>Media</t>
        </is>
      </c>
    </row>
    <row r="75" ht="15.75" customHeight="1" s="1">
      <c r="A75" s="8" t="inlineStr">
        <is>
          <t>웬디스데이 뜻</t>
        </is>
      </c>
      <c r="B75" s="9" t="n">
        <v>0.0139</v>
      </c>
      <c r="C75" s="10" t="inlineStr">
        <is>
          <t>Trend</t>
        </is>
      </c>
      <c r="D75" s="11" t="n"/>
      <c r="E75" s="13" t="n"/>
      <c r="F75" s="10" t="n"/>
      <c r="G75" s="11" t="n"/>
      <c r="H75" s="13" t="n"/>
      <c r="I75" s="10" t="n"/>
      <c r="J75" s="11" t="n"/>
      <c r="K75" s="13" t="n"/>
      <c r="L75" s="10" t="n"/>
      <c r="M75" s="8" t="inlineStr">
        <is>
          <t>타불라 지면</t>
        </is>
      </c>
      <c r="N75" s="9" t="n">
        <v>0.025</v>
      </c>
      <c r="O75" s="10" t="inlineStr">
        <is>
          <t>Media</t>
        </is>
      </c>
      <c r="P75" s="8" t="inlineStr">
        <is>
          <t>어드민나이트</t>
        </is>
      </c>
      <c r="Q75" s="9" t="n">
        <v>0.0303</v>
      </c>
      <c r="R75" s="10" t="inlineStr">
        <is>
          <t>Trend</t>
        </is>
      </c>
      <c r="S75" s="8" t="inlineStr">
        <is>
          <t>타불라</t>
        </is>
      </c>
      <c r="T75" s="9" t="n">
        <v>0.0357</v>
      </c>
      <c r="U75" s="10" t="inlineStr">
        <is>
          <t>Media</t>
        </is>
      </c>
    </row>
    <row r="76" ht="15.75" customHeight="1" s="1">
      <c r="A76" s="8" t="inlineStr">
        <is>
          <t>공식블로그 네이버블로그</t>
        </is>
      </c>
      <c r="B76" s="9" t="n">
        <v>0.0139</v>
      </c>
      <c r="C76" s="10" t="inlineStr">
        <is>
          <t>About</t>
        </is>
      </c>
      <c r="D76" s="11" t="n"/>
      <c r="E76" s="13" t="n"/>
      <c r="F76" s="10" t="n"/>
      <c r="G76" s="11" t="n"/>
      <c r="H76" s="13" t="n"/>
      <c r="I76" s="10" t="n"/>
      <c r="J76" s="11" t="n"/>
      <c r="K76" s="13" t="n"/>
      <c r="L76" s="10" t="n"/>
      <c r="M76" s="8" t="inlineStr">
        <is>
          <t>토스 리워드 광고</t>
        </is>
      </c>
      <c r="N76" s="9" t="n">
        <v>0.025</v>
      </c>
      <c r="O76" s="10" t="inlineStr">
        <is>
          <t>Media</t>
        </is>
      </c>
      <c r="P76" s="8" t="inlineStr">
        <is>
          <t>네이티브광고</t>
        </is>
      </c>
      <c r="Q76" s="9" t="n">
        <v>0.0303</v>
      </c>
      <c r="R76" s="10" t="inlineStr">
        <is>
          <t>Media</t>
        </is>
      </c>
      <c r="S76" s="8" t="inlineStr">
        <is>
          <t>타불라 광고</t>
        </is>
      </c>
      <c r="T76" s="9" t="n">
        <v>0.0357</v>
      </c>
      <c r="U76" s="10" t="inlineStr">
        <is>
          <t>Media</t>
        </is>
      </c>
    </row>
    <row r="77" ht="15.75" customHeight="1" s="1">
      <c r="A77" s="11" t="n"/>
      <c r="B77" s="13" t="n"/>
      <c r="C77" s="10" t="n"/>
      <c r="D77" s="11" t="n"/>
      <c r="E77" s="13" t="n"/>
      <c r="F77" s="10" t="n"/>
      <c r="G77" s="11" t="n"/>
      <c r="H77" s="13" t="n"/>
      <c r="I77" s="10" t="n"/>
      <c r="J77" s="11" t="n"/>
      <c r="K77" s="13" t="n"/>
      <c r="L77" s="10" t="n"/>
      <c r="M77" s="11" t="inlineStr">
        <is>
          <t>DMC d.saio</t>
        </is>
      </c>
      <c r="N77" s="9" t="n">
        <v>0.025</v>
      </c>
      <c r="O77" s="10" t="inlineStr">
        <is>
          <t>About</t>
        </is>
      </c>
      <c r="P77" s="8" t="inlineStr">
        <is>
          <t>디엠씨미디어</t>
        </is>
      </c>
      <c r="Q77" s="9" t="n">
        <v>0.0303</v>
      </c>
      <c r="R77" s="10" t="inlineStr">
        <is>
          <t>About</t>
        </is>
      </c>
      <c r="S77" s="8" t="inlineStr">
        <is>
          <t>토쓰애즈 광고 효율</t>
        </is>
      </c>
      <c r="T77" s="9" t="n">
        <v>0.0357</v>
      </c>
      <c r="U77" s="10" t="inlineStr">
        <is>
          <t>Media</t>
        </is>
      </c>
    </row>
    <row r="78" ht="15.75" customHeight="1" s="1">
      <c r="A78" s="11" t="n"/>
      <c r="B78" s="13" t="n"/>
      <c r="C78" s="10" t="n"/>
      <c r="D78" s="11" t="n"/>
      <c r="E78" s="13" t="n"/>
      <c r="F78" s="10" t="n"/>
      <c r="G78" s="11" t="n"/>
      <c r="H78" s="13" t="n"/>
      <c r="I78" s="10" t="n"/>
      <c r="J78" s="11" t="n"/>
      <c r="K78" s="13" t="n"/>
      <c r="L78" s="10" t="n"/>
      <c r="M78" s="11" t="inlineStr">
        <is>
          <t>aespa pinterest</t>
        </is>
      </c>
      <c r="N78" s="9" t="n">
        <v>0.025</v>
      </c>
      <c r="O78" s="10" t="inlineStr">
        <is>
          <t>Trend</t>
        </is>
      </c>
      <c r="P78" s="8" t="inlineStr">
        <is>
          <t>초저가 의류 소비는 합리적소비?</t>
        </is>
      </c>
      <c r="Q78" s="9" t="n">
        <v>0.0303</v>
      </c>
      <c r="R78" s="10" t="inlineStr">
        <is>
          <t>Trend</t>
        </is>
      </c>
      <c r="S78" s="11" t="inlineStr">
        <is>
          <t>040mbcon육ㄱ킹남육아대디39회</t>
        </is>
      </c>
      <c r="T78" s="9" t="n">
        <v>0.0357</v>
      </c>
      <c r="U78" s="10" t="inlineStr">
        <is>
          <t>People</t>
        </is>
      </c>
    </row>
    <row r="79" ht="15.75" customHeight="1" s="1">
      <c r="A79" s="11" t="n"/>
      <c r="B79" s="13" t="n"/>
      <c r="C79" s="10" t="n"/>
      <c r="D79" s="11" t="n"/>
      <c r="E79" s="13" t="n"/>
      <c r="F79" s="10" t="n"/>
      <c r="G79" s="11" t="n"/>
      <c r="H79" s="13" t="n"/>
      <c r="I79" s="10" t="n"/>
      <c r="J79" s="11" t="n"/>
      <c r="K79" s="13" t="n"/>
      <c r="L79" s="10" t="n"/>
      <c r="M79" s="8" t="inlineStr">
        <is>
          <t>네이티브 광고</t>
        </is>
      </c>
      <c r="N79" s="9" t="n">
        <v>0.025</v>
      </c>
      <c r="O79" s="10" t="inlineStr">
        <is>
          <t>Media</t>
        </is>
      </c>
      <c r="P79" s="8" t="inlineStr">
        <is>
          <t>타불라 광고</t>
        </is>
      </c>
      <c r="Q79" s="9" t="n">
        <v>0.0303</v>
      </c>
      <c r="R79" s="10" t="inlineStr">
        <is>
          <t>Media</t>
        </is>
      </c>
      <c r="S79" s="11" t="inlineStr">
        <is>
          <t>pdooh 경매</t>
        </is>
      </c>
      <c r="T79" s="9" t="n">
        <v>0.0357</v>
      </c>
      <c r="U79" s="10" t="inlineStr">
        <is>
          <t>Trend</t>
        </is>
      </c>
    </row>
    <row r="80" ht="15.75" customHeight="1" s="1">
      <c r="A80" s="11" t="n"/>
      <c r="B80" s="13" t="n"/>
      <c r="C80" s="10" t="n"/>
      <c r="D80" s="11" t="n"/>
      <c r="E80" s="13" t="n"/>
      <c r="F80" s="10" t="n"/>
      <c r="G80" s="11" t="n"/>
      <c r="H80" s="13" t="n"/>
      <c r="I80" s="10" t="n"/>
      <c r="J80" s="11" t="n"/>
      <c r="K80" s="13" t="n"/>
      <c r="L80" s="10" t="n"/>
      <c r="M80" s="8" t="inlineStr">
        <is>
          <t>디지털 마케팅 suprt</t>
        </is>
      </c>
      <c r="N80" s="9" t="n">
        <v>0.025</v>
      </c>
      <c r="O80" s="10" t="inlineStr">
        <is>
          <t>Trend</t>
        </is>
      </c>
      <c r="P80" s="8" t="inlineStr">
        <is>
          <t>타불라 마케팅</t>
        </is>
      </c>
      <c r="Q80" s="9" t="n">
        <v>0.0303</v>
      </c>
      <c r="R80" s="10" t="inlineStr">
        <is>
          <t>Media</t>
        </is>
      </c>
      <c r="S80" s="8" t="inlineStr">
        <is>
          <t>대한적십자사 아이돌</t>
        </is>
      </c>
      <c r="T80" s="9" t="n">
        <v>0.0357</v>
      </c>
      <c r="U80" s="10" t="inlineStr">
        <is>
          <t>Trend</t>
        </is>
      </c>
    </row>
    <row r="81" ht="15.75" customHeight="1" s="1">
      <c r="A81" s="11" t="n"/>
      <c r="B81" s="13" t="n"/>
      <c r="C81" s="10" t="n"/>
      <c r="D81" s="11" t="n"/>
      <c r="E81" s="13" t="n"/>
      <c r="F81" s="10" t="n"/>
      <c r="G81" s="11" t="n"/>
      <c r="H81" s="13" t="n"/>
      <c r="I81" s="10" t="n"/>
      <c r="J81" s="11" t="n"/>
      <c r="K81" s="13" t="n"/>
      <c r="L81" s="10" t="n"/>
      <c r="M81" s="8" t="inlineStr">
        <is>
          <t>디엠씨미디어</t>
        </is>
      </c>
      <c r="N81" s="9" t="n">
        <v>0.025</v>
      </c>
      <c r="O81" s="10" t="inlineStr">
        <is>
          <t>About</t>
        </is>
      </c>
      <c r="P81" s="8" t="inlineStr">
        <is>
          <t>타블라 광고</t>
        </is>
      </c>
      <c r="Q81" s="9" t="n">
        <v>0.0303</v>
      </c>
      <c r="R81" s="10" t="inlineStr">
        <is>
          <t>Media</t>
        </is>
      </c>
      <c r="S81" s="8" t="inlineStr">
        <is>
          <t>인디 셀링포인트 건강기능식품</t>
        </is>
      </c>
      <c r="T81" s="9" t="n">
        <v>0.0357</v>
      </c>
      <c r="U81" s="10" t="inlineStr">
        <is>
          <t>Trend</t>
        </is>
      </c>
    </row>
    <row r="82" ht="15.75" customHeight="1" s="1">
      <c r="A82" s="11" t="n"/>
      <c r="B82" s="13" t="n"/>
      <c r="C82" s="10" t="n"/>
      <c r="D82" s="11" t="n"/>
      <c r="E82" s="13" t="n"/>
      <c r="F82" s="10" t="n"/>
      <c r="G82" s="11" t="n"/>
      <c r="H82" s="13" t="n"/>
      <c r="I82" s="10" t="n"/>
      <c r="J82" s="11" t="n"/>
      <c r="K82" s="13" t="n"/>
      <c r="L82" s="10" t="n"/>
      <c r="M82" s="8" t="inlineStr">
        <is>
          <t>디엠씨미디어 상장</t>
        </is>
      </c>
      <c r="N82" s="9" t="n">
        <v>0.025</v>
      </c>
      <c r="O82" s="10" t="inlineStr">
        <is>
          <t>About</t>
        </is>
      </c>
      <c r="P82" s="11" t="n"/>
      <c r="Q82" s="13" t="n"/>
      <c r="R82" s="10" t="n"/>
      <c r="S82" s="8" t="inlineStr">
        <is>
          <t>토스ads</t>
        </is>
      </c>
      <c r="T82" s="9" t="n">
        <v>0.0357</v>
      </c>
      <c r="U82" s="10" t="inlineStr">
        <is>
          <t>Media</t>
        </is>
      </c>
    </row>
    <row r="83" ht="15.75" customHeight="1" s="1">
      <c r="A83" s="11" t="n"/>
      <c r="B83" s="13" t="n"/>
      <c r="C83" s="10" t="n"/>
      <c r="D83" s="11" t="n"/>
      <c r="E83" s="13" t="n"/>
      <c r="F83" s="10" t="n"/>
      <c r="G83" s="11" t="n"/>
      <c r="H83" s="13" t="n"/>
      <c r="I83" s="10" t="n"/>
      <c r="J83" s="11" t="n"/>
      <c r="K83" s="13" t="n"/>
      <c r="L83" s="10" t="n"/>
      <c r="M83" s="11" t="n"/>
      <c r="N83" s="13" t="n"/>
      <c r="O83" s="10" t="n"/>
      <c r="P83" s="11" t="n"/>
      <c r="Q83" s="13" t="n"/>
      <c r="R83" s="10" t="n"/>
      <c r="S83" s="8" t="inlineStr">
        <is>
          <t>중저가 의류 브랜드</t>
        </is>
      </c>
      <c r="T83" s="9" t="n">
        <v>0.0357</v>
      </c>
      <c r="U83" s="10" t="inlineStr">
        <is>
          <t>Trend</t>
        </is>
      </c>
    </row>
    <row r="84" ht="15.75" customHeight="1" s="1">
      <c r="A84" s="11" t="n"/>
      <c r="B84" s="13" t="n"/>
      <c r="C84" s="10" t="n"/>
      <c r="D84" s="11" t="n"/>
      <c r="E84" s="13" t="n"/>
      <c r="F84" s="10" t="n"/>
      <c r="G84" s="11" t="n"/>
      <c r="H84" s="13" t="n"/>
      <c r="I84" s="10" t="n"/>
      <c r="J84" s="11" t="n"/>
      <c r="K84" s="13" t="n"/>
      <c r="L84" s="10" t="n"/>
      <c r="M84" s="11" t="n"/>
      <c r="N84" s="13" t="n"/>
      <c r="O84" s="10" t="n"/>
      <c r="P84" s="11" t="n"/>
      <c r="Q84" s="13" t="n"/>
      <c r="R84" s="10" t="n"/>
      <c r="S84" s="11" t="n"/>
      <c r="T84" s="13" t="n"/>
      <c r="U84" s="10" t="n"/>
    </row>
    <row r="85" ht="15.75" customHeight="1" s="1">
      <c r="A85" s="11" t="n"/>
      <c r="B85" s="13" t="n"/>
      <c r="C85" s="10" t="n"/>
      <c r="D85" s="11" t="n"/>
      <c r="E85" s="13" t="n"/>
      <c r="F85" s="10" t="n"/>
      <c r="G85" s="11" t="n"/>
      <c r="H85" s="13" t="n"/>
      <c r="I85" s="10" t="n"/>
      <c r="J85" s="11" t="n"/>
      <c r="K85" s="13" t="n"/>
      <c r="L85" s="10" t="n"/>
      <c r="M85" s="11" t="n"/>
      <c r="N85" s="13" t="n"/>
      <c r="O85" s="10" t="n"/>
      <c r="P85" s="11" t="n"/>
      <c r="Q85" s="13" t="n"/>
      <c r="R85" s="10" t="n"/>
      <c r="S85" s="11" t="n"/>
      <c r="T85" s="13" t="n"/>
      <c r="U85" s="10" t="n"/>
    </row>
    <row r="86" ht="15.75" customHeight="1" s="1">
      <c r="A86" s="11" t="n"/>
      <c r="B86" s="13" t="n"/>
      <c r="C86" s="10" t="n"/>
      <c r="D86" s="11" t="n"/>
      <c r="E86" s="13" t="n"/>
      <c r="F86" s="10" t="n"/>
      <c r="G86" s="11" t="n"/>
      <c r="H86" s="13" t="n"/>
      <c r="I86" s="10" t="n"/>
      <c r="J86" s="11" t="n"/>
      <c r="K86" s="13" t="n"/>
      <c r="L86" s="10" t="n"/>
      <c r="M86" s="11" t="n"/>
      <c r="N86" s="13" t="n"/>
      <c r="O86" s="10" t="n"/>
      <c r="P86" s="11" t="n"/>
      <c r="Q86" s="13" t="n"/>
      <c r="R86" s="10" t="n"/>
      <c r="S86" s="11" t="n"/>
      <c r="T86" s="13" t="n"/>
      <c r="U86" s="10" t="n"/>
    </row>
    <row r="87" ht="15.75" customHeight="1" s="1">
      <c r="A87" s="11" t="n"/>
      <c r="B87" s="13" t="n"/>
      <c r="C87" s="10" t="n"/>
      <c r="D87" s="11" t="n"/>
      <c r="E87" s="13" t="n"/>
      <c r="F87" s="10" t="n"/>
      <c r="G87" s="11" t="n"/>
      <c r="H87" s="13" t="n"/>
      <c r="I87" s="10" t="n"/>
      <c r="J87" s="11" t="n"/>
      <c r="K87" s="13" t="n"/>
      <c r="L87" s="10" t="n"/>
      <c r="M87" s="11" t="n"/>
      <c r="N87" s="13" t="n"/>
      <c r="O87" s="10" t="n"/>
      <c r="P87" s="11" t="n"/>
      <c r="Q87" s="13" t="n"/>
      <c r="R87" s="10" t="n"/>
      <c r="S87" s="11" t="n"/>
      <c r="T87" s="13" t="n"/>
      <c r="U87" s="10" t="n"/>
    </row>
    <row r="88" ht="15.75" customHeight="1" s="1">
      <c r="A88" s="14" t="n"/>
      <c r="B88" s="15" t="n"/>
      <c r="C88" s="16" t="n"/>
      <c r="D88" s="14" t="n"/>
      <c r="E88" s="15" t="n"/>
      <c r="F88" s="16" t="n"/>
      <c r="G88" s="14" t="n"/>
      <c r="H88" s="15" t="n"/>
      <c r="I88" s="16" t="n"/>
      <c r="J88" s="14" t="n"/>
      <c r="K88" s="15" t="n"/>
      <c r="L88" s="16" t="n"/>
      <c r="M88" s="14" t="n"/>
      <c r="N88" s="15" t="n"/>
      <c r="O88" s="16" t="n"/>
      <c r="P88" s="14" t="n"/>
      <c r="Q88" s="15" t="n"/>
      <c r="R88" s="16" t="n"/>
      <c r="S88" s="14" t="n"/>
      <c r="T88" s="15" t="n"/>
      <c r="U88" s="16" t="n"/>
    </row>
    <row r="89" ht="15.75" customHeight="1" s="1">
      <c r="A89" s="5">
        <f>IF(29&lt;=DAY(EOMONTH(DATE(2026,$B$1,1),0)),$B$1&amp;"월 29일","")</f>
        <v/>
      </c>
      <c r="B89" s="6" t="n"/>
      <c r="C89" s="7" t="n"/>
      <c r="D89" s="5">
        <f>IF(30&lt;=DAY(EOMONTH(DATE(2026,$B$1,1),0)),$B$1&amp;"월 30일","")</f>
        <v/>
      </c>
      <c r="E89" s="6" t="n"/>
      <c r="F89" s="7" t="n"/>
      <c r="G89" s="5">
        <f>IF(31&lt;=DAY(EOMONTH(DATE(2026,$B$1,1),0)),$B$1&amp;"월 31일","")</f>
        <v/>
      </c>
      <c r="H89" s="6" t="n"/>
      <c r="I89" s="7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</row>
    <row r="90" ht="15.75" customHeight="1" s="1">
      <c r="A90" s="8" t="inlineStr">
        <is>
          <t>타불라</t>
        </is>
      </c>
      <c r="B90" s="9" t="n">
        <v>0.0851</v>
      </c>
      <c r="C90" s="10" t="inlineStr">
        <is>
          <t>Media</t>
        </is>
      </c>
      <c r="D90" s="8" t="inlineStr">
        <is>
          <t>디엠씨미디어</t>
        </is>
      </c>
      <c r="E90" s="9" t="n">
        <v>0.1667</v>
      </c>
      <c r="F90" s="10" t="inlineStr">
        <is>
          <t>About</t>
        </is>
      </c>
      <c r="G90" s="8" t="inlineStr">
        <is>
          <t>각자 할 일하는 모임</t>
        </is>
      </c>
      <c r="H90" s="9" t="n">
        <v>0.037</v>
      </c>
      <c r="I90" s="10" t="inlineStr">
        <is>
          <t>Trend</t>
        </is>
      </c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</row>
    <row r="91" ht="15.75" customHeight="1" s="1">
      <c r="A91" s="8" t="inlineStr">
        <is>
          <t>디지털 마케팅 suprt</t>
        </is>
      </c>
      <c r="B91" s="9" t="n">
        <v>0.0426</v>
      </c>
      <c r="C91" s="10" t="inlineStr">
        <is>
          <t>Trend</t>
        </is>
      </c>
      <c r="D91" s="8" t="inlineStr">
        <is>
          <t>롯데 자일리톨 껌 브랜드 노후화</t>
        </is>
      </c>
      <c r="E91" s="9" t="n">
        <v>0.1667</v>
      </c>
      <c r="F91" s="10" t="inlineStr">
        <is>
          <t>Trend</t>
        </is>
      </c>
      <c r="G91" s="8" t="inlineStr">
        <is>
          <t>디엠씨미디어 이준희</t>
        </is>
      </c>
      <c r="H91" s="9" t="n">
        <v>0.037</v>
      </c>
      <c r="I91" s="10" t="inlineStr">
        <is>
          <t>About</t>
        </is>
      </c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</row>
    <row r="92" ht="15.75" customHeight="1" s="1">
      <c r="A92" s="8" t="inlineStr">
        <is>
          <t>디엠씨미디어</t>
        </is>
      </c>
      <c r="B92" s="9" t="n">
        <v>0.0213</v>
      </c>
      <c r="C92" s="10" t="inlineStr">
        <is>
          <t>About</t>
        </is>
      </c>
      <c r="D92" s="8" t="inlineStr">
        <is>
          <t>타불라</t>
        </is>
      </c>
      <c r="E92" s="9" t="n">
        <v>0.1667</v>
      </c>
      <c r="F92" s="10" t="inlineStr">
        <is>
          <t>Media</t>
        </is>
      </c>
      <c r="G92" s="8" t="inlineStr">
        <is>
          <t>젠지 세대 대상 고급 브랜드 디지털 프로모션 사례 알려주세요</t>
        </is>
      </c>
      <c r="H92" s="9" t="n">
        <v>0.037</v>
      </c>
      <c r="I92" s="10" t="inlineStr">
        <is>
          <t>Trend</t>
        </is>
      </c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</row>
    <row r="93" ht="15.75" customHeight="1" s="1">
      <c r="A93" s="8" t="inlineStr">
        <is>
          <t>반복되는리포트앱데이터를AI 토스</t>
        </is>
      </c>
      <c r="B93" s="9" t="n">
        <v>0.0213</v>
      </c>
      <c r="C93" s="10" t="inlineStr">
        <is>
          <t>Media</t>
        </is>
      </c>
      <c r="D93" s="11" t="n"/>
      <c r="E93" s="13" t="n"/>
      <c r="F93" s="10" t="n"/>
      <c r="G93" s="8" t="inlineStr">
        <is>
          <t>카카오톡에 Z013 추가하고 "888"음 보내시면</t>
        </is>
      </c>
      <c r="H93" s="9" t="n">
        <v>0.037</v>
      </c>
      <c r="I93" s="10" t="inlineStr">
        <is>
          <t>Media</t>
        </is>
      </c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</row>
    <row r="94" ht="15.75" customHeight="1" s="1">
      <c r="A94" s="8" t="inlineStr">
        <is>
          <t>타불라</t>
        </is>
      </c>
      <c r="B94" s="9" t="n">
        <v>0.0426</v>
      </c>
      <c r="C94" s="10" t="inlineStr">
        <is>
          <t>Media</t>
        </is>
      </c>
      <c r="D94" s="11" t="n"/>
      <c r="E94" s="13" t="n"/>
      <c r="F94" s="10" t="n"/>
      <c r="G94" s="8" t="inlineStr">
        <is>
          <t>패션 CS 담당자 네트워크</t>
        </is>
      </c>
      <c r="H94" s="9" t="n">
        <v>0.037</v>
      </c>
      <c r="I94" s="10" t="inlineStr">
        <is>
          <t>People</t>
        </is>
      </c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</row>
    <row r="95" ht="15.75" customHeight="1" s="1">
      <c r="A95" s="11" t="inlineStr">
        <is>
          <t>DMC미디어</t>
        </is>
      </c>
      <c r="B95" s="9" t="n">
        <v>0.0213</v>
      </c>
      <c r="C95" s="10" t="inlineStr">
        <is>
          <t>About</t>
        </is>
      </c>
      <c r="D95" s="11" t="n"/>
      <c r="E95" s="13" t="n"/>
      <c r="F95" s="10" t="n"/>
      <c r="G95" s="8" t="inlineStr">
        <is>
          <t>디엠씨미디어</t>
        </is>
      </c>
      <c r="H95" s="9" t="n">
        <v>0.0741</v>
      </c>
      <c r="I95" s="10" t="inlineStr">
        <is>
          <t>About</t>
        </is>
      </c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</row>
    <row r="96" ht="15.75" customHeight="1" s="1">
      <c r="A96" s="11" t="inlineStr">
        <is>
          <t>ai로 네이버광고 집행방법</t>
        </is>
      </c>
      <c r="B96" s="9" t="n">
        <v>0.0213</v>
      </c>
      <c r="C96" s="10" t="inlineStr">
        <is>
          <t>About</t>
        </is>
      </c>
      <c r="D96" s="11" t="n"/>
      <c r="E96" s="13" t="n"/>
      <c r="F96" s="10" t="n"/>
      <c r="G96" s="11" t="n"/>
      <c r="H96" s="13" t="n"/>
      <c r="I96" s="10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</row>
    <row r="97" ht="15.75" customHeight="1" s="1">
      <c r="A97" s="8" t="inlineStr">
        <is>
          <t>디엠씨미디어</t>
        </is>
      </c>
      <c r="B97" s="9" t="n">
        <v>0.0213</v>
      </c>
      <c r="C97" s="10" t="inlineStr">
        <is>
          <t>About</t>
        </is>
      </c>
      <c r="D97" s="11" t="n"/>
      <c r="E97" s="13" t="n"/>
      <c r="F97" s="10" t="n"/>
      <c r="G97" s="11" t="n"/>
      <c r="H97" s="13" t="n"/>
      <c r="I97" s="10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5.75" customHeight="1" s="1">
      <c r="A98" s="8" t="inlineStr">
        <is>
          <t>디토소비 예시 광고</t>
        </is>
      </c>
      <c r="B98" s="9" t="n">
        <v>0.0213</v>
      </c>
      <c r="C98" s="10" t="inlineStr">
        <is>
          <t>Trend</t>
        </is>
      </c>
      <c r="D98" s="11" t="n"/>
      <c r="E98" s="13" t="n"/>
      <c r="F98" s="10" t="n"/>
      <c r="G98" s="11" t="n"/>
      <c r="H98" s="13" t="n"/>
      <c r="I98" s="10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</row>
    <row r="99" ht="15.75" customHeight="1" s="1">
      <c r="A99" s="8" t="inlineStr">
        <is>
          <t>메타 전환캠페인 슬라이드</t>
        </is>
      </c>
      <c r="B99" s="9" t="n">
        <v>0.0213</v>
      </c>
      <c r="C99" s="10" t="inlineStr">
        <is>
          <t>Media</t>
        </is>
      </c>
      <c r="D99" s="11" t="n"/>
      <c r="E99" s="13" t="n"/>
      <c r="F99" s="10" t="n"/>
      <c r="G99" s="11" t="n"/>
      <c r="H99" s="13" t="n"/>
      <c r="I99" s="10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</row>
    <row r="100" ht="15.75" customHeight="1" s="1">
      <c r="A100" s="8" t="inlineStr">
        <is>
          <t>앰플리튜드 CDP</t>
        </is>
      </c>
      <c r="B100" s="9" t="n">
        <v>0.0213</v>
      </c>
      <c r="C100" s="10" t="inlineStr">
        <is>
          <t>Data</t>
        </is>
      </c>
      <c r="D100" s="11" t="n"/>
      <c r="E100" s="13" t="n"/>
      <c r="F100" s="10" t="n"/>
      <c r="G100" s="11" t="n"/>
      <c r="H100" s="13" t="n"/>
      <c r="I100" s="10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 ht="15.75" customHeight="1" s="1">
      <c r="A101" s="11" t="n"/>
      <c r="B101" s="13" t="n"/>
      <c r="C101" s="10" t="n"/>
      <c r="D101" s="11" t="n"/>
      <c r="E101" s="13" t="n"/>
      <c r="F101" s="10" t="n"/>
      <c r="G101" s="11" t="n"/>
      <c r="H101" s="13" t="n"/>
      <c r="I101" s="10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 ht="15.75" customHeight="1" s="1">
      <c r="A102" s="11" t="n"/>
      <c r="B102" s="13" t="n"/>
      <c r="C102" s="10" t="n"/>
      <c r="D102" s="11" t="n"/>
      <c r="E102" s="13" t="n"/>
      <c r="F102" s="10" t="n"/>
      <c r="G102" s="11" t="n"/>
      <c r="H102" s="13" t="n"/>
      <c r="I102" s="10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</row>
    <row r="103" ht="15.75" customHeight="1" s="1">
      <c r="A103" s="11" t="n"/>
      <c r="B103" s="13" t="n"/>
      <c r="C103" s="10" t="n"/>
      <c r="D103" s="11" t="n"/>
      <c r="E103" s="13" t="n"/>
      <c r="F103" s="10" t="n"/>
      <c r="G103" s="11" t="n"/>
      <c r="H103" s="13" t="n"/>
      <c r="I103" s="10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</row>
    <row r="104" ht="15.75" customHeight="1" s="1">
      <c r="A104" s="11" t="n"/>
      <c r="B104" s="13" t="n"/>
      <c r="C104" s="10" t="n"/>
      <c r="D104" s="11" t="n"/>
      <c r="E104" s="13" t="n"/>
      <c r="F104" s="10" t="n"/>
      <c r="G104" s="11" t="n"/>
      <c r="H104" s="13" t="n"/>
      <c r="I104" s="10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</row>
    <row r="105" ht="15.75" customHeight="1" s="1">
      <c r="A105" s="11" t="n"/>
      <c r="B105" s="13" t="n"/>
      <c r="C105" s="10" t="n"/>
      <c r="D105" s="11" t="n"/>
      <c r="E105" s="13" t="n"/>
      <c r="F105" s="10" t="n"/>
      <c r="G105" s="11" t="n"/>
      <c r="H105" s="13" t="n"/>
      <c r="I105" s="10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</row>
    <row r="106" ht="15.75" customHeight="1" s="1">
      <c r="A106" s="11" t="n"/>
      <c r="B106" s="13" t="n"/>
      <c r="C106" s="10" t="n"/>
      <c r="D106" s="11" t="n"/>
      <c r="E106" s="13" t="n"/>
      <c r="F106" s="10" t="n"/>
      <c r="G106" s="11" t="n"/>
      <c r="H106" s="13" t="n"/>
      <c r="I106" s="10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</row>
    <row r="107" ht="15.75" customHeight="1" s="1">
      <c r="A107" s="11" t="n"/>
      <c r="B107" s="13" t="n"/>
      <c r="C107" s="10" t="n"/>
      <c r="D107" s="11" t="n"/>
      <c r="E107" s="13" t="n"/>
      <c r="F107" s="10" t="n"/>
      <c r="G107" s="11" t="n"/>
      <c r="H107" s="13" t="n"/>
      <c r="I107" s="10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 ht="15.75" customHeight="1" s="1">
      <c r="A108" s="11" t="n"/>
      <c r="B108" s="13" t="n"/>
      <c r="C108" s="10" t="n"/>
      <c r="D108" s="11" t="n"/>
      <c r="E108" s="13" t="n"/>
      <c r="F108" s="10" t="n"/>
      <c r="G108" s="11" t="n"/>
      <c r="H108" s="13" t="n"/>
      <c r="I108" s="10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</row>
    <row r="109" ht="15.75" customHeight="1" s="1">
      <c r="A109" s="14" t="n"/>
      <c r="B109" s="15" t="n"/>
      <c r="C109" s="16" t="n"/>
      <c r="D109" s="14" t="n"/>
      <c r="E109" s="15" t="n"/>
      <c r="F109" s="16" t="n"/>
      <c r="G109" s="14" t="n"/>
      <c r="H109" s="15" t="n"/>
      <c r="I109" s="16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</row>
  </sheetData>
  <mergeCells count="1">
    <mergeCell ref="C1:U1"/>
  </mergeCells>
  <dataValidations count="2">
    <dataValidation sqref="B1" showDropDown="0" showInputMessage="0" showErrorMessage="0" allowBlank="0" type="list">
      <formula1>"1,2,3,4,5,6,7,8,9,10,11,12"</formula1>
      <formula2>0</formula2>
    </dataValidation>
    <dataValidation sqref="C3:C129 F3:F129 I3:I129 L3:L129 O3:O129 R3:R129 U3:U129" showDropDown="0" showInputMessage="0" showErrorMessage="0" allowBlank="1" type="list">
      <formula1>"Trend,Media,About,Data,People"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N27"/>
  <sheetViews>
    <sheetView showGridLines="0" zoomScale="110" zoomScaleNormal="110" workbookViewId="0">
      <selection activeCell="F19" sqref="E14:F19"/>
    </sheetView>
  </sheetViews>
  <sheetFormatPr baseColWidth="8" defaultColWidth="8.6640625" defaultRowHeight="14.4"/>
  <cols>
    <col width="1.5546875" customWidth="1" style="1" min="1" max="1"/>
    <col width="16" customWidth="1" style="1" min="2" max="2"/>
    <col width="12" customWidth="1" style="1" min="3" max="3"/>
    <col width="2.44140625" customWidth="1" style="1" min="4" max="4"/>
    <col width="22.109375" customWidth="1" style="1" min="5" max="5"/>
    <col width="10" customWidth="1" style="1" min="6" max="6"/>
    <col width="2" customWidth="1" style="1" min="7" max="9"/>
    <col width="6.21875" customWidth="1" style="1" min="10" max="10"/>
    <col width="60.5546875" customWidth="1" style="1" min="13" max="13"/>
    <col width="8.21875" customWidth="1" style="65" min="14" max="14"/>
  </cols>
  <sheetData>
    <row r="1" ht="27.75" customHeight="1" s="1">
      <c r="B1" s="143" t="inlineStr">
        <is>
          <t>5월 데이터</t>
        </is>
      </c>
      <c r="N1" s="129" t="n"/>
    </row>
    <row r="2" ht="19.5" customHeight="1" s="1"/>
    <row r="3" ht="19.5" customHeight="1" s="1">
      <c r="B3" s="127" t="inlineStr">
        <is>
          <t>월간 방문 분석</t>
        </is>
      </c>
      <c r="C3" s="151" t="n"/>
      <c r="E3" s="127" t="inlineStr">
        <is>
          <t>유입분석</t>
        </is>
      </c>
      <c r="F3" s="151" t="n"/>
      <c r="J3" s="144" t="inlineStr">
        <is>
          <t>순위</t>
        </is>
      </c>
      <c r="K3" s="133" t="inlineStr">
        <is>
          <t>인기게시물 Top 10</t>
        </is>
      </c>
      <c r="L3" s="152" t="n"/>
      <c r="M3" s="152" t="n"/>
      <c r="N3" s="45" t="inlineStr">
        <is>
          <t>조회수</t>
        </is>
      </c>
    </row>
    <row r="4" ht="16.5" customHeight="1" s="1">
      <c r="B4" s="22" t="inlineStr">
        <is>
          <t>조회수</t>
        </is>
      </c>
      <c r="C4" s="33" t="n">
        <v>1114</v>
      </c>
      <c r="E4" s="22" t="inlineStr">
        <is>
          <t>네이버 블로그_PC</t>
        </is>
      </c>
      <c r="F4" s="67" t="n">
        <v>0.2565</v>
      </c>
      <c r="J4" s="30" t="n">
        <v>1</v>
      </c>
      <c r="K4" s="140" t="inlineStr">
        <is>
          <t>격주 DMCian l 스트레스 많이 받을거지만 운동 많이 될 굿파트너, 승진자 그룹인터뷰</t>
        </is>
      </c>
      <c r="L4" s="150" t="n"/>
      <c r="M4" s="150" t="n"/>
      <c r="N4" s="48" t="n">
        <v>106</v>
      </c>
    </row>
    <row r="5" ht="16.5" customHeight="1" s="1">
      <c r="B5" s="8" t="inlineStr">
        <is>
          <t>순방문자수</t>
        </is>
      </c>
      <c r="C5" s="25" t="n">
        <v>630</v>
      </c>
      <c r="E5" s="8" t="inlineStr">
        <is>
          <t>네이버 통합검색_PC</t>
        </is>
      </c>
      <c r="F5" s="35" t="n">
        <v>0.171</v>
      </c>
      <c r="J5" s="31" t="n">
        <v>2</v>
      </c>
      <c r="K5" s="138" t="inlineStr">
        <is>
          <t>AI 기술로 진화한 네이티브 광고 플랫폼 '타불라' 핵심 요약</t>
        </is>
      </c>
      <c r="L5" s="150" t="n"/>
      <c r="M5" s="150" t="n"/>
      <c r="N5" s="49" t="n">
        <v>47</v>
      </c>
    </row>
    <row r="6" ht="16.5" customHeight="1" s="1">
      <c r="B6" s="22" t="inlineStr">
        <is>
          <t>방문횟수</t>
        </is>
      </c>
      <c r="C6" s="23" t="n">
        <v>760</v>
      </c>
      <c r="E6" s="68" t="inlineStr">
        <is>
          <t>gw.dmcmedia.co.kr</t>
        </is>
      </c>
      <c r="F6" s="34" t="n">
        <v>0.1679</v>
      </c>
      <c r="J6" s="30" t="n">
        <v>3</v>
      </c>
      <c r="K6" s="140" t="inlineStr">
        <is>
          <t>디엠씨미디어 '디프레임', 데이터·GEO 웨비나로 마케팅 성과 극대화 전략 공유</t>
        </is>
      </c>
      <c r="L6" s="150" t="n"/>
      <c r="M6" s="150" t="n"/>
      <c r="N6" s="48" t="n">
        <v>44</v>
      </c>
    </row>
    <row r="7" ht="35.4" customHeight="1" s="1">
      <c r="B7" s="8" t="inlineStr">
        <is>
          <t>재방문율</t>
        </is>
      </c>
      <c r="C7" s="35" t="n">
        <v>0.108</v>
      </c>
      <c r="E7" s="69" t="inlineStr">
        <is>
          <t>네이버 통합검색_모바일</t>
        </is>
      </c>
      <c r="F7" s="35" t="n">
        <v>0.1137</v>
      </c>
      <c r="J7" s="31" t="n">
        <v>4</v>
      </c>
      <c r="K7" s="138" t="inlineStr">
        <is>
          <t>격주 DMCian l 디엠씨미디어가 라디오 프로그램이라면, 이 경력직 3인방은 고정 게스트일거야</t>
        </is>
      </c>
      <c r="L7" s="150" t="n"/>
      <c r="M7" s="150" t="n"/>
      <c r="N7" s="49" t="n">
        <v>33</v>
      </c>
    </row>
    <row r="8" ht="16.5" customHeight="1" s="1">
      <c r="B8" s="26" t="inlineStr">
        <is>
          <t>평균사용시간</t>
        </is>
      </c>
      <c r="C8" s="27" t="inlineStr">
        <is>
          <t>4m 54s</t>
        </is>
      </c>
      <c r="E8" s="28" t="inlineStr">
        <is>
          <t>Google</t>
        </is>
      </c>
      <c r="F8" s="70" t="n">
        <v>0.0751</v>
      </c>
      <c r="J8" s="30" t="n">
        <v>4</v>
      </c>
      <c r="K8" s="140" t="inlineStr">
        <is>
          <t>디엠씨미디어, AI 브랜드 측정 체계 'ABBE' 통한 D.SaiO 중심 GEO 전략 고도화</t>
        </is>
      </c>
      <c r="L8" s="150" t="n"/>
      <c r="M8" s="150" t="n"/>
      <c r="N8" s="48" t="n">
        <v>33</v>
      </c>
    </row>
    <row r="9" ht="18.75" customHeight="1" s="1">
      <c r="J9" s="31" t="n">
        <v>6</v>
      </c>
      <c r="K9" s="138" t="inlineStr">
        <is>
          <t>알쏭달쏭한 카카오 채널 메시지 유형 구분해보기</t>
        </is>
      </c>
      <c r="L9" s="150" t="n"/>
      <c r="M9" s="150" t="n"/>
      <c r="N9" s="49" t="n">
        <v>27</v>
      </c>
    </row>
    <row r="10" ht="19.5" customHeight="1" s="1">
      <c r="B10" s="127" t="inlineStr">
        <is>
          <t>월간조회수 추이</t>
        </is>
      </c>
      <c r="C10" s="151" t="n"/>
      <c r="E10" s="127" t="inlineStr">
        <is>
          <t>기기별 분포</t>
        </is>
      </c>
      <c r="F10" s="151" t="n"/>
      <c r="J10" s="30" t="n">
        <v>7</v>
      </c>
      <c r="K10" s="140" t="inlineStr">
        <is>
          <t>디엠씨미디어, 넷플릭스·티빙·쿠팡플레이까지…OTT 광고시장의 'Key Player'</t>
        </is>
      </c>
      <c r="L10" s="150" t="n"/>
      <c r="M10" s="150" t="n"/>
      <c r="N10" s="48" t="n">
        <v>21</v>
      </c>
    </row>
    <row r="11" ht="16.5" customHeight="1" s="1">
      <c r="B11" s="11" t="inlineStr">
        <is>
          <t>2026.01</t>
        </is>
      </c>
      <c r="C11" s="38" t="n">
        <v>1710</v>
      </c>
      <c r="E11" s="22" t="inlineStr">
        <is>
          <t>모바일</t>
        </is>
      </c>
      <c r="F11" s="34" t="n">
        <v>0.261</v>
      </c>
      <c r="J11" s="31" t="n">
        <v>7</v>
      </c>
      <c r="K11" s="141" t="inlineStr">
        <is>
          <t>연령이 낮을수록 유용한 습관(루틴) 형성 의향 낮아 … 서로 독려하며 각자 할 일을 해내는 오프라인 모임, 어드민 나이트(Admin Night) 부상</t>
        </is>
      </c>
      <c r="L11" s="150" t="n"/>
      <c r="M11" s="150" t="n"/>
      <c r="N11" s="50" t="n">
        <v>21</v>
      </c>
    </row>
    <row r="12" ht="16.5" customHeight="1" s="1">
      <c r="B12" s="24" t="inlineStr">
        <is>
          <t>2026.02</t>
        </is>
      </c>
      <c r="C12" s="33" t="n">
        <v>1267</v>
      </c>
      <c r="E12" s="14" t="inlineStr">
        <is>
          <t>PC</t>
        </is>
      </c>
      <c r="F12" s="39" t="n">
        <v>0.739</v>
      </c>
      <c r="J12" s="30" t="n">
        <v>9</v>
      </c>
      <c r="K12" s="142" t="inlineStr">
        <is>
          <t>영화 ‘왕과 사는 남자’ 열풍의 숨은 공신 쇼박스, 관객과 소통하기 위해 공유한 ‘촬영 실록’ 콘텐츠를 흥행의 동력으로 전환</t>
        </is>
      </c>
      <c r="L12" s="150" t="n"/>
      <c r="M12" s="150" t="n"/>
      <c r="N12" s="51" t="n">
        <v>19</v>
      </c>
    </row>
    <row r="13" ht="18.75" customHeight="1" s="1" thickBot="1">
      <c r="B13" s="11" t="inlineStr">
        <is>
          <t>2026.03</t>
        </is>
      </c>
      <c r="C13" s="38" t="n">
        <v>2216</v>
      </c>
      <c r="J13" s="71" t="n">
        <v>9</v>
      </c>
      <c r="K13" s="138" t="inlineStr">
        <is>
          <t>디엠씨미디어의 4월 모임, 월간 디톡스(D-talks) 현장 스케치</t>
        </is>
      </c>
      <c r="L13" s="150" t="n"/>
      <c r="M13" s="150" t="n"/>
      <c r="N13" s="49" t="n">
        <v>19</v>
      </c>
    </row>
    <row r="14" ht="19.5" customHeight="1" s="1" thickBot="1">
      <c r="B14" s="40" t="inlineStr">
        <is>
          <t>2026.04</t>
        </is>
      </c>
      <c r="C14" s="41" t="n">
        <v>1835</v>
      </c>
      <c r="E14" s="127" t="inlineStr">
        <is>
          <t>월간 순방문자 추이</t>
        </is>
      </c>
      <c r="F14" s="151" t="n"/>
      <c r="J14" s="72" t="n">
        <v>9</v>
      </c>
      <c r="K14" s="139" t="inlineStr">
        <is>
          <t>디엠씨미디어의 5월 모임, 월간 디톡스(D-talks) 현장 스케치</t>
        </is>
      </c>
      <c r="L14" s="166" t="n"/>
      <c r="M14" s="166" t="n"/>
      <c r="N14" s="73" t="n">
        <v>19</v>
      </c>
    </row>
    <row r="15" ht="16.5" customHeight="1" s="1" thickBot="1">
      <c r="B15" s="74" t="n">
        <v>2026.05</v>
      </c>
      <c r="C15" s="75" t="n">
        <v>1114</v>
      </c>
      <c r="E15" s="11" t="inlineStr">
        <is>
          <t>2026.01</t>
        </is>
      </c>
      <c r="F15" s="38" t="n">
        <v>669</v>
      </c>
    </row>
    <row r="16" ht="16.5" customHeight="1" s="1" thickBot="1">
      <c r="E16" s="24" t="inlineStr">
        <is>
          <t>2026.02</t>
        </is>
      </c>
      <c r="F16" s="33" t="n">
        <v>577</v>
      </c>
    </row>
    <row r="17" ht="16.5" customHeight="1" s="1">
      <c r="B17" s="127" t="inlineStr">
        <is>
          <t>유입 검색어</t>
        </is>
      </c>
      <c r="C17" s="151" t="n"/>
      <c r="E17" s="11" t="inlineStr">
        <is>
          <t>2026.03</t>
        </is>
      </c>
      <c r="F17" s="38" t="n">
        <v>1448</v>
      </c>
    </row>
    <row r="18" ht="16.5" customHeight="1" s="1">
      <c r="B18" s="22" t="inlineStr">
        <is>
          <t>디엠씨미디어</t>
        </is>
      </c>
      <c r="C18" s="34" t="n">
        <v>0.0689</v>
      </c>
      <c r="E18" s="40" t="inlineStr">
        <is>
          <t>2026.04</t>
        </is>
      </c>
      <c r="F18" s="41" t="n">
        <v>1105</v>
      </c>
    </row>
    <row r="19" ht="16.5" customHeight="1" s="1" thickBot="1">
      <c r="B19" s="8" t="inlineStr">
        <is>
          <t>타불라</t>
        </is>
      </c>
      <c r="C19" s="35" t="n">
        <v>0.0623</v>
      </c>
      <c r="E19" s="74" t="n">
        <v>2026.05</v>
      </c>
      <c r="F19" s="75" t="n">
        <v>630</v>
      </c>
    </row>
    <row r="20" ht="16.5" customHeight="1" s="1">
      <c r="B20" s="22" t="inlineStr">
        <is>
          <t>쿠팡플레이 광고</t>
        </is>
      </c>
      <c r="C20" s="35" t="n">
        <v>0.0361</v>
      </c>
    </row>
    <row r="21" ht="16.5" customHeight="1" s="1">
      <c r="B21" s="8" t="inlineStr">
        <is>
          <t>디지털 마케팅 suprt</t>
        </is>
      </c>
      <c r="C21" s="35" t="n">
        <v>0.0262</v>
      </c>
    </row>
    <row r="22" ht="16.5" customHeight="1" s="1">
      <c r="B22" s="22" t="inlineStr">
        <is>
          <t>어드민나이트</t>
        </is>
      </c>
      <c r="C22" s="35" t="n">
        <v>0.023</v>
      </c>
    </row>
    <row r="23" ht="16.5" customHeight="1" s="1">
      <c r="B23" s="8" t="inlineStr">
        <is>
          <t>어드민 나이트</t>
        </is>
      </c>
      <c r="C23" s="35" t="n">
        <v>0.0197</v>
      </c>
    </row>
    <row r="24" ht="16.5" customHeight="1" s="1">
      <c r="B24" s="22" t="inlineStr">
        <is>
          <t>디엠씨미디어 복지</t>
        </is>
      </c>
      <c r="C24" s="35" t="n">
        <v>0.0131</v>
      </c>
    </row>
    <row r="25" ht="16.5" customHeight="1" s="1">
      <c r="B25" s="8" t="inlineStr">
        <is>
          <t>디엠씨미디어 이준희</t>
        </is>
      </c>
      <c r="C25" s="35" t="n">
        <v>0.0131</v>
      </c>
    </row>
    <row r="26" ht="16.5" customHeight="1" s="1">
      <c r="B26" s="22" t="inlineStr">
        <is>
          <t>중저가 의류 브랜드</t>
        </is>
      </c>
      <c r="C26" s="35" t="n">
        <v>0.0131</v>
      </c>
    </row>
    <row r="27" ht="16.5" customHeight="1" s="1">
      <c r="B27" s="54" t="inlineStr">
        <is>
          <t>타불라 광고</t>
        </is>
      </c>
      <c r="C27" s="39" t="n">
        <v>0.0131</v>
      </c>
    </row>
  </sheetData>
  <mergeCells count="19">
    <mergeCell ref="B3:C3"/>
    <mergeCell ref="E14:F14"/>
    <mergeCell ref="B1:M1"/>
    <mergeCell ref="K12:M12"/>
    <mergeCell ref="K8:M8"/>
    <mergeCell ref="E10:F10"/>
    <mergeCell ref="K14:M14"/>
    <mergeCell ref="B17:C17"/>
    <mergeCell ref="K7:M7"/>
    <mergeCell ref="K10:M10"/>
    <mergeCell ref="K4:M4"/>
    <mergeCell ref="K6:M6"/>
    <mergeCell ref="K13:M13"/>
    <mergeCell ref="B10:C10"/>
    <mergeCell ref="K11:M11"/>
    <mergeCell ref="K3:M3"/>
    <mergeCell ref="K9:M9"/>
    <mergeCell ref="K5:M5"/>
    <mergeCell ref="E3:F3"/>
  </mergeCells>
  <hyperlinks>
    <hyperlink xmlns:r="http://schemas.openxmlformats.org/officeDocument/2006/relationships" ref="K4" display="격주 DMCian l 스트레스 많이 받을거지만 운동 많이 될 굿파트너, 승진자 그룹인터뷰" r:id="rId1"/>
    <hyperlink xmlns:r="http://schemas.openxmlformats.org/officeDocument/2006/relationships" ref="K5" display="AI 기술로 진화한 네이티브 광고 플랫폼 '타불라' 핵심 요약" r:id="rId2"/>
    <hyperlink xmlns:r="http://schemas.openxmlformats.org/officeDocument/2006/relationships" ref="K6" display="디엠씨미디어 '디프레임', 데이터·GEO 웨비나로 마케팅 성과 극대화 전략 공유" r:id="rId3"/>
    <hyperlink xmlns:r="http://schemas.openxmlformats.org/officeDocument/2006/relationships" ref="K7" display="격주 DMCian l 디엠씨미디어가 라디오 프로그램이라면, 이 경력직 3인방은 고정 게스트일거야" r:id="rId4"/>
    <hyperlink xmlns:r="http://schemas.openxmlformats.org/officeDocument/2006/relationships" ref="K8" display="디엠씨미디어, AI 브랜드 측정 체계 'ABBE' 통한 D.SaiO 중심 GEO 전략 고도화" r:id="rId5"/>
    <hyperlink xmlns:r="http://schemas.openxmlformats.org/officeDocument/2006/relationships" ref="K9" display="알쏭달쏭한 카카오 채널 메시지 유형 구분해보기" r:id="rId6"/>
    <hyperlink xmlns:r="http://schemas.openxmlformats.org/officeDocument/2006/relationships" ref="K10" display="디엠씨미디어, 넷플릭스·티빙·쿠팡플레이까지…OTT 광고시장의 'Key Player'" r:id="rId7"/>
    <hyperlink xmlns:r="http://schemas.openxmlformats.org/officeDocument/2006/relationships" ref="K11" display="연령이 낮을수록 유용한 습관(루틴) 형성 의향 낮아 … 서로 독려하며 각자 할 일을 해내는 오프라인 모임, 어드민 나이트(Admin Night) 부상" r:id="rId8"/>
    <hyperlink xmlns:r="http://schemas.openxmlformats.org/officeDocument/2006/relationships" ref="K12" display="영화 ‘왕과 사는 남자’ 열풍의 숨은 공신 쇼박스, 관객과 소통하기 위해 공유한 ‘촬영 실록’ 콘텐츠를 흥행의 동력으로 전환" r:id="rId9"/>
    <hyperlink xmlns:r="http://schemas.openxmlformats.org/officeDocument/2006/relationships" ref="K13" display="디엠씨미디어의 4월 모임, 월간 디톡스(D-talks) 현장 스케치" r:id="rId10"/>
    <hyperlink xmlns:r="http://schemas.openxmlformats.org/officeDocument/2006/relationships" ref="K14" display="디엠씨미디어의 5월 모임, 월간 디톡스(D-talks) 현장 스케치" r:id="rId11"/>
  </hyperlink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4"/>
  <sheetViews>
    <sheetView zoomScaleNormal="100" workbookViewId="0">
      <pane ySplit="1" topLeftCell="A143" activePane="bottomLeft" state="frozen"/>
      <selection pane="bottomLeft" activeCell="F152" sqref="F152"/>
    </sheetView>
  </sheetViews>
  <sheetFormatPr baseColWidth="8" defaultColWidth="8.88671875" defaultRowHeight="17.4"/>
  <cols>
    <col width="17.77734375" customWidth="1" style="76" min="1" max="1"/>
    <col width="11.109375" customWidth="1" style="76" min="2" max="2"/>
    <col width="51.109375" customWidth="1" style="76" min="3" max="3"/>
    <col width="11.109375" customWidth="1" style="77" min="4" max="4"/>
    <col width="11.109375" customWidth="1" style="76" min="5" max="6"/>
    <col width="9.77734375" customWidth="1" style="76" min="7" max="7"/>
    <col width="8.88671875" customWidth="1" style="76" min="8" max="16384"/>
  </cols>
  <sheetData>
    <row r="1" ht="19.5" customHeight="1" s="1">
      <c r="A1" s="55" t="inlineStr">
        <is>
          <t>카테고리</t>
        </is>
      </c>
      <c r="B1" s="55" t="inlineStr">
        <is>
          <t>날짜</t>
        </is>
      </c>
      <c r="C1" s="55" t="inlineStr">
        <is>
          <t>키워드</t>
        </is>
      </c>
      <c r="D1" s="55" t="inlineStr">
        <is>
          <t>비중(%)</t>
        </is>
      </c>
      <c r="E1" s="55" t="inlineStr">
        <is>
          <t>환산 횟수</t>
        </is>
      </c>
      <c r="F1" s="55" t="inlineStr">
        <is>
          <t>섹션</t>
        </is>
      </c>
    </row>
    <row r="2" ht="15.75" customHeight="1" s="1">
      <c r="A2" s="56" t="inlineStr">
        <is>
          <t>디엠씨미디어</t>
        </is>
      </c>
      <c r="B2" s="57" t="inlineStr">
        <is>
          <t>5월 11일</t>
        </is>
      </c>
      <c r="C2" s="56" t="inlineStr">
        <is>
          <t>DMC 리포트 매체별 리포트</t>
        </is>
      </c>
      <c r="D2" s="57" t="inlineStr">
        <is>
          <t>2.33%</t>
        </is>
      </c>
      <c r="E2" s="57" t="n">
        <v>1</v>
      </c>
      <c r="F2" s="59" t="inlineStr">
        <is>
          <t>About</t>
        </is>
      </c>
    </row>
    <row r="3" ht="15.75" customHeight="1" s="1">
      <c r="A3" s="56" t="inlineStr">
        <is>
          <t>디엠씨미디어</t>
        </is>
      </c>
      <c r="B3" s="57" t="inlineStr">
        <is>
          <t>5월 11일</t>
        </is>
      </c>
      <c r="C3" s="56" t="inlineStr">
        <is>
          <t>dmc미디어 웨비나</t>
        </is>
      </c>
      <c r="D3" s="57" t="inlineStr">
        <is>
          <t>2.33%</t>
        </is>
      </c>
      <c r="E3" s="57" t="n">
        <v>1</v>
      </c>
      <c r="F3" s="59" t="inlineStr">
        <is>
          <t>About</t>
        </is>
      </c>
    </row>
    <row r="4" ht="15.75" customHeight="1" s="1">
      <c r="A4" s="56" t="inlineStr">
        <is>
          <t>디엠씨미디어</t>
        </is>
      </c>
      <c r="B4" s="57" t="inlineStr">
        <is>
          <t>5월 11일</t>
        </is>
      </c>
      <c r="C4" s="56" t="inlineStr">
        <is>
          <t>디엠씨미디어 이준희</t>
        </is>
      </c>
      <c r="D4" s="57" t="inlineStr">
        <is>
          <t>2.33%</t>
        </is>
      </c>
      <c r="E4" s="57" t="n">
        <v>1</v>
      </c>
      <c r="F4" s="59" t="inlineStr">
        <is>
          <t>About</t>
        </is>
      </c>
    </row>
    <row r="5" ht="15.75" customHeight="1" s="1">
      <c r="A5" s="56" t="inlineStr">
        <is>
          <t>디엠씨미디어</t>
        </is>
      </c>
      <c r="B5" s="57" t="inlineStr">
        <is>
          <t>5월 12일</t>
        </is>
      </c>
      <c r="C5" s="56" t="inlineStr">
        <is>
          <t>d saio</t>
        </is>
      </c>
      <c r="D5" s="57" t="inlineStr">
        <is>
          <t>3.13%</t>
        </is>
      </c>
      <c r="E5" s="57" t="n">
        <v>1</v>
      </c>
      <c r="F5" s="59" t="inlineStr">
        <is>
          <t>About</t>
        </is>
      </c>
    </row>
    <row r="6" ht="15.75" customHeight="1" s="1">
      <c r="A6" s="56" t="inlineStr">
        <is>
          <t>디엠씨미디어</t>
        </is>
      </c>
      <c r="B6" s="57" t="inlineStr">
        <is>
          <t>5월 12일</t>
        </is>
      </c>
      <c r="C6" s="56" t="inlineStr">
        <is>
          <t>디엠씨미디어</t>
        </is>
      </c>
      <c r="D6" s="57" t="inlineStr">
        <is>
          <t>3.13%</t>
        </is>
      </c>
      <c r="E6" s="57" t="n">
        <v>1</v>
      </c>
      <c r="F6" s="59" t="inlineStr">
        <is>
          <t>About</t>
        </is>
      </c>
    </row>
    <row r="7" ht="15.75" customHeight="1" s="1">
      <c r="A7" s="56" t="inlineStr">
        <is>
          <t>디엠씨미디어</t>
        </is>
      </c>
      <c r="B7" s="57" t="inlineStr">
        <is>
          <t>5월 13일</t>
        </is>
      </c>
      <c r="C7" s="56" t="inlineStr">
        <is>
          <t>DMC미디어 ABBE</t>
        </is>
      </c>
      <c r="D7" s="57" t="inlineStr">
        <is>
          <t>2.50%</t>
        </is>
      </c>
      <c r="E7" s="57" t="n">
        <v>1</v>
      </c>
      <c r="F7" s="59" t="inlineStr">
        <is>
          <t>About</t>
        </is>
      </c>
    </row>
    <row r="8" ht="15.75" customHeight="1" s="1">
      <c r="A8" s="56" t="inlineStr">
        <is>
          <t>디엠씨미디어</t>
        </is>
      </c>
      <c r="B8" s="57" t="inlineStr">
        <is>
          <t>5월 13일</t>
        </is>
      </c>
      <c r="C8" s="56" t="inlineStr">
        <is>
          <t>DMC미디어 블로그</t>
        </is>
      </c>
      <c r="D8" s="57" t="inlineStr">
        <is>
          <t>2.50%</t>
        </is>
      </c>
      <c r="E8" s="57" t="n">
        <v>1</v>
      </c>
      <c r="F8" s="59" t="inlineStr">
        <is>
          <t>About</t>
        </is>
      </c>
    </row>
    <row r="9" ht="15.75" customHeight="1" s="1">
      <c r="A9" s="56" t="inlineStr">
        <is>
          <t>디엠씨미디어</t>
        </is>
      </c>
      <c r="B9" s="57" t="inlineStr">
        <is>
          <t>5월 13일</t>
        </is>
      </c>
      <c r="C9" s="56" t="inlineStr">
        <is>
          <t>dmc미디어</t>
        </is>
      </c>
      <c r="D9" s="57" t="inlineStr">
        <is>
          <t>2.50%</t>
        </is>
      </c>
      <c r="E9" s="57" t="n">
        <v>1</v>
      </c>
      <c r="F9" s="59" t="inlineStr">
        <is>
          <t>About</t>
        </is>
      </c>
    </row>
    <row r="10" ht="15.75" customHeight="1" s="1">
      <c r="A10" s="56" t="inlineStr">
        <is>
          <t>디엠씨미디어</t>
        </is>
      </c>
      <c r="B10" s="57" t="inlineStr">
        <is>
          <t>5월 13일</t>
        </is>
      </c>
      <c r="C10" s="56" t="inlineStr">
        <is>
          <t>디엠씨미디어</t>
        </is>
      </c>
      <c r="D10" s="57" t="inlineStr">
        <is>
          <t>2.50%</t>
        </is>
      </c>
      <c r="E10" s="57" t="n">
        <v>1</v>
      </c>
      <c r="F10" s="59" t="inlineStr">
        <is>
          <t>About</t>
        </is>
      </c>
    </row>
    <row r="11" ht="15.75" customHeight="1" s="1">
      <c r="A11" s="56" t="inlineStr">
        <is>
          <t>디엠씨미디어</t>
        </is>
      </c>
      <c r="B11" s="57" t="inlineStr">
        <is>
          <t>5월 14일</t>
        </is>
      </c>
      <c r="C11" s="56" t="inlineStr">
        <is>
          <t>디엠씨미디어 렙사</t>
        </is>
      </c>
      <c r="D11" s="57" t="inlineStr">
        <is>
          <t>2.86%</t>
        </is>
      </c>
      <c r="E11" s="57" t="n">
        <v>1</v>
      </c>
      <c r="F11" s="60" t="inlineStr">
        <is>
          <t>People</t>
        </is>
      </c>
    </row>
    <row r="12" ht="15.75" customHeight="1" s="1">
      <c r="A12" s="56" t="inlineStr">
        <is>
          <t>디엠씨미디어</t>
        </is>
      </c>
      <c r="B12" s="57" t="inlineStr">
        <is>
          <t>5월 14일</t>
        </is>
      </c>
      <c r="C12" s="56" t="inlineStr">
        <is>
          <t>디엠씨미디어 인사총무</t>
        </is>
      </c>
      <c r="D12" s="57" t="inlineStr">
        <is>
          <t>2.86%</t>
        </is>
      </c>
      <c r="E12" s="57" t="n">
        <v>1</v>
      </c>
      <c r="F12" s="59" t="inlineStr">
        <is>
          <t>About</t>
        </is>
      </c>
    </row>
    <row r="13" ht="15.75" customHeight="1" s="1">
      <c r="A13" s="56" t="inlineStr">
        <is>
          <t>디엠씨미디어</t>
        </is>
      </c>
      <c r="B13" s="57" t="inlineStr">
        <is>
          <t>5월 15일</t>
        </is>
      </c>
      <c r="C13" s="56" t="inlineStr">
        <is>
          <t>디엠씨미디어</t>
        </is>
      </c>
      <c r="D13" s="57" t="inlineStr">
        <is>
          <t>2.56%</t>
        </is>
      </c>
      <c r="E13" s="57" t="n">
        <v>1</v>
      </c>
      <c r="F13" s="59" t="inlineStr">
        <is>
          <t>About</t>
        </is>
      </c>
    </row>
    <row r="14" ht="15.75" customHeight="1" s="1">
      <c r="A14" s="56" t="inlineStr">
        <is>
          <t>디엠씨미디어</t>
        </is>
      </c>
      <c r="B14" s="57" t="inlineStr">
        <is>
          <t>5월 15일</t>
        </is>
      </c>
      <c r="C14" s="56" t="inlineStr">
        <is>
          <t>디엠씨미디어 면접</t>
        </is>
      </c>
      <c r="D14" s="57" t="inlineStr">
        <is>
          <t>2.56%</t>
        </is>
      </c>
      <c r="E14" s="57" t="n">
        <v>1</v>
      </c>
      <c r="F14" s="60" t="inlineStr">
        <is>
          <t>People</t>
        </is>
      </c>
    </row>
    <row r="15" ht="15.75" customHeight="1" s="1">
      <c r="A15" s="56" t="inlineStr">
        <is>
          <t>디엠씨미디어</t>
        </is>
      </c>
      <c r="B15" s="57" t="inlineStr">
        <is>
          <t>5월 15일</t>
        </is>
      </c>
      <c r="C15" s="56" t="inlineStr">
        <is>
          <t>디엠씨미디어 복지</t>
        </is>
      </c>
      <c r="D15" s="57" t="inlineStr">
        <is>
          <t>2.56%</t>
        </is>
      </c>
      <c r="E15" s="57" t="n">
        <v>1</v>
      </c>
      <c r="F15" s="60" t="inlineStr">
        <is>
          <t>People</t>
        </is>
      </c>
    </row>
    <row r="16" ht="15.75" customHeight="1" s="1">
      <c r="A16" s="56" t="inlineStr">
        <is>
          <t>디엠씨미디어</t>
        </is>
      </c>
      <c r="B16" s="57" t="inlineStr">
        <is>
          <t>5월 18일</t>
        </is>
      </c>
      <c r="C16" s="56" t="inlineStr">
        <is>
          <t>dmc미디어 블로그</t>
        </is>
      </c>
      <c r="D16" s="57" t="inlineStr">
        <is>
          <t>4.17%</t>
        </is>
      </c>
      <c r="E16" s="57" t="n">
        <v>1</v>
      </c>
      <c r="F16" s="59" t="inlineStr">
        <is>
          <t>About</t>
        </is>
      </c>
    </row>
    <row r="17" ht="15.75" customHeight="1" s="1">
      <c r="A17" s="56" t="inlineStr">
        <is>
          <t>디엠씨미디어</t>
        </is>
      </c>
      <c r="B17" s="57" t="inlineStr">
        <is>
          <t>5월 18일</t>
        </is>
      </c>
      <c r="C17" s="56" t="inlineStr">
        <is>
          <t>디엠씨미디어</t>
        </is>
      </c>
      <c r="D17" s="57" t="inlineStr">
        <is>
          <t>4.17%</t>
        </is>
      </c>
      <c r="E17" s="57" t="n">
        <v>1</v>
      </c>
      <c r="F17" s="59" t="inlineStr">
        <is>
          <t>About</t>
        </is>
      </c>
    </row>
    <row r="18" ht="15.75" customHeight="1" s="1">
      <c r="A18" s="56" t="inlineStr">
        <is>
          <t>디엠씨미디어</t>
        </is>
      </c>
      <c r="B18" s="57" t="inlineStr">
        <is>
          <t>5월 18일</t>
        </is>
      </c>
      <c r="C18" s="56" t="inlineStr">
        <is>
          <t>디엠씨미디어</t>
        </is>
      </c>
      <c r="D18" s="57" t="inlineStr">
        <is>
          <t>4.17%</t>
        </is>
      </c>
      <c r="E18" s="57" t="n">
        <v>1</v>
      </c>
      <c r="F18" s="59" t="inlineStr">
        <is>
          <t>About</t>
        </is>
      </c>
    </row>
    <row r="19" ht="15.75" customHeight="1" s="1">
      <c r="A19" s="56" t="inlineStr">
        <is>
          <t>디엠씨미디어</t>
        </is>
      </c>
      <c r="B19" s="57" t="inlineStr">
        <is>
          <t>5월 18일</t>
        </is>
      </c>
      <c r="C19" s="56" t="inlineStr">
        <is>
          <t>모비엠</t>
        </is>
      </c>
      <c r="D19" s="57" t="inlineStr">
        <is>
          <t>4.17%</t>
        </is>
      </c>
      <c r="E19" s="57" t="n">
        <v>1</v>
      </c>
      <c r="F19" s="59" t="inlineStr">
        <is>
          <t>About</t>
        </is>
      </c>
    </row>
    <row r="20" ht="15.75" customHeight="1" s="1">
      <c r="A20" s="56" t="inlineStr">
        <is>
          <t>디엠씨미디어</t>
        </is>
      </c>
      <c r="B20" s="57" t="inlineStr">
        <is>
          <t>5월 19일</t>
        </is>
      </c>
      <c r="C20" s="56" t="inlineStr">
        <is>
          <t>DMC미디어 이인성</t>
        </is>
      </c>
      <c r="D20" s="57" t="inlineStr">
        <is>
          <t>3.45%</t>
        </is>
      </c>
      <c r="E20" s="57" t="n">
        <v>1</v>
      </c>
      <c r="F20" s="59" t="inlineStr">
        <is>
          <t>About</t>
        </is>
      </c>
    </row>
    <row r="21" ht="15.75" customHeight="1" s="1">
      <c r="A21" s="56" t="inlineStr">
        <is>
          <t>디엠씨미디어</t>
        </is>
      </c>
      <c r="B21" s="57" t="inlineStr">
        <is>
          <t>5월 19일</t>
        </is>
      </c>
      <c r="C21" s="56" t="inlineStr">
        <is>
          <t>dmc미디어</t>
        </is>
      </c>
      <c r="D21" s="57" t="inlineStr">
        <is>
          <t>3.45%</t>
        </is>
      </c>
      <c r="E21" s="57" t="n">
        <v>1</v>
      </c>
      <c r="F21" s="59" t="inlineStr">
        <is>
          <t>About</t>
        </is>
      </c>
    </row>
    <row r="22" ht="15.75" customHeight="1" s="1">
      <c r="A22" s="56" t="inlineStr">
        <is>
          <t>디엠씨미디어</t>
        </is>
      </c>
      <c r="B22" s="57" t="inlineStr">
        <is>
          <t>5월 19일</t>
        </is>
      </c>
      <c r="C22" s="56" t="inlineStr">
        <is>
          <t>디엠씨미디어</t>
        </is>
      </c>
      <c r="D22" s="57" t="inlineStr">
        <is>
          <t>3.45%</t>
        </is>
      </c>
      <c r="E22" s="57" t="n">
        <v>1</v>
      </c>
      <c r="F22" s="59" t="inlineStr">
        <is>
          <t>About</t>
        </is>
      </c>
    </row>
    <row r="23" ht="15.75" customHeight="1" s="1">
      <c r="A23" s="56" t="inlineStr">
        <is>
          <t>디엠씨미디어</t>
        </is>
      </c>
      <c r="B23" s="57" t="inlineStr">
        <is>
          <t>5월 19일</t>
        </is>
      </c>
      <c r="C23" s="56" t="inlineStr">
        <is>
          <t>디프레임</t>
        </is>
      </c>
      <c r="D23" s="57" t="inlineStr">
        <is>
          <t>3.45%</t>
        </is>
      </c>
      <c r="E23" s="57" t="n">
        <v>1</v>
      </c>
      <c r="F23" s="59" t="inlineStr">
        <is>
          <t>About</t>
        </is>
      </c>
    </row>
    <row r="24" ht="15.75" customHeight="1" s="1">
      <c r="A24" s="56" t="inlineStr">
        <is>
          <t>디엠씨미디어</t>
        </is>
      </c>
      <c r="B24" s="57" t="inlineStr">
        <is>
          <t>5월 20일</t>
        </is>
      </c>
      <c r="C24" s="56" t="inlineStr">
        <is>
          <t>디엠씨미디어</t>
        </is>
      </c>
      <c r="D24" s="57" t="inlineStr">
        <is>
          <t>5.00%</t>
        </is>
      </c>
      <c r="E24" s="57" t="n">
        <v>1</v>
      </c>
      <c r="F24" s="59" t="inlineStr">
        <is>
          <t>About</t>
        </is>
      </c>
    </row>
    <row r="25" ht="15.75" customHeight="1" s="1">
      <c r="A25" s="56" t="inlineStr">
        <is>
          <t>디엠씨미디어</t>
        </is>
      </c>
      <c r="B25" s="57" t="inlineStr">
        <is>
          <t>5월 21일</t>
        </is>
      </c>
      <c r="C25" s="56" t="inlineStr">
        <is>
          <t>(주)디엠씨미디어</t>
        </is>
      </c>
      <c r="D25" s="57" t="inlineStr">
        <is>
          <t>0.73%</t>
        </is>
      </c>
      <c r="E25" s="57" t="n">
        <v>1</v>
      </c>
      <c r="F25" s="59" t="inlineStr">
        <is>
          <t>About</t>
        </is>
      </c>
    </row>
    <row r="26" ht="15.75" customHeight="1" s="1">
      <c r="A26" s="56" t="inlineStr">
        <is>
          <t>디엠씨미디어</t>
        </is>
      </c>
      <c r="B26" s="57" t="inlineStr">
        <is>
          <t>5월 21일</t>
        </is>
      </c>
      <c r="C26" s="56" t="inlineStr">
        <is>
          <t>디엠씨미디어</t>
        </is>
      </c>
      <c r="D26" s="57" t="inlineStr">
        <is>
          <t>0.73%</t>
        </is>
      </c>
      <c r="E26" s="57" t="n">
        <v>1</v>
      </c>
      <c r="F26" s="59" t="inlineStr">
        <is>
          <t>About</t>
        </is>
      </c>
    </row>
    <row r="27" ht="15.75" customHeight="1" s="1">
      <c r="A27" s="56" t="inlineStr">
        <is>
          <t>디엠씨미디어</t>
        </is>
      </c>
      <c r="B27" s="57" t="inlineStr">
        <is>
          <t>5월 21일</t>
        </is>
      </c>
      <c r="C27" s="56" t="inlineStr">
        <is>
          <t>디엠씨미디어</t>
        </is>
      </c>
      <c r="D27" s="57" t="inlineStr">
        <is>
          <t>0.73%</t>
        </is>
      </c>
      <c r="E27" s="57" t="n">
        <v>1</v>
      </c>
      <c r="F27" s="59" t="inlineStr">
        <is>
          <t>About</t>
        </is>
      </c>
    </row>
    <row r="28" ht="15.75" customHeight="1" s="1">
      <c r="A28" s="56" t="inlineStr">
        <is>
          <t>디엠씨미디어</t>
        </is>
      </c>
      <c r="B28" s="57" t="inlineStr">
        <is>
          <t>5월 22일</t>
        </is>
      </c>
      <c r="C28" s="56" t="inlineStr">
        <is>
          <t>디싸이오</t>
        </is>
      </c>
      <c r="D28" s="57" t="inlineStr">
        <is>
          <t>2.78%</t>
        </is>
      </c>
      <c r="E28" s="57" t="n">
        <v>2</v>
      </c>
      <c r="F28" s="59" t="inlineStr">
        <is>
          <t>About</t>
        </is>
      </c>
    </row>
    <row r="29" ht="15.75" customHeight="1" s="1">
      <c r="A29" s="56" t="inlineStr">
        <is>
          <t>디엠씨미디어</t>
        </is>
      </c>
      <c r="B29" s="57" t="inlineStr">
        <is>
          <t>5월 22일</t>
        </is>
      </c>
      <c r="C29" s="56" t="inlineStr">
        <is>
          <t>디엠씨미디어 블로그</t>
        </is>
      </c>
      <c r="D29" s="57" t="inlineStr">
        <is>
          <t>2.78%</t>
        </is>
      </c>
      <c r="E29" s="57" t="n">
        <v>2</v>
      </c>
      <c r="F29" s="60" t="inlineStr">
        <is>
          <t>People</t>
        </is>
      </c>
    </row>
    <row r="30" ht="15.75" customHeight="1" s="1">
      <c r="A30" s="56" t="inlineStr">
        <is>
          <t>디엠씨미디어</t>
        </is>
      </c>
      <c r="B30" s="57" t="inlineStr">
        <is>
          <t>5월 23일</t>
        </is>
      </c>
      <c r="C30" s="56" t="inlineStr">
        <is>
          <t>디엠씨미디어</t>
        </is>
      </c>
      <c r="D30" s="57" t="inlineStr">
        <is>
          <t>4.55%</t>
        </is>
      </c>
      <c r="E30" s="57" t="n">
        <v>1</v>
      </c>
      <c r="F30" s="59" t="inlineStr">
        <is>
          <t>About</t>
        </is>
      </c>
    </row>
    <row r="31" ht="15.75" customHeight="1" s="1">
      <c r="A31" s="56" t="inlineStr">
        <is>
          <t>디엠씨미디어</t>
        </is>
      </c>
      <c r="B31" s="57" t="inlineStr">
        <is>
          <t>5월 26일</t>
        </is>
      </c>
      <c r="C31" s="56" t="inlineStr">
        <is>
          <t>DMC d.saio</t>
        </is>
      </c>
      <c r="D31" s="57" t="inlineStr">
        <is>
          <t>2.50%</t>
        </is>
      </c>
      <c r="E31" s="57" t="n">
        <v>1</v>
      </c>
      <c r="F31" s="59" t="inlineStr">
        <is>
          <t>About</t>
        </is>
      </c>
    </row>
    <row r="32" ht="15.75" customHeight="1" s="1">
      <c r="A32" s="56" t="inlineStr">
        <is>
          <t>디엠씨미디어</t>
        </is>
      </c>
      <c r="B32" s="57" t="inlineStr">
        <is>
          <t>5월 26일</t>
        </is>
      </c>
      <c r="C32" s="56" t="inlineStr">
        <is>
          <t>디엠씨미디어</t>
        </is>
      </c>
      <c r="D32" s="57" t="inlineStr">
        <is>
          <t>2.50%</t>
        </is>
      </c>
      <c r="E32" s="57" t="n">
        <v>1</v>
      </c>
      <c r="F32" s="59" t="inlineStr">
        <is>
          <t>About</t>
        </is>
      </c>
    </row>
    <row r="33" ht="15.75" customHeight="1" s="1">
      <c r="A33" s="56" t="inlineStr">
        <is>
          <t>디엠씨미디어</t>
        </is>
      </c>
      <c r="B33" s="57" t="inlineStr">
        <is>
          <t>5월 26일</t>
        </is>
      </c>
      <c r="C33" s="56" t="inlineStr">
        <is>
          <t>디엠씨미디어 상장</t>
        </is>
      </c>
      <c r="D33" s="57" t="inlineStr">
        <is>
          <t>2.50%</t>
        </is>
      </c>
      <c r="E33" s="57" t="n">
        <v>1</v>
      </c>
      <c r="F33" s="59" t="inlineStr">
        <is>
          <t>About</t>
        </is>
      </c>
    </row>
    <row r="34" ht="15.75" customHeight="1" s="1">
      <c r="A34" s="56" t="inlineStr">
        <is>
          <t>디엠씨미디어</t>
        </is>
      </c>
      <c r="B34" s="57" t="inlineStr">
        <is>
          <t>5월 27일</t>
        </is>
      </c>
      <c r="C34" s="56" t="inlineStr">
        <is>
          <t>디엠씨미디어</t>
        </is>
      </c>
      <c r="D34" s="57" t="inlineStr">
        <is>
          <t>3.03%</t>
        </is>
      </c>
      <c r="E34" s="57" t="n">
        <v>1</v>
      </c>
      <c r="F34" s="59" t="inlineStr">
        <is>
          <t>About</t>
        </is>
      </c>
    </row>
    <row r="35" ht="15.75" customHeight="1" s="1">
      <c r="A35" s="56" t="inlineStr">
        <is>
          <t>디엠씨미디어</t>
        </is>
      </c>
      <c r="B35" s="57" t="inlineStr">
        <is>
          <t>5월 27일</t>
        </is>
      </c>
      <c r="C35" s="56" t="inlineStr">
        <is>
          <t>디엠씨미디어 면접</t>
        </is>
      </c>
      <c r="D35" s="57" t="inlineStr">
        <is>
          <t>3.03%</t>
        </is>
      </c>
      <c r="E35" s="57" t="n">
        <v>1</v>
      </c>
      <c r="F35" s="60" t="inlineStr">
        <is>
          <t>People</t>
        </is>
      </c>
    </row>
    <row r="36" ht="15.75" customHeight="1" s="1">
      <c r="A36" s="56" t="inlineStr">
        <is>
          <t>디엠씨미디어</t>
        </is>
      </c>
      <c r="B36" s="57" t="inlineStr">
        <is>
          <t>5월 27일</t>
        </is>
      </c>
      <c r="C36" s="56" t="inlineStr">
        <is>
          <t>디엠씨미디어 블로그</t>
        </is>
      </c>
      <c r="D36" s="57" t="inlineStr">
        <is>
          <t>3.03%</t>
        </is>
      </c>
      <c r="E36" s="57" t="n">
        <v>1</v>
      </c>
      <c r="F36" s="60" t="inlineStr">
        <is>
          <t>People</t>
        </is>
      </c>
    </row>
    <row r="37" ht="15.75" customHeight="1" s="1">
      <c r="A37" s="56" t="inlineStr">
        <is>
          <t>디엠씨미디어</t>
        </is>
      </c>
      <c r="B37" s="57" t="inlineStr">
        <is>
          <t>5월 27일</t>
        </is>
      </c>
      <c r="C37" s="56" t="inlineStr">
        <is>
          <t>모비엠</t>
        </is>
      </c>
      <c r="D37" s="57" t="inlineStr">
        <is>
          <t>3.03%</t>
        </is>
      </c>
      <c r="E37" s="57" t="n">
        <v>1</v>
      </c>
      <c r="F37" s="59" t="inlineStr">
        <is>
          <t>About</t>
        </is>
      </c>
    </row>
    <row r="38" ht="15.75" customHeight="1" s="1">
      <c r="A38" s="56" t="inlineStr">
        <is>
          <t>디엠씨미디어</t>
        </is>
      </c>
      <c r="B38" s="57" t="inlineStr">
        <is>
          <t>5월 28일</t>
        </is>
      </c>
      <c r="C38" s="56" t="inlineStr">
        <is>
          <t>디엠씨미디어 복지</t>
        </is>
      </c>
      <c r="D38" s="57" t="inlineStr">
        <is>
          <t>10.71%</t>
        </is>
      </c>
      <c r="E38" s="57" t="n">
        <v>3</v>
      </c>
      <c r="F38" s="60" t="inlineStr">
        <is>
          <t>People</t>
        </is>
      </c>
    </row>
    <row r="39" ht="15.75" customHeight="1" s="1">
      <c r="A39" s="56" t="inlineStr">
        <is>
          <t>디엠씨미디어</t>
        </is>
      </c>
      <c r="B39" s="57" t="inlineStr">
        <is>
          <t>5월 29일</t>
        </is>
      </c>
      <c r="C39" s="56" t="inlineStr">
        <is>
          <t>DMC미디어</t>
        </is>
      </c>
      <c r="D39" s="57" t="inlineStr">
        <is>
          <t>2.13%</t>
        </is>
      </c>
      <c r="E39" s="57" t="n">
        <v>1</v>
      </c>
      <c r="F39" s="59" t="inlineStr">
        <is>
          <t>About</t>
        </is>
      </c>
    </row>
    <row r="40" ht="15.75" customHeight="1" s="1">
      <c r="A40" s="56" t="inlineStr">
        <is>
          <t>디엠씨미디어</t>
        </is>
      </c>
      <c r="B40" s="57" t="inlineStr">
        <is>
          <t>5월 29일</t>
        </is>
      </c>
      <c r="C40" s="56" t="inlineStr">
        <is>
          <t>디엠씨미디어</t>
        </is>
      </c>
      <c r="D40" s="57" t="inlineStr">
        <is>
          <t>2.13%</t>
        </is>
      </c>
      <c r="E40" s="57" t="n">
        <v>1</v>
      </c>
      <c r="F40" s="59" t="inlineStr">
        <is>
          <t>About</t>
        </is>
      </c>
    </row>
    <row r="41" ht="15.75" customHeight="1" s="1">
      <c r="A41" s="56" t="inlineStr">
        <is>
          <t>디엠씨미디어</t>
        </is>
      </c>
      <c r="B41" s="57" t="inlineStr">
        <is>
          <t>5월 29일</t>
        </is>
      </c>
      <c r="C41" s="56" t="inlineStr">
        <is>
          <t>디엠씨미디어</t>
        </is>
      </c>
      <c r="D41" s="57" t="inlineStr">
        <is>
          <t>2.13%</t>
        </is>
      </c>
      <c r="E41" s="57" t="n">
        <v>1</v>
      </c>
      <c r="F41" s="59" t="inlineStr">
        <is>
          <t>About</t>
        </is>
      </c>
    </row>
    <row r="42" ht="15.75" customHeight="1" s="1">
      <c r="A42" s="56" t="inlineStr">
        <is>
          <t>디엠씨미디어</t>
        </is>
      </c>
      <c r="B42" s="57" t="inlineStr">
        <is>
          <t>5월 30일</t>
        </is>
      </c>
      <c r="C42" s="56" t="inlineStr">
        <is>
          <t>디엠씨미디어</t>
        </is>
      </c>
      <c r="D42" s="57" t="inlineStr">
        <is>
          <t>16.67%</t>
        </is>
      </c>
      <c r="E42" s="57" t="n">
        <v>1</v>
      </c>
      <c r="F42" s="59" t="inlineStr">
        <is>
          <t>About</t>
        </is>
      </c>
    </row>
    <row r="43" ht="15.75" customHeight="1" s="1">
      <c r="A43" s="56" t="inlineStr">
        <is>
          <t>디엠씨미디어</t>
        </is>
      </c>
      <c r="B43" s="57" t="inlineStr">
        <is>
          <t>5월 31일</t>
        </is>
      </c>
      <c r="C43" s="56" t="inlineStr">
        <is>
          <t>디엠씨미디어</t>
        </is>
      </c>
      <c r="D43" s="57" t="inlineStr">
        <is>
          <t>7.41%</t>
        </is>
      </c>
      <c r="E43" s="57" t="n">
        <v>2</v>
      </c>
      <c r="F43" s="59" t="inlineStr">
        <is>
          <t>About</t>
        </is>
      </c>
    </row>
    <row r="44" ht="15.75" customHeight="1" s="1">
      <c r="A44" s="56" t="inlineStr">
        <is>
          <t>디엠씨미디어</t>
        </is>
      </c>
      <c r="B44" s="57" t="inlineStr">
        <is>
          <t>5월 31일</t>
        </is>
      </c>
      <c r="C44" s="56" t="inlineStr">
        <is>
          <t>디엠씨미디어 이준희</t>
        </is>
      </c>
      <c r="D44" s="57" t="inlineStr">
        <is>
          <t>3.70%</t>
        </is>
      </c>
      <c r="E44" s="57" t="n">
        <v>1</v>
      </c>
      <c r="F44" s="59" t="inlineStr">
        <is>
          <t>About</t>
        </is>
      </c>
    </row>
    <row r="45" ht="15.75" customHeight="1" s="1">
      <c r="A45" s="56" t="inlineStr">
        <is>
          <t>디엠씨미디어</t>
        </is>
      </c>
      <c r="B45" s="57" t="inlineStr">
        <is>
          <t>5월 4일</t>
        </is>
      </c>
      <c r="C45" s="56" t="inlineStr">
        <is>
          <t>D.SaiO</t>
        </is>
      </c>
      <c r="D45" s="57" t="inlineStr">
        <is>
          <t>4.55%</t>
        </is>
      </c>
      <c r="E45" s="57" t="n">
        <v>1</v>
      </c>
      <c r="F45" s="59" t="inlineStr">
        <is>
          <t>About</t>
        </is>
      </c>
    </row>
    <row r="46" ht="15.75" customHeight="1" s="1">
      <c r="A46" s="56" t="inlineStr">
        <is>
          <t>디엠씨미디어</t>
        </is>
      </c>
      <c r="B46" s="57" t="inlineStr">
        <is>
          <t>5월 4일</t>
        </is>
      </c>
      <c r="C46" s="56" t="inlineStr">
        <is>
          <t>DMC 미디어 AEO</t>
        </is>
      </c>
      <c r="D46" s="57" t="inlineStr">
        <is>
          <t>4.55%</t>
        </is>
      </c>
      <c r="E46" s="57" t="n">
        <v>1</v>
      </c>
      <c r="F46" s="59" t="inlineStr">
        <is>
          <t>About</t>
        </is>
      </c>
    </row>
    <row r="47" ht="15.75" customHeight="1" s="1">
      <c r="A47" s="56" t="inlineStr">
        <is>
          <t>디엠씨미디어</t>
        </is>
      </c>
      <c r="B47" s="57" t="inlineStr">
        <is>
          <t>5월 4일</t>
        </is>
      </c>
      <c r="C47" s="56" t="inlineStr">
        <is>
          <t>DMC미디어 블로그</t>
        </is>
      </c>
      <c r="D47" s="57" t="inlineStr">
        <is>
          <t>4.55%</t>
        </is>
      </c>
      <c r="E47" s="57" t="n">
        <v>1</v>
      </c>
      <c r="F47" s="59" t="inlineStr">
        <is>
          <t>About</t>
        </is>
      </c>
    </row>
    <row r="48" ht="15.75" customHeight="1" s="1">
      <c r="A48" s="56" t="inlineStr">
        <is>
          <t>디엠씨미디어</t>
        </is>
      </c>
      <c r="B48" s="57" t="inlineStr">
        <is>
          <t>5월 4일</t>
        </is>
      </c>
      <c r="C48" s="56" t="inlineStr">
        <is>
          <t>디엠씨미디어</t>
        </is>
      </c>
      <c r="D48" s="57" t="inlineStr">
        <is>
          <t>4.55%</t>
        </is>
      </c>
      <c r="E48" s="57" t="n">
        <v>1</v>
      </c>
      <c r="F48" s="59" t="inlineStr">
        <is>
          <t>About</t>
        </is>
      </c>
    </row>
    <row r="49" ht="15.75" customHeight="1" s="1">
      <c r="A49" s="56" t="inlineStr">
        <is>
          <t>디엠씨미디어</t>
        </is>
      </c>
      <c r="B49" s="57" t="inlineStr">
        <is>
          <t>5월 6일</t>
        </is>
      </c>
      <c r="C49" s="56" t="inlineStr">
        <is>
          <t>dframe GEO</t>
        </is>
      </c>
      <c r="D49" s="57" t="inlineStr">
        <is>
          <t>3.23%</t>
        </is>
      </c>
      <c r="E49" s="57" t="n">
        <v>1</v>
      </c>
      <c r="F49" s="59" t="inlineStr">
        <is>
          <t>About</t>
        </is>
      </c>
    </row>
    <row r="50" ht="15.75" customHeight="1" s="1">
      <c r="A50" s="56" t="inlineStr">
        <is>
          <t>디엠씨미디어</t>
        </is>
      </c>
      <c r="B50" s="57" t="inlineStr">
        <is>
          <t>5월 7일</t>
        </is>
      </c>
      <c r="C50" s="56" t="inlineStr">
        <is>
          <t>DMC 미디어 디지털 광고 효과 2026</t>
        </is>
      </c>
      <c r="D50" s="57" t="inlineStr">
        <is>
          <t>1.49%</t>
        </is>
      </c>
      <c r="E50" s="57" t="n">
        <v>1</v>
      </c>
      <c r="F50" s="59" t="inlineStr">
        <is>
          <t>About</t>
        </is>
      </c>
    </row>
    <row r="51" ht="15.75" customHeight="1" s="1">
      <c r="A51" s="56" t="inlineStr">
        <is>
          <t>디엠씨미디어</t>
        </is>
      </c>
      <c r="B51" s="57" t="inlineStr">
        <is>
          <t>5월 7일</t>
        </is>
      </c>
      <c r="C51" s="56" t="inlineStr">
        <is>
          <t>디엠씨미디어</t>
        </is>
      </c>
      <c r="D51" s="57" t="inlineStr">
        <is>
          <t>2.99%</t>
        </is>
      </c>
      <c r="E51" s="57" t="n">
        <v>2</v>
      </c>
      <c r="F51" s="59" t="inlineStr">
        <is>
          <t>About</t>
        </is>
      </c>
    </row>
    <row r="52" ht="15.75" customHeight="1" s="1">
      <c r="A52" s="56" t="inlineStr">
        <is>
          <t>디엠씨미디어</t>
        </is>
      </c>
      <c r="B52" s="57" t="inlineStr">
        <is>
          <t>5월 7일</t>
        </is>
      </c>
      <c r="C52" s="56" t="inlineStr">
        <is>
          <t>디엠씨미디어 이준희</t>
        </is>
      </c>
      <c r="D52" s="57" t="inlineStr">
        <is>
          <t>2.99%</t>
        </is>
      </c>
      <c r="E52" s="57" t="n">
        <v>2</v>
      </c>
      <c r="F52" s="59" t="inlineStr">
        <is>
          <t>About</t>
        </is>
      </c>
    </row>
    <row r="53" ht="15.75" customHeight="1" s="1">
      <c r="A53" s="56" t="inlineStr">
        <is>
          <t>디엠씨미디어</t>
        </is>
      </c>
      <c r="B53" s="57" t="inlineStr">
        <is>
          <t>5월 7일</t>
        </is>
      </c>
      <c r="C53" s="56" t="inlineStr">
        <is>
          <t>디프레임 aeo 분석</t>
        </is>
      </c>
      <c r="D53" s="57" t="inlineStr">
        <is>
          <t>1.49%</t>
        </is>
      </c>
      <c r="E53" s="57" t="n">
        <v>1</v>
      </c>
      <c r="F53" s="58" t="inlineStr">
        <is>
          <t>Media</t>
        </is>
      </c>
    </row>
    <row r="54" ht="15.75" customHeight="1" s="1">
      <c r="A54" s="56" t="inlineStr">
        <is>
          <t>디엠씨미디어</t>
        </is>
      </c>
      <c r="B54" s="57" t="inlineStr">
        <is>
          <t>5월 8일</t>
        </is>
      </c>
      <c r="C54" s="56" t="inlineStr">
        <is>
          <t>dmc AEO GEO</t>
        </is>
      </c>
      <c r="D54" s="57" t="inlineStr">
        <is>
          <t>2.17%</t>
        </is>
      </c>
      <c r="E54" s="57" t="n">
        <v>1</v>
      </c>
      <c r="F54" s="59" t="inlineStr">
        <is>
          <t>About</t>
        </is>
      </c>
    </row>
    <row r="55" ht="15.75" customHeight="1" s="1">
      <c r="A55" s="56" t="inlineStr">
        <is>
          <t>디엠씨미디어</t>
        </is>
      </c>
      <c r="B55" s="57" t="inlineStr">
        <is>
          <t>5월 8일</t>
        </is>
      </c>
      <c r="C55" s="56" t="inlineStr">
        <is>
          <t>디엠씨미디어</t>
        </is>
      </c>
      <c r="D55" s="57" t="inlineStr">
        <is>
          <t>2.17%</t>
        </is>
      </c>
      <c r="E55" s="57" t="n">
        <v>1</v>
      </c>
      <c r="F55" s="59" t="inlineStr">
        <is>
          <t>About</t>
        </is>
      </c>
    </row>
    <row r="56" ht="15.75" customHeight="1" s="1">
      <c r="A56" s="56" t="inlineStr">
        <is>
          <t>트렌드/캠페인</t>
        </is>
      </c>
      <c r="B56" s="57" t="inlineStr">
        <is>
          <t>5월 10일</t>
        </is>
      </c>
      <c r="C56" s="56" t="inlineStr">
        <is>
          <t>아이돌 세계관</t>
        </is>
      </c>
      <c r="D56" s="57" t="inlineStr">
        <is>
          <t>6.67%</t>
        </is>
      </c>
      <c r="E56" s="57" t="n">
        <v>1</v>
      </c>
      <c r="F56" s="61" t="inlineStr">
        <is>
          <t>Trend</t>
        </is>
      </c>
    </row>
    <row r="57" ht="15.75" customHeight="1" s="1">
      <c r="A57" s="56" t="inlineStr">
        <is>
          <t>트렌드/캠페인</t>
        </is>
      </c>
      <c r="B57" s="57" t="inlineStr">
        <is>
          <t>5월 13일</t>
        </is>
      </c>
      <c r="C57" s="56" t="inlineStr">
        <is>
          <t>콜라보 굿즈 레포트</t>
        </is>
      </c>
      <c r="D57" s="57" t="inlineStr">
        <is>
          <t>2.50%</t>
        </is>
      </c>
      <c r="E57" s="57" t="n">
        <v>1</v>
      </c>
      <c r="F57" s="61" t="inlineStr">
        <is>
          <t>Trend</t>
        </is>
      </c>
    </row>
    <row r="58" ht="15.75" customHeight="1" s="1">
      <c r="A58" s="56" t="inlineStr">
        <is>
          <t>트렌드/캠페인</t>
        </is>
      </c>
      <c r="B58" s="57" t="inlineStr">
        <is>
          <t>5월 14일</t>
        </is>
      </c>
      <c r="C58" s="56" t="inlineStr">
        <is>
          <t>wendy’s 브랜드페르소나</t>
        </is>
      </c>
      <c r="D58" s="57" t="inlineStr">
        <is>
          <t>2.86%</t>
        </is>
      </c>
      <c r="E58" s="57" t="n">
        <v>1</v>
      </c>
      <c r="F58" s="61" t="inlineStr">
        <is>
          <t>Trend</t>
        </is>
      </c>
    </row>
    <row r="59" ht="15.75" customHeight="1" s="1">
      <c r="A59" s="56" t="inlineStr">
        <is>
          <t>트렌드/캠페인</t>
        </is>
      </c>
      <c r="B59" s="57" t="inlineStr">
        <is>
          <t>5월 14일</t>
        </is>
      </c>
      <c r="C59" s="56" t="inlineStr">
        <is>
          <t>잡화 트렌드</t>
        </is>
      </c>
      <c r="D59" s="57" t="inlineStr">
        <is>
          <t>2.86%</t>
        </is>
      </c>
      <c r="E59" s="57" t="n">
        <v>1</v>
      </c>
      <c r="F59" s="61" t="inlineStr">
        <is>
          <t>Trend</t>
        </is>
      </c>
    </row>
    <row r="60" ht="15.75" customHeight="1" s="1">
      <c r="A60" s="56" t="inlineStr">
        <is>
          <t>트렌드/캠페인</t>
        </is>
      </c>
      <c r="B60" s="57" t="inlineStr">
        <is>
          <t>5월 20일</t>
        </is>
      </c>
      <c r="C60" s="56" t="inlineStr">
        <is>
          <t>가전 삼신기</t>
        </is>
      </c>
      <c r="D60" s="57" t="inlineStr">
        <is>
          <t>5.00%</t>
        </is>
      </c>
      <c r="E60" s="57" t="n">
        <v>1</v>
      </c>
      <c r="F60" s="61" t="inlineStr">
        <is>
          <t>Trend</t>
        </is>
      </c>
    </row>
    <row r="61" ht="15.75" customHeight="1" s="1">
      <c r="A61" s="56" t="inlineStr">
        <is>
          <t>트렌드/캠페인</t>
        </is>
      </c>
      <c r="B61" s="57" t="inlineStr">
        <is>
          <t>5월 21일</t>
        </is>
      </c>
      <c r="C61" s="56" t="inlineStr">
        <is>
          <t>MZ세대 대상 한정판 마케팅 효과 통계 자료 알려주세요</t>
        </is>
      </c>
      <c r="D61" s="57" t="inlineStr">
        <is>
          <t>0.73%</t>
        </is>
      </c>
      <c r="E61" s="57" t="n">
        <v>1</v>
      </c>
      <c r="F61" s="61" t="inlineStr">
        <is>
          <t>Trend</t>
        </is>
      </c>
    </row>
    <row r="62" ht="15.75" customHeight="1" s="1">
      <c r="A62" s="56" t="inlineStr">
        <is>
          <t>트렌드/캠페인</t>
        </is>
      </c>
      <c r="B62" s="57" t="inlineStr">
        <is>
          <t>5월 21일</t>
        </is>
      </c>
      <c r="C62" s="56" t="inlineStr">
        <is>
          <t>다이소 서브브랜드</t>
        </is>
      </c>
      <c r="D62" s="57" t="inlineStr">
        <is>
          <t>0.73%</t>
        </is>
      </c>
      <c r="E62" s="57" t="n">
        <v>1</v>
      </c>
      <c r="F62" s="61" t="inlineStr">
        <is>
          <t>Trend</t>
        </is>
      </c>
    </row>
    <row r="63" ht="15.75" customHeight="1" s="1">
      <c r="A63" s="56" t="inlineStr">
        <is>
          <t>트렌드/캠페인</t>
        </is>
      </c>
      <c r="B63" s="57" t="inlineStr">
        <is>
          <t>5월 21일</t>
        </is>
      </c>
      <c r="C63" s="56" t="inlineStr">
        <is>
          <t>다이소 전용 서브 브랜드</t>
        </is>
      </c>
      <c r="D63" s="57" t="inlineStr">
        <is>
          <t>0.73%</t>
        </is>
      </c>
      <c r="E63" s="57" t="n">
        <v>1</v>
      </c>
      <c r="F63" s="61" t="inlineStr">
        <is>
          <t>Trend</t>
        </is>
      </c>
    </row>
    <row r="64" ht="15.75" customHeight="1" s="1">
      <c r="A64" s="56" t="inlineStr">
        <is>
          <t>트렌드/캠페인</t>
        </is>
      </c>
      <c r="B64" s="57" t="inlineStr">
        <is>
          <t>5월 22일</t>
        </is>
      </c>
      <c r="C64" s="56" t="inlineStr">
        <is>
          <t>비지오 TV</t>
        </is>
      </c>
      <c r="D64" s="57" t="inlineStr">
        <is>
          <t>1.39%</t>
        </is>
      </c>
      <c r="E64" s="57" t="n">
        <v>1</v>
      </c>
      <c r="F64" s="58" t="inlineStr">
        <is>
          <t>Media</t>
        </is>
      </c>
    </row>
    <row r="65" ht="15.75" customHeight="1" s="1">
      <c r="A65" s="56" t="inlineStr">
        <is>
          <t>트렌드/캠페인</t>
        </is>
      </c>
      <c r="B65" s="57" t="inlineStr">
        <is>
          <t>5월 22일</t>
        </is>
      </c>
      <c r="C65" s="56" t="inlineStr">
        <is>
          <t>웬디스데이 뜻</t>
        </is>
      </c>
      <c r="D65" s="57" t="inlineStr">
        <is>
          <t>1.39%</t>
        </is>
      </c>
      <c r="E65" s="57" t="n">
        <v>1</v>
      </c>
      <c r="F65" s="61" t="inlineStr">
        <is>
          <t>Trend</t>
        </is>
      </c>
    </row>
    <row r="66" ht="15.75" customHeight="1" s="1">
      <c r="A66" s="56" t="inlineStr">
        <is>
          <t>트렌드/캠페인</t>
        </is>
      </c>
      <c r="B66" s="57" t="inlineStr">
        <is>
          <t>5월 23일</t>
        </is>
      </c>
      <c r="C66" s="56" t="inlineStr">
        <is>
          <t>노션 아카이브 만들기</t>
        </is>
      </c>
      <c r="D66" s="57" t="inlineStr">
        <is>
          <t>4.55%</t>
        </is>
      </c>
      <c r="E66" s="57" t="n">
        <v>1</v>
      </c>
      <c r="F66" s="61" t="inlineStr">
        <is>
          <t>Trend</t>
        </is>
      </c>
    </row>
    <row r="67" ht="15.75" customHeight="1" s="1">
      <c r="A67" s="56" t="inlineStr">
        <is>
          <t>트렌드/캠페인</t>
        </is>
      </c>
      <c r="B67" s="57" t="inlineStr">
        <is>
          <t>5월 23일</t>
        </is>
      </c>
      <c r="C67" s="56" t="inlineStr">
        <is>
          <t>최신 자동차 광고 카피</t>
        </is>
      </c>
      <c r="D67" s="57" t="inlineStr">
        <is>
          <t>4.55%</t>
        </is>
      </c>
      <c r="E67" s="57" t="n">
        <v>1</v>
      </c>
      <c r="F67" s="58" t="inlineStr">
        <is>
          <t>Media</t>
        </is>
      </c>
    </row>
    <row r="68" ht="15.75" customHeight="1" s="1">
      <c r="A68" s="56" t="inlineStr">
        <is>
          <t>트렌드/캠페인</t>
        </is>
      </c>
      <c r="B68" s="57" t="inlineStr">
        <is>
          <t>5월 24일</t>
        </is>
      </c>
      <c r="C68" s="56" t="inlineStr">
        <is>
          <t>집안 삼신기</t>
        </is>
      </c>
      <c r="D68" s="57" t="inlineStr">
        <is>
          <t>20.00%</t>
        </is>
      </c>
      <c r="E68" s="57" t="n">
        <v>1</v>
      </c>
      <c r="F68" s="61" t="inlineStr">
        <is>
          <t>Trend</t>
        </is>
      </c>
    </row>
    <row r="69" ht="15.75" customHeight="1" s="1">
      <c r="A69" s="56" t="inlineStr">
        <is>
          <t>트렌드/캠페인</t>
        </is>
      </c>
      <c r="B69" s="57" t="inlineStr">
        <is>
          <t>5월 26일</t>
        </is>
      </c>
      <c r="C69" s="56" t="inlineStr">
        <is>
          <t>하이네켄 캠페인</t>
        </is>
      </c>
      <c r="D69" s="57" t="inlineStr">
        <is>
          <t>5.00%</t>
        </is>
      </c>
      <c r="E69" s="57" t="n">
        <v>2</v>
      </c>
      <c r="F69" s="61" t="inlineStr">
        <is>
          <t>Trend</t>
        </is>
      </c>
    </row>
    <row r="70" ht="15.75" customHeight="1" s="1">
      <c r="A70" s="56" t="inlineStr">
        <is>
          <t>트렌드/캠페인</t>
        </is>
      </c>
      <c r="B70" s="57" t="inlineStr">
        <is>
          <t>5월 29일</t>
        </is>
      </c>
      <c r="C70" s="56" t="inlineStr">
        <is>
          <t>디토소비 예시 광고</t>
        </is>
      </c>
      <c r="D70" s="57" t="inlineStr">
        <is>
          <t>2.13%</t>
        </is>
      </c>
      <c r="E70" s="57" t="n">
        <v>1</v>
      </c>
      <c r="F70" s="61" t="inlineStr">
        <is>
          <t>Trend</t>
        </is>
      </c>
    </row>
    <row r="71" ht="15.75" customHeight="1" s="1">
      <c r="A71" s="56" t="inlineStr">
        <is>
          <t>트렌드/캠페인</t>
        </is>
      </c>
      <c r="B71" s="57" t="inlineStr">
        <is>
          <t>5월 2일</t>
        </is>
      </c>
      <c r="C71" s="56" t="inlineStr">
        <is>
          <t>배민방학도시락 캠페인</t>
        </is>
      </c>
      <c r="D71" s="57" t="inlineStr">
        <is>
          <t>14.29%</t>
        </is>
      </c>
      <c r="E71" s="57" t="n">
        <v>1</v>
      </c>
      <c r="F71" s="61" t="inlineStr">
        <is>
          <t>Trend</t>
        </is>
      </c>
    </row>
    <row r="72" ht="15.75" customHeight="1" s="1">
      <c r="A72" s="56" t="inlineStr">
        <is>
          <t>트렌드/캠페인</t>
        </is>
      </c>
      <c r="B72" s="57" t="inlineStr">
        <is>
          <t>5월 30일</t>
        </is>
      </c>
      <c r="C72" s="56" t="inlineStr">
        <is>
          <t>롯데 자일리톨 껌 브랜드 노후화</t>
        </is>
      </c>
      <c r="D72" s="57" t="inlineStr">
        <is>
          <t>16.67%</t>
        </is>
      </c>
      <c r="E72" s="57" t="n">
        <v>1</v>
      </c>
      <c r="F72" s="61" t="inlineStr">
        <is>
          <t>Trend</t>
        </is>
      </c>
    </row>
    <row r="73" ht="15.75" customHeight="1" s="1">
      <c r="A73" s="56" t="inlineStr">
        <is>
          <t>트렌드/캠페인</t>
        </is>
      </c>
      <c r="B73" s="57" t="inlineStr">
        <is>
          <t>5월 31일</t>
        </is>
      </c>
      <c r="C73" s="56" t="inlineStr">
        <is>
          <t>젠지 세대 대상 고급 브랜드 디지털 프로모션 사례 알려주세요</t>
        </is>
      </c>
      <c r="D73" s="57" t="inlineStr">
        <is>
          <t>3.70%</t>
        </is>
      </c>
      <c r="E73" s="57" t="n">
        <v>1</v>
      </c>
      <c r="F73" s="61" t="inlineStr">
        <is>
          <t>Trend</t>
        </is>
      </c>
    </row>
    <row r="74" ht="15.75" customHeight="1" s="1">
      <c r="A74" s="56" t="inlineStr">
        <is>
          <t>트렌드/캠페인</t>
        </is>
      </c>
      <c r="B74" s="57" t="inlineStr">
        <is>
          <t>5월 5일</t>
        </is>
      </c>
      <c r="C74" s="56" t="inlineStr">
        <is>
          <t>엠넷 kpop</t>
        </is>
      </c>
      <c r="D74" s="57" t="inlineStr">
        <is>
          <t>14.29%</t>
        </is>
      </c>
      <c r="E74" s="57" t="n">
        <v>1</v>
      </c>
      <c r="F74" s="58" t="inlineStr">
        <is>
          <t>Media</t>
        </is>
      </c>
    </row>
    <row r="75" ht="15.75" customHeight="1" s="1">
      <c r="A75" s="56" t="inlineStr">
        <is>
          <t>트렌드/캠페인</t>
        </is>
      </c>
      <c r="B75" s="57" t="inlineStr">
        <is>
          <t>5월 6일</t>
        </is>
      </c>
      <c r="C75" s="56" t="inlineStr">
        <is>
          <t>gs홈쇼핑 인터넷</t>
        </is>
      </c>
      <c r="D75" s="57" t="inlineStr">
        <is>
          <t>3.23%</t>
        </is>
      </c>
      <c r="E75" s="57" t="n">
        <v>1</v>
      </c>
      <c r="F75" s="61" t="inlineStr">
        <is>
          <t>Trend</t>
        </is>
      </c>
    </row>
    <row r="76" ht="15.75" customHeight="1" s="1">
      <c r="A76" s="56" t="inlineStr">
        <is>
          <t>트렌드/캠페인</t>
        </is>
      </c>
      <c r="B76" s="57" t="inlineStr">
        <is>
          <t>5월 7일</t>
        </is>
      </c>
      <c r="C76" s="56" t="inlineStr">
        <is>
          <t>MZ세대 금융 투자 정보 탐색 채널</t>
        </is>
      </c>
      <c r="D76" s="57" t="inlineStr">
        <is>
          <t>1.49%</t>
        </is>
      </c>
      <c r="E76" s="57" t="n">
        <v>1</v>
      </c>
      <c r="F76" s="61" t="inlineStr">
        <is>
          <t>Trend</t>
        </is>
      </c>
    </row>
    <row r="77" ht="15.75" customHeight="1" s="1">
      <c r="A77" s="56" t="inlineStr">
        <is>
          <t>트렌드/캠페인</t>
        </is>
      </c>
      <c r="B77" s="57" t="inlineStr">
        <is>
          <t>5월 8일</t>
        </is>
      </c>
      <c r="C77" s="56" t="inlineStr">
        <is>
          <t>캐릭터콜라보 제품 나이별 구매비중</t>
        </is>
      </c>
      <c r="D77" s="57" t="inlineStr">
        <is>
          <t>2.17%</t>
        </is>
      </c>
      <c r="E77" s="57" t="n">
        <v>1</v>
      </c>
      <c r="F77" s="61" t="inlineStr">
        <is>
          <t>Trend</t>
        </is>
      </c>
    </row>
    <row r="78" ht="15.75" customHeight="1" s="1">
      <c r="A78" s="56" t="inlineStr">
        <is>
          <t>타불라</t>
        </is>
      </c>
      <c r="B78" s="57" t="inlineStr">
        <is>
          <t>5월 20일</t>
        </is>
      </c>
      <c r="C78" s="56" t="inlineStr">
        <is>
          <t>타불라 광고</t>
        </is>
      </c>
      <c r="D78" s="57" t="inlineStr">
        <is>
          <t>5.00%</t>
        </is>
      </c>
      <c r="E78" s="57" t="n">
        <v>1</v>
      </c>
      <c r="F78" s="58" t="inlineStr">
        <is>
          <t>Media</t>
        </is>
      </c>
    </row>
    <row r="79" ht="15.75" customHeight="1" s="1">
      <c r="A79" s="56" t="inlineStr">
        <is>
          <t>타불라</t>
        </is>
      </c>
      <c r="B79" s="57" t="inlineStr">
        <is>
          <t>5월 21일</t>
        </is>
      </c>
      <c r="C79" s="56" t="inlineStr">
        <is>
          <t>타불라</t>
        </is>
      </c>
      <c r="D79" s="57" t="inlineStr">
        <is>
          <t>2.19%</t>
        </is>
      </c>
      <c r="E79" s="57" t="n">
        <v>3</v>
      </c>
      <c r="F79" s="58" t="inlineStr">
        <is>
          <t>Media</t>
        </is>
      </c>
    </row>
    <row r="80" ht="15.75" customHeight="1" s="1">
      <c r="A80" s="56" t="inlineStr">
        <is>
          <t>타불라</t>
        </is>
      </c>
      <c r="B80" s="57" t="inlineStr">
        <is>
          <t>5월 21일</t>
        </is>
      </c>
      <c r="C80" s="56" t="inlineStr">
        <is>
          <t>타불라</t>
        </is>
      </c>
      <c r="D80" s="57" t="inlineStr">
        <is>
          <t>0.73%</t>
        </is>
      </c>
      <c r="E80" s="57" t="n">
        <v>1</v>
      </c>
      <c r="F80" s="58" t="inlineStr">
        <is>
          <t>Media</t>
        </is>
      </c>
    </row>
    <row r="81" ht="15.75" customHeight="1" s="1">
      <c r="A81" s="56" t="inlineStr">
        <is>
          <t>타불라</t>
        </is>
      </c>
      <c r="B81" s="57" t="inlineStr">
        <is>
          <t>5월 22일</t>
        </is>
      </c>
      <c r="C81" s="56" t="inlineStr">
        <is>
          <t>타불라</t>
        </is>
      </c>
      <c r="D81" s="57" t="inlineStr">
        <is>
          <t>1.39%</t>
        </is>
      </c>
      <c r="E81" s="57" t="n">
        <v>1</v>
      </c>
      <c r="F81" s="58" t="inlineStr">
        <is>
          <t>Media</t>
        </is>
      </c>
    </row>
    <row r="82" ht="15.75" customHeight="1" s="1">
      <c r="A82" s="56" t="inlineStr">
        <is>
          <t>타불라</t>
        </is>
      </c>
      <c r="B82" s="57" t="inlineStr">
        <is>
          <t>5월 22일</t>
        </is>
      </c>
      <c r="C82" s="56" t="inlineStr">
        <is>
          <t>타불라</t>
        </is>
      </c>
      <c r="D82" s="57" t="inlineStr">
        <is>
          <t>4.17%</t>
        </is>
      </c>
      <c r="E82" s="57" t="n">
        <v>3</v>
      </c>
      <c r="F82" s="58" t="inlineStr">
        <is>
          <t>Media</t>
        </is>
      </c>
    </row>
    <row r="83" ht="15.75" customHeight="1" s="1">
      <c r="A83" s="56" t="inlineStr">
        <is>
          <t>타불라</t>
        </is>
      </c>
      <c r="B83" s="57" t="inlineStr">
        <is>
          <t>5월 23일</t>
        </is>
      </c>
      <c r="C83" s="56" t="inlineStr">
        <is>
          <t>타불라</t>
        </is>
      </c>
      <c r="D83" s="57" t="inlineStr">
        <is>
          <t>4.55%</t>
        </is>
      </c>
      <c r="E83" s="57" t="n">
        <v>1</v>
      </c>
      <c r="F83" s="58" t="inlineStr">
        <is>
          <t>Media</t>
        </is>
      </c>
    </row>
    <row r="84" ht="15.75" customHeight="1" s="1">
      <c r="A84" s="56" t="inlineStr">
        <is>
          <t>타불라</t>
        </is>
      </c>
      <c r="B84" s="57" t="inlineStr">
        <is>
          <t>5월 23일</t>
        </is>
      </c>
      <c r="C84" s="56" t="inlineStr">
        <is>
          <t>타불라 계정 생성</t>
        </is>
      </c>
      <c r="D84" s="57" t="inlineStr">
        <is>
          <t>4.55%</t>
        </is>
      </c>
      <c r="E84" s="57" t="n">
        <v>1</v>
      </c>
      <c r="F84" s="58" t="inlineStr">
        <is>
          <t>Media</t>
        </is>
      </c>
    </row>
    <row r="85" ht="15.75" customHeight="1" s="1">
      <c r="A85" s="56" t="inlineStr">
        <is>
          <t>타불라</t>
        </is>
      </c>
      <c r="B85" s="57" t="inlineStr">
        <is>
          <t>5월 26일</t>
        </is>
      </c>
      <c r="C85" s="56" t="inlineStr">
        <is>
          <t>타불라 광고</t>
        </is>
      </c>
      <c r="D85" s="57" t="inlineStr">
        <is>
          <t>2.50%</t>
        </is>
      </c>
      <c r="E85" s="57" t="n">
        <v>1</v>
      </c>
      <c r="F85" s="58" t="inlineStr">
        <is>
          <t>Media</t>
        </is>
      </c>
    </row>
    <row r="86" ht="15.75" customHeight="1" s="1">
      <c r="A86" s="56" t="inlineStr">
        <is>
          <t>타불라</t>
        </is>
      </c>
      <c r="B86" s="57" t="inlineStr">
        <is>
          <t>5월 26일</t>
        </is>
      </c>
      <c r="C86" s="56" t="inlineStr">
        <is>
          <t>타불라 지면</t>
        </is>
      </c>
      <c r="D86" s="57" t="inlineStr">
        <is>
          <t>2.50%</t>
        </is>
      </c>
      <c r="E86" s="57" t="n">
        <v>1</v>
      </c>
      <c r="F86" s="58" t="inlineStr">
        <is>
          <t>Media</t>
        </is>
      </c>
    </row>
    <row r="87" ht="15.75" customHeight="1" s="1">
      <c r="A87" s="56" t="inlineStr">
        <is>
          <t>타불라</t>
        </is>
      </c>
      <c r="B87" s="57" t="inlineStr">
        <is>
          <t>5월 27일</t>
        </is>
      </c>
      <c r="C87" s="56" t="inlineStr">
        <is>
          <t>타불라</t>
        </is>
      </c>
      <c r="D87" s="57" t="inlineStr">
        <is>
          <t>6.06%</t>
        </is>
      </c>
      <c r="E87" s="57" t="n">
        <v>2</v>
      </c>
      <c r="F87" s="58" t="inlineStr">
        <is>
          <t>Media</t>
        </is>
      </c>
    </row>
    <row r="88" ht="15.75" customHeight="1" s="1">
      <c r="A88" s="56" t="inlineStr">
        <is>
          <t>타불라</t>
        </is>
      </c>
      <c r="B88" s="57" t="inlineStr">
        <is>
          <t>5월 27일</t>
        </is>
      </c>
      <c r="C88" s="56" t="inlineStr">
        <is>
          <t>타불라 광고</t>
        </is>
      </c>
      <c r="D88" s="57" t="inlineStr">
        <is>
          <t>3.03%</t>
        </is>
      </c>
      <c r="E88" s="57" t="n">
        <v>1</v>
      </c>
      <c r="F88" s="58" t="inlineStr">
        <is>
          <t>Media</t>
        </is>
      </c>
    </row>
    <row r="89" ht="15.75" customHeight="1" s="1">
      <c r="A89" s="56" t="inlineStr">
        <is>
          <t>타불라</t>
        </is>
      </c>
      <c r="B89" s="57" t="inlineStr">
        <is>
          <t>5월 27일</t>
        </is>
      </c>
      <c r="C89" s="56" t="inlineStr">
        <is>
          <t>타불라 마케팅</t>
        </is>
      </c>
      <c r="D89" s="57" t="inlineStr">
        <is>
          <t>3.03%</t>
        </is>
      </c>
      <c r="E89" s="57" t="n">
        <v>1</v>
      </c>
      <c r="F89" s="58" t="inlineStr">
        <is>
          <t>Media</t>
        </is>
      </c>
    </row>
    <row r="90" ht="15.75" customHeight="1" s="1">
      <c r="A90" s="56" t="inlineStr">
        <is>
          <t>타불라</t>
        </is>
      </c>
      <c r="B90" s="57" t="inlineStr">
        <is>
          <t>5월 27일</t>
        </is>
      </c>
      <c r="C90" s="56" t="inlineStr">
        <is>
          <t>타블라 광고</t>
        </is>
      </c>
      <c r="D90" s="57" t="inlineStr">
        <is>
          <t>3.03%</t>
        </is>
      </c>
      <c r="E90" s="57" t="n">
        <v>1</v>
      </c>
      <c r="F90" s="58" t="inlineStr">
        <is>
          <t>Media</t>
        </is>
      </c>
    </row>
    <row r="91" ht="15.75" customHeight="1" s="1">
      <c r="A91" s="56" t="inlineStr">
        <is>
          <t>타불라</t>
        </is>
      </c>
      <c r="B91" s="57" t="inlineStr">
        <is>
          <t>5월 28일</t>
        </is>
      </c>
      <c r="C91" s="56" t="inlineStr">
        <is>
          <t>타불라</t>
        </is>
      </c>
      <c r="D91" s="57" t="inlineStr">
        <is>
          <t>3.57%</t>
        </is>
      </c>
      <c r="E91" s="57" t="n">
        <v>1</v>
      </c>
      <c r="F91" s="58" t="inlineStr">
        <is>
          <t>Media</t>
        </is>
      </c>
    </row>
    <row r="92" ht="15.75" customHeight="1" s="1">
      <c r="A92" s="56" t="inlineStr">
        <is>
          <t>타불라</t>
        </is>
      </c>
      <c r="B92" s="57" t="inlineStr">
        <is>
          <t>5월 28일</t>
        </is>
      </c>
      <c r="C92" s="56" t="inlineStr">
        <is>
          <t>타불라 광고</t>
        </is>
      </c>
      <c r="D92" s="57" t="inlineStr">
        <is>
          <t>3.57%</t>
        </is>
      </c>
      <c r="E92" s="57" t="n">
        <v>1</v>
      </c>
      <c r="F92" s="58" t="inlineStr">
        <is>
          <t>Media</t>
        </is>
      </c>
    </row>
    <row r="93" ht="15.75" customHeight="1" s="1">
      <c r="A93" s="56" t="inlineStr">
        <is>
          <t>타불라</t>
        </is>
      </c>
      <c r="B93" s="57" t="inlineStr">
        <is>
          <t>5월 29일</t>
        </is>
      </c>
      <c r="C93" s="56" t="inlineStr">
        <is>
          <t>타불라</t>
        </is>
      </c>
      <c r="D93" s="57" t="inlineStr">
        <is>
          <t>8.51%</t>
        </is>
      </c>
      <c r="E93" s="57" t="n">
        <v>4</v>
      </c>
      <c r="F93" s="58" t="inlineStr">
        <is>
          <t>Media</t>
        </is>
      </c>
    </row>
    <row r="94" ht="15.75" customHeight="1" s="1">
      <c r="A94" s="56" t="inlineStr">
        <is>
          <t>타불라</t>
        </is>
      </c>
      <c r="B94" s="57" t="inlineStr">
        <is>
          <t>5월 29일</t>
        </is>
      </c>
      <c r="C94" s="56" t="inlineStr">
        <is>
          <t>타불라</t>
        </is>
      </c>
      <c r="D94" s="57" t="inlineStr">
        <is>
          <t>4.26%</t>
        </is>
      </c>
      <c r="E94" s="57" t="n">
        <v>2</v>
      </c>
      <c r="F94" s="58" t="inlineStr">
        <is>
          <t>Media</t>
        </is>
      </c>
    </row>
    <row r="95" ht="15.75" customHeight="1" s="1">
      <c r="A95" s="56" t="inlineStr">
        <is>
          <t>타불라</t>
        </is>
      </c>
      <c r="B95" s="57" t="inlineStr">
        <is>
          <t>5월 30일</t>
        </is>
      </c>
      <c r="C95" s="56" t="inlineStr">
        <is>
          <t>타불라</t>
        </is>
      </c>
      <c r="D95" s="57" t="inlineStr">
        <is>
          <t>16.67%</t>
        </is>
      </c>
      <c r="E95" s="57" t="n">
        <v>1</v>
      </c>
      <c r="F95" s="58" t="inlineStr">
        <is>
          <t>Media</t>
        </is>
      </c>
    </row>
    <row r="96" ht="15.75" customHeight="1" s="1">
      <c r="A96" s="56" t="inlineStr">
        <is>
          <t>왕과사는남자/촬영실록</t>
        </is>
      </c>
      <c r="B96" s="57" t="inlineStr">
        <is>
          <t>5월 11일</t>
        </is>
      </c>
      <c r="C96" s="56" t="inlineStr">
        <is>
          <t>왕과사는남자 촬영실록</t>
        </is>
      </c>
      <c r="D96" s="57" t="inlineStr">
        <is>
          <t>2.33%</t>
        </is>
      </c>
      <c r="E96" s="57" t="n">
        <v>1</v>
      </c>
      <c r="F96" s="61" t="inlineStr">
        <is>
          <t>Trend</t>
        </is>
      </c>
    </row>
    <row r="97" ht="15.75" customHeight="1" s="1">
      <c r="A97" s="56" t="inlineStr">
        <is>
          <t>왕과사는남자/촬영실록</t>
        </is>
      </c>
      <c r="B97" s="57" t="inlineStr">
        <is>
          <t>5월 11일</t>
        </is>
      </c>
      <c r="C97" s="56" t="inlineStr">
        <is>
          <t>왕사남 노션 실록</t>
        </is>
      </c>
      <c r="D97" s="57" t="inlineStr">
        <is>
          <t>2.33%</t>
        </is>
      </c>
      <c r="E97" s="57" t="n">
        <v>1</v>
      </c>
      <c r="F97" s="61" t="inlineStr">
        <is>
          <t>Trend</t>
        </is>
      </c>
    </row>
    <row r="98" ht="15.75" customHeight="1" s="1">
      <c r="A98" s="56" t="inlineStr">
        <is>
          <t>왕과사는남자/촬영실록</t>
        </is>
      </c>
      <c r="B98" s="57" t="inlineStr">
        <is>
          <t>5월 11일</t>
        </is>
      </c>
      <c r="C98" s="56" t="inlineStr">
        <is>
          <t>촬영 실록 노션 페이지 링크</t>
        </is>
      </c>
      <c r="D98" s="57" t="inlineStr">
        <is>
          <t>2.33%</t>
        </is>
      </c>
      <c r="E98" s="57" t="n">
        <v>1</v>
      </c>
      <c r="F98" s="61" t="inlineStr">
        <is>
          <t>Trend</t>
        </is>
      </c>
    </row>
    <row r="99" ht="15.75" customHeight="1" s="1">
      <c r="A99" s="56" t="inlineStr">
        <is>
          <t>왕과사는남자/촬영실록</t>
        </is>
      </c>
      <c r="B99" s="57" t="inlineStr">
        <is>
          <t>5월 13일</t>
        </is>
      </c>
      <c r="C99" s="56" t="inlineStr">
        <is>
          <t>왕과 사는 남자 촬영실록</t>
        </is>
      </c>
      <c r="D99" s="57" t="inlineStr">
        <is>
          <t>2.50%</t>
        </is>
      </c>
      <c r="E99" s="57" t="n">
        <v>1</v>
      </c>
      <c r="F99" s="61" t="inlineStr">
        <is>
          <t>Trend</t>
        </is>
      </c>
    </row>
    <row r="100" ht="15.75" customHeight="1" s="1">
      <c r="A100" s="56" t="inlineStr">
        <is>
          <t>왕과사는남자/촬영실록</t>
        </is>
      </c>
      <c r="B100" s="57" t="inlineStr">
        <is>
          <t>5월 14일</t>
        </is>
      </c>
      <c r="C100" s="56" t="inlineStr">
        <is>
          <t>왕과 사는 남자 노션</t>
        </is>
      </c>
      <c r="D100" s="57" t="inlineStr">
        <is>
          <t>2.86%</t>
        </is>
      </c>
      <c r="E100" s="57" t="n">
        <v>1</v>
      </c>
      <c r="F100" s="61" t="inlineStr">
        <is>
          <t>Trend</t>
        </is>
      </c>
    </row>
    <row r="101" ht="15.75" customHeight="1" s="1">
      <c r="A101" s="56" t="inlineStr">
        <is>
          <t>왕과사는남자/촬영실록</t>
        </is>
      </c>
      <c r="B101" s="57" t="inlineStr">
        <is>
          <t>5월 17일</t>
        </is>
      </c>
      <c r="C101" s="56" t="inlineStr">
        <is>
          <t>왕과 사는 남자 촬영실록</t>
        </is>
      </c>
      <c r="D101" s="57" t="inlineStr">
        <is>
          <t>11.11%</t>
        </is>
      </c>
      <c r="E101" s="57" t="n">
        <v>1</v>
      </c>
      <c r="F101" s="61" t="inlineStr">
        <is>
          <t>Trend</t>
        </is>
      </c>
    </row>
    <row r="102" ht="15.75" customHeight="1" s="1">
      <c r="A102" s="56" t="inlineStr">
        <is>
          <t>왕과사는남자/촬영실록</t>
        </is>
      </c>
      <c r="B102" s="57" t="inlineStr">
        <is>
          <t>5월 18일</t>
        </is>
      </c>
      <c r="C102" s="56" t="inlineStr">
        <is>
          <t>왕과 사는 남자 촬영실록</t>
        </is>
      </c>
      <c r="D102" s="57" t="inlineStr">
        <is>
          <t>4.17%</t>
        </is>
      </c>
      <c r="E102" s="57" t="n">
        <v>1</v>
      </c>
      <c r="F102" s="61" t="inlineStr">
        <is>
          <t>Trend</t>
        </is>
      </c>
    </row>
    <row r="103" ht="15.75" customHeight="1" s="1">
      <c r="A103" s="56" t="inlineStr">
        <is>
          <t>왕과사는남자/촬영실록</t>
        </is>
      </c>
      <c r="B103" s="57" t="inlineStr">
        <is>
          <t>5월 21일</t>
        </is>
      </c>
      <c r="C103" s="56" t="inlineStr">
        <is>
          <t>촬영실록</t>
        </is>
      </c>
      <c r="D103" s="57" t="inlineStr">
        <is>
          <t>0.73%</t>
        </is>
      </c>
      <c r="E103" s="57" t="n">
        <v>1</v>
      </c>
      <c r="F103" s="61" t="inlineStr">
        <is>
          <t>Trend</t>
        </is>
      </c>
    </row>
    <row r="104" ht="15.75" customHeight="1" s="1">
      <c r="A104" s="56" t="inlineStr">
        <is>
          <t>왕과사는남자/촬영실록</t>
        </is>
      </c>
      <c r="B104" s="57" t="inlineStr">
        <is>
          <t>5월 26일</t>
        </is>
      </c>
      <c r="C104" s="56" t="inlineStr">
        <is>
          <t>왕과사는남자 마케팅</t>
        </is>
      </c>
      <c r="D104" s="57" t="inlineStr">
        <is>
          <t>2.50%</t>
        </is>
      </c>
      <c r="E104" s="57" t="n">
        <v>1</v>
      </c>
      <c r="F104" s="61" t="inlineStr">
        <is>
          <t>Trend</t>
        </is>
      </c>
    </row>
    <row r="105" ht="15.75" customHeight="1" s="1">
      <c r="A105" s="56" t="inlineStr">
        <is>
          <t>왕과사는남자/촬영실록</t>
        </is>
      </c>
      <c r="B105" s="57" t="inlineStr">
        <is>
          <t>5월 4일</t>
        </is>
      </c>
      <c r="C105" s="56" t="inlineStr">
        <is>
          <t>촬영실록</t>
        </is>
      </c>
      <c r="D105" s="57" t="inlineStr">
        <is>
          <t>4.55%</t>
        </is>
      </c>
      <c r="E105" s="57" t="n">
        <v>1</v>
      </c>
      <c r="F105" s="61" t="inlineStr">
        <is>
          <t>Trend</t>
        </is>
      </c>
    </row>
    <row r="106" ht="15.75" customHeight="1" s="1">
      <c r="A106" s="56" t="inlineStr">
        <is>
          <t>왕과사는남자/촬영실록</t>
        </is>
      </c>
      <c r="B106" s="57" t="inlineStr">
        <is>
          <t>5월 6일</t>
        </is>
      </c>
      <c r="C106" s="56" t="inlineStr">
        <is>
          <t>쇼박스 촬영실록 링크</t>
        </is>
      </c>
      <c r="D106" s="57" t="inlineStr">
        <is>
          <t>3.23%</t>
        </is>
      </c>
      <c r="E106" s="57" t="n">
        <v>1</v>
      </c>
      <c r="F106" s="61" t="inlineStr">
        <is>
          <t>Trend</t>
        </is>
      </c>
    </row>
    <row r="107" ht="15.75" customHeight="1" s="1">
      <c r="A107" s="56" t="inlineStr">
        <is>
          <t>왕과사는남자/촬영실록</t>
        </is>
      </c>
      <c r="B107" s="57" t="inlineStr">
        <is>
          <t>5월 6일</t>
        </is>
      </c>
      <c r="C107" s="56" t="inlineStr">
        <is>
          <t>왕사남 노션</t>
        </is>
      </c>
      <c r="D107" s="57" t="inlineStr">
        <is>
          <t>3.23%</t>
        </is>
      </c>
      <c r="E107" s="57" t="n">
        <v>1</v>
      </c>
      <c r="F107" s="61" t="inlineStr">
        <is>
          <t>Trend</t>
        </is>
      </c>
    </row>
    <row r="108" ht="15.75" customHeight="1" s="1">
      <c r="A108" s="56" t="inlineStr">
        <is>
          <t>왕과사는남자/촬영실록</t>
        </is>
      </c>
      <c r="B108" s="57" t="inlineStr">
        <is>
          <t>5월 8일</t>
        </is>
      </c>
      <c r="C108" s="56" t="inlineStr">
        <is>
          <t>영화 왕과사는남자 마케팅</t>
        </is>
      </c>
      <c r="D108" s="57" t="inlineStr">
        <is>
          <t>2.17%</t>
        </is>
      </c>
      <c r="E108" s="57" t="n">
        <v>1</v>
      </c>
      <c r="F108" s="61" t="inlineStr">
        <is>
          <t>Trend</t>
        </is>
      </c>
    </row>
    <row r="109" ht="15.75" customHeight="1" s="1">
      <c r="A109" s="56" t="inlineStr">
        <is>
          <t>왕과사는남자/촬영실록</t>
        </is>
      </c>
      <c r="B109" s="57" t="inlineStr">
        <is>
          <t>5월 8일</t>
        </is>
      </c>
      <c r="C109" s="56" t="inlineStr">
        <is>
          <t>왕과사는남자 비하인드 notion</t>
        </is>
      </c>
      <c r="D109" s="57" t="inlineStr">
        <is>
          <t>2.17%</t>
        </is>
      </c>
      <c r="E109" s="57" t="n">
        <v>1</v>
      </c>
      <c r="F109" s="61" t="inlineStr">
        <is>
          <t>Trend</t>
        </is>
      </c>
    </row>
    <row r="110" ht="15.75" customHeight="1" s="1">
      <c r="A110" s="56" t="inlineStr">
        <is>
          <t>어드민나이트</t>
        </is>
      </c>
      <c r="B110" s="57" t="inlineStr">
        <is>
          <t>5월 13일</t>
        </is>
      </c>
      <c r="C110" s="56" t="inlineStr">
        <is>
          <t>어드민나이트</t>
        </is>
      </c>
      <c r="D110" s="57" t="inlineStr">
        <is>
          <t>2.50%</t>
        </is>
      </c>
      <c r="E110" s="57" t="n">
        <v>1</v>
      </c>
      <c r="F110" s="61" t="inlineStr">
        <is>
          <t>Trend</t>
        </is>
      </c>
    </row>
    <row r="111" ht="15.75" customHeight="1" s="1">
      <c r="A111" s="56" t="inlineStr">
        <is>
          <t>어드민나이트</t>
        </is>
      </c>
      <c r="B111" s="57" t="inlineStr">
        <is>
          <t>5월 16일</t>
        </is>
      </c>
      <c r="C111" s="56" t="inlineStr">
        <is>
          <t>admin night</t>
        </is>
      </c>
      <c r="D111" s="57" t="inlineStr">
        <is>
          <t>8.00%</t>
        </is>
      </c>
      <c r="E111" s="57" t="n">
        <v>2</v>
      </c>
      <c r="F111" s="61" t="inlineStr">
        <is>
          <t>Trend</t>
        </is>
      </c>
    </row>
    <row r="112" ht="15.75" customHeight="1" s="1">
      <c r="A112" s="56" t="inlineStr">
        <is>
          <t>어드민나이트</t>
        </is>
      </c>
      <c r="B112" s="57" t="inlineStr">
        <is>
          <t>5월 16일</t>
        </is>
      </c>
      <c r="C112" s="56" t="inlineStr">
        <is>
          <t>어드민 나이트</t>
        </is>
      </c>
      <c r="D112" s="57" t="inlineStr">
        <is>
          <t>4.00%</t>
        </is>
      </c>
      <c r="E112" s="57" t="n">
        <v>1</v>
      </c>
      <c r="F112" s="61" t="inlineStr">
        <is>
          <t>Trend</t>
        </is>
      </c>
    </row>
    <row r="113" ht="15.75" customHeight="1" s="1">
      <c r="A113" s="56" t="inlineStr">
        <is>
          <t>어드민나이트</t>
        </is>
      </c>
      <c r="B113" s="57" t="inlineStr">
        <is>
          <t>5월 18일</t>
        </is>
      </c>
      <c r="C113" s="56" t="inlineStr">
        <is>
          <t>어드민나이트</t>
        </is>
      </c>
      <c r="D113" s="57" t="inlineStr">
        <is>
          <t>4.17%</t>
        </is>
      </c>
      <c r="E113" s="57" t="n">
        <v>1</v>
      </c>
      <c r="F113" s="61" t="inlineStr">
        <is>
          <t>Trend</t>
        </is>
      </c>
    </row>
    <row r="114" ht="15.75" customHeight="1" s="1">
      <c r="A114" s="56" t="inlineStr">
        <is>
          <t>어드민나이트</t>
        </is>
      </c>
      <c r="B114" s="57" t="inlineStr">
        <is>
          <t>5월 19일</t>
        </is>
      </c>
      <c r="C114" s="56" t="inlineStr">
        <is>
          <t>어드민나이트</t>
        </is>
      </c>
      <c r="D114" s="57" t="inlineStr">
        <is>
          <t>3.45%</t>
        </is>
      </c>
      <c r="E114" s="57" t="n">
        <v>1</v>
      </c>
      <c r="F114" s="61" t="inlineStr">
        <is>
          <t>Trend</t>
        </is>
      </c>
    </row>
    <row r="115" ht="15.75" customHeight="1" s="1">
      <c r="A115" s="56" t="inlineStr">
        <is>
          <t>어드민나이트</t>
        </is>
      </c>
      <c r="B115" s="57" t="inlineStr">
        <is>
          <t>5월 1일</t>
        </is>
      </c>
      <c r="C115" s="56" t="inlineStr">
        <is>
          <t>admin night</t>
        </is>
      </c>
      <c r="D115" s="57" t="inlineStr">
        <is>
          <t>16.67%</t>
        </is>
      </c>
      <c r="E115" s="57" t="n">
        <v>1</v>
      </c>
      <c r="F115" s="61" t="inlineStr">
        <is>
          <t>Trend</t>
        </is>
      </c>
    </row>
    <row r="116" ht="15.75" customHeight="1" s="1">
      <c r="A116" s="56" t="inlineStr">
        <is>
          <t>어드민나이트</t>
        </is>
      </c>
      <c r="B116" s="57" t="inlineStr">
        <is>
          <t>5월 20일</t>
        </is>
      </c>
      <c r="C116" s="56" t="inlineStr">
        <is>
          <t>어드민 나이트</t>
        </is>
      </c>
      <c r="D116" s="57" t="inlineStr">
        <is>
          <t>5.00%</t>
        </is>
      </c>
      <c r="E116" s="57" t="n">
        <v>1</v>
      </c>
      <c r="F116" s="61" t="inlineStr">
        <is>
          <t>Trend</t>
        </is>
      </c>
    </row>
    <row r="117" ht="15.75" customHeight="1" s="1">
      <c r="A117" s="56" t="inlineStr">
        <is>
          <t>어드민나이트</t>
        </is>
      </c>
      <c r="B117" s="57" t="inlineStr">
        <is>
          <t>5월 25일</t>
        </is>
      </c>
      <c r="C117" s="56" t="inlineStr">
        <is>
          <t>어드민나이트</t>
        </is>
      </c>
      <c r="D117" s="57" t="inlineStr">
        <is>
          <t>4.55%</t>
        </is>
      </c>
      <c r="E117" s="57" t="n">
        <v>1</v>
      </c>
      <c r="F117" s="61" t="inlineStr">
        <is>
          <t>Trend</t>
        </is>
      </c>
    </row>
    <row r="118" ht="15.75" customHeight="1" s="1">
      <c r="A118" s="56" t="inlineStr">
        <is>
          <t>어드민나이트</t>
        </is>
      </c>
      <c r="B118" s="57" t="inlineStr">
        <is>
          <t>5월 25일</t>
        </is>
      </c>
      <c r="C118" s="56" t="inlineStr">
        <is>
          <t>어드민나이트</t>
        </is>
      </c>
      <c r="D118" s="57" t="inlineStr">
        <is>
          <t>4.55%</t>
        </is>
      </c>
      <c r="E118" s="57" t="n">
        <v>1</v>
      </c>
      <c r="F118" s="61" t="inlineStr">
        <is>
          <t>Trend</t>
        </is>
      </c>
    </row>
    <row r="119" ht="15.75" customHeight="1" s="1">
      <c r="A119" s="56" t="inlineStr">
        <is>
          <t>어드민나이트</t>
        </is>
      </c>
      <c r="B119" s="57" t="inlineStr">
        <is>
          <t>5월 27일</t>
        </is>
      </c>
      <c r="C119" s="56" t="inlineStr">
        <is>
          <t>어드민 나이트</t>
        </is>
      </c>
      <c r="D119" s="57" t="inlineStr">
        <is>
          <t>3.03%</t>
        </is>
      </c>
      <c r="E119" s="57" t="n">
        <v>1</v>
      </c>
      <c r="F119" s="61" t="inlineStr">
        <is>
          <t>Trend</t>
        </is>
      </c>
    </row>
    <row r="120" ht="15.75" customHeight="1" s="1">
      <c r="A120" s="56" t="inlineStr">
        <is>
          <t>어드민나이트</t>
        </is>
      </c>
      <c r="B120" s="57" t="inlineStr">
        <is>
          <t>5월 27일</t>
        </is>
      </c>
      <c r="C120" s="56" t="inlineStr">
        <is>
          <t>어드민나이트</t>
        </is>
      </c>
      <c r="D120" s="57" t="inlineStr">
        <is>
          <t>3.03%</t>
        </is>
      </c>
      <c r="E120" s="57" t="n">
        <v>1</v>
      </c>
      <c r="F120" s="61" t="inlineStr">
        <is>
          <t>Trend</t>
        </is>
      </c>
    </row>
    <row r="121" ht="15.75" customHeight="1" s="1">
      <c r="A121" s="56" t="inlineStr">
        <is>
          <t>어드민나이트</t>
        </is>
      </c>
      <c r="B121" s="57" t="inlineStr">
        <is>
          <t>5월 7일</t>
        </is>
      </c>
      <c r="C121" s="56" t="inlineStr">
        <is>
          <t>어드민 나이트</t>
        </is>
      </c>
      <c r="D121" s="57" t="inlineStr">
        <is>
          <t>1.49%</t>
        </is>
      </c>
      <c r="E121" s="57" t="n">
        <v>1</v>
      </c>
      <c r="F121" s="61" t="inlineStr">
        <is>
          <t>Trend</t>
        </is>
      </c>
    </row>
    <row r="122" ht="15.75" customHeight="1" s="1">
      <c r="A122" s="56" t="inlineStr">
        <is>
          <t>어드민나이트</t>
        </is>
      </c>
      <c r="B122" s="57" t="inlineStr">
        <is>
          <t>5월 8일</t>
        </is>
      </c>
      <c r="C122" s="56" t="inlineStr">
        <is>
          <t>어드민 나이트</t>
        </is>
      </c>
      <c r="D122" s="57" t="inlineStr">
        <is>
          <t>4.35%</t>
        </is>
      </c>
      <c r="E122" s="57" t="n">
        <v>2</v>
      </c>
      <c r="F122" s="61" t="inlineStr">
        <is>
          <t>Trend</t>
        </is>
      </c>
    </row>
    <row r="123" ht="15.75" customHeight="1" s="1">
      <c r="A123" s="56" t="inlineStr">
        <is>
          <t>어드민나이트</t>
        </is>
      </c>
      <c r="B123" s="57" t="inlineStr">
        <is>
          <t>5월 8일</t>
        </is>
      </c>
      <c r="C123" s="56" t="inlineStr">
        <is>
          <t>어드민나이트</t>
        </is>
      </c>
      <c r="D123" s="57" t="inlineStr">
        <is>
          <t>2.17%</t>
        </is>
      </c>
      <c r="E123" s="57" t="n">
        <v>1</v>
      </c>
      <c r="F123" s="61" t="inlineStr">
        <is>
          <t>Trend</t>
        </is>
      </c>
    </row>
    <row r="124" ht="15.75" customHeight="1" s="1">
      <c r="A124" s="56" t="inlineStr">
        <is>
          <t>쿠팡플레이/티빙</t>
        </is>
      </c>
      <c r="B124" s="57" t="inlineStr">
        <is>
          <t>5월 10일</t>
        </is>
      </c>
      <c r="C124" s="56" t="inlineStr">
        <is>
          <t>쿠팡 광고 리테일 미디어</t>
        </is>
      </c>
      <c r="D124" s="57" t="inlineStr">
        <is>
          <t>6.67%</t>
        </is>
      </c>
      <c r="E124" s="57" t="n">
        <v>1</v>
      </c>
      <c r="F124" s="58" t="inlineStr">
        <is>
          <t>Media</t>
        </is>
      </c>
    </row>
    <row r="125" ht="15.75" customHeight="1" s="1">
      <c r="A125" s="56" t="inlineStr">
        <is>
          <t>쿠팡플레이/티빙</t>
        </is>
      </c>
      <c r="B125" s="57" t="inlineStr">
        <is>
          <t>5월 10일</t>
        </is>
      </c>
      <c r="C125" s="56" t="inlineStr">
        <is>
          <t>쿠팡플레이 광고</t>
        </is>
      </c>
      <c r="D125" s="57" t="inlineStr">
        <is>
          <t>6.67%</t>
        </is>
      </c>
      <c r="E125" s="57" t="n">
        <v>1</v>
      </c>
      <c r="F125" s="59" t="inlineStr">
        <is>
          <t>About</t>
        </is>
      </c>
    </row>
    <row r="126" ht="15.75" customHeight="1" s="1">
      <c r="A126" s="56" t="inlineStr">
        <is>
          <t>쿠팡플레이/티빙</t>
        </is>
      </c>
      <c r="B126" s="57" t="inlineStr">
        <is>
          <t>5월 11일</t>
        </is>
      </c>
      <c r="C126" s="56" t="inlineStr">
        <is>
          <t>쿠팡플레이 광고</t>
        </is>
      </c>
      <c r="D126" s="57" t="inlineStr">
        <is>
          <t>4.65%</t>
        </is>
      </c>
      <c r="E126" s="57" t="n">
        <v>2</v>
      </c>
      <c r="F126" s="59" t="inlineStr">
        <is>
          <t>About</t>
        </is>
      </c>
    </row>
    <row r="127" ht="15.75" customHeight="1" s="1">
      <c r="A127" s="56" t="inlineStr">
        <is>
          <t>쿠팡플레이/티빙</t>
        </is>
      </c>
      <c r="B127" s="57" t="inlineStr">
        <is>
          <t>5월 12일</t>
        </is>
      </c>
      <c r="C127" s="56" t="inlineStr">
        <is>
          <t>쿠팡플레이 광고</t>
        </is>
      </c>
      <c r="D127" s="57" t="inlineStr">
        <is>
          <t>6.25%</t>
        </is>
      </c>
      <c r="E127" s="57" t="n">
        <v>2</v>
      </c>
      <c r="F127" s="59" t="inlineStr">
        <is>
          <t>About</t>
        </is>
      </c>
    </row>
    <row r="128" ht="15.75" customHeight="1" s="1">
      <c r="A128" s="56" t="inlineStr">
        <is>
          <t>쿠팡플레이/티빙</t>
        </is>
      </c>
      <c r="B128" s="57" t="inlineStr">
        <is>
          <t>5월 19일</t>
        </is>
      </c>
      <c r="C128" s="56" t="inlineStr">
        <is>
          <t>티빙 광고 대행사</t>
        </is>
      </c>
      <c r="D128" s="57" t="inlineStr">
        <is>
          <t>6.90%</t>
        </is>
      </c>
      <c r="E128" s="57" t="n">
        <v>2</v>
      </c>
      <c r="F128" s="59" t="inlineStr">
        <is>
          <t>About</t>
        </is>
      </c>
    </row>
    <row r="129" ht="15.75" customHeight="1" s="1">
      <c r="A129" s="56" t="inlineStr">
        <is>
          <t>쿠팡플레이/티빙</t>
        </is>
      </c>
      <c r="B129" s="57" t="inlineStr">
        <is>
          <t>5월 1일</t>
        </is>
      </c>
      <c r="C129" s="56" t="inlineStr">
        <is>
          <t>쿠팡플레이 광고</t>
        </is>
      </c>
      <c r="D129" s="57" t="inlineStr">
        <is>
          <t>16.67%</t>
        </is>
      </c>
      <c r="E129" s="57" t="n">
        <v>1</v>
      </c>
      <c r="F129" s="59" t="inlineStr">
        <is>
          <t>About</t>
        </is>
      </c>
    </row>
    <row r="130" ht="15.75" customHeight="1" s="1">
      <c r="A130" s="56" t="inlineStr">
        <is>
          <t>쿠팡플레이/티빙</t>
        </is>
      </c>
      <c r="B130" s="57" t="inlineStr">
        <is>
          <t>5월 1일</t>
        </is>
      </c>
      <c r="C130" s="56" t="inlineStr">
        <is>
          <t>쿠팡플레이 티빙</t>
        </is>
      </c>
      <c r="D130" s="57" t="inlineStr">
        <is>
          <t>16.67%</t>
        </is>
      </c>
      <c r="E130" s="57" t="n">
        <v>1</v>
      </c>
      <c r="F130" s="59" t="inlineStr">
        <is>
          <t>About</t>
        </is>
      </c>
    </row>
    <row r="131" ht="15.75" customHeight="1" s="1">
      <c r="A131" s="56" t="inlineStr">
        <is>
          <t>쿠팡플레이/티빙</t>
        </is>
      </c>
      <c r="B131" s="57" t="inlineStr">
        <is>
          <t>5월 23일</t>
        </is>
      </c>
      <c r="C131" s="56" t="inlineStr">
        <is>
          <t>쿠팡콜라보클럽 협업 캐릭터 상품 목록 알려주세요</t>
        </is>
      </c>
      <c r="D131" s="57" t="inlineStr">
        <is>
          <t>4.55%</t>
        </is>
      </c>
      <c r="E131" s="57" t="n">
        <v>1</v>
      </c>
      <c r="F131" s="61" t="inlineStr">
        <is>
          <t>Trend</t>
        </is>
      </c>
    </row>
    <row r="132" ht="15.75" customHeight="1" s="1">
      <c r="A132" s="56" t="inlineStr">
        <is>
          <t>쿠팡플레이/티빙</t>
        </is>
      </c>
      <c r="B132" s="57" t="inlineStr">
        <is>
          <t>5월 3일</t>
        </is>
      </c>
      <c r="C132" s="56" t="inlineStr">
        <is>
          <t>쿠팡플레이 광고</t>
        </is>
      </c>
      <c r="D132" s="57" t="inlineStr">
        <is>
          <t>6.67%</t>
        </is>
      </c>
      <c r="E132" s="57" t="n">
        <v>1</v>
      </c>
      <c r="F132" s="59" t="inlineStr">
        <is>
          <t>About</t>
        </is>
      </c>
    </row>
    <row r="133" ht="15.75" customHeight="1" s="1">
      <c r="A133" s="56" t="inlineStr">
        <is>
          <t>쿠팡플레이/티빙</t>
        </is>
      </c>
      <c r="B133" s="57" t="inlineStr">
        <is>
          <t>5월 7일</t>
        </is>
      </c>
      <c r="C133" s="56" t="inlineStr">
        <is>
          <t>쿠팡 티빙 광고</t>
        </is>
      </c>
      <c r="D133" s="57" t="inlineStr">
        <is>
          <t>1.49%</t>
        </is>
      </c>
      <c r="E133" s="57" t="n">
        <v>1</v>
      </c>
      <c r="F133" s="59" t="inlineStr">
        <is>
          <t>About</t>
        </is>
      </c>
    </row>
    <row r="134" ht="15.75" customHeight="1" s="1">
      <c r="A134" s="56" t="inlineStr">
        <is>
          <t>쿠팡플레이/티빙</t>
        </is>
      </c>
      <c r="B134" s="57" t="inlineStr">
        <is>
          <t>5월 7일</t>
        </is>
      </c>
      <c r="C134" s="56" t="inlineStr">
        <is>
          <t>쿠팡플레이 광고</t>
        </is>
      </c>
      <c r="D134" s="57" t="inlineStr">
        <is>
          <t>2.99%</t>
        </is>
      </c>
      <c r="E134" s="57" t="n">
        <v>2</v>
      </c>
      <c r="F134" s="59" t="inlineStr">
        <is>
          <t>About</t>
        </is>
      </c>
    </row>
    <row r="135" ht="15.75" customHeight="1" s="1">
      <c r="A135" s="56" t="inlineStr">
        <is>
          <t>쿠팡플레이/티빙</t>
        </is>
      </c>
      <c r="B135" s="57" t="inlineStr">
        <is>
          <t>5월 7일</t>
        </is>
      </c>
      <c r="C135" s="56" t="inlineStr">
        <is>
          <t>티빙 광고 대행사</t>
        </is>
      </c>
      <c r="D135" s="57" t="inlineStr">
        <is>
          <t>1.49%</t>
        </is>
      </c>
      <c r="E135" s="57" t="n">
        <v>1</v>
      </c>
      <c r="F135" s="59" t="inlineStr">
        <is>
          <t>About</t>
        </is>
      </c>
    </row>
    <row r="136" ht="15.75" customHeight="1" s="1">
      <c r="A136" s="56" t="inlineStr">
        <is>
          <t>쿠팡플레이/티빙</t>
        </is>
      </c>
      <c r="B136" s="57" t="inlineStr">
        <is>
          <t>5월 8일</t>
        </is>
      </c>
      <c r="C136" s="56" t="inlineStr">
        <is>
          <t>쿠팡플레이 광고</t>
        </is>
      </c>
      <c r="D136" s="57" t="inlineStr">
        <is>
          <t>4.35%</t>
        </is>
      </c>
      <c r="E136" s="57" t="n">
        <v>2</v>
      </c>
      <c r="F136" s="59" t="inlineStr">
        <is>
          <t>About</t>
        </is>
      </c>
    </row>
    <row r="137" ht="15.75" customHeight="1" s="1">
      <c r="A137" s="56" t="inlineStr">
        <is>
          <t>쿠팡플레이/티빙</t>
        </is>
      </c>
      <c r="B137" s="57" t="inlineStr">
        <is>
          <t>5월 8일</t>
        </is>
      </c>
      <c r="C137" s="56" t="inlineStr">
        <is>
          <t>쿠팡플레이 티빙 광고대행</t>
        </is>
      </c>
      <c r="D137" s="57" t="inlineStr">
        <is>
          <t>2.17%</t>
        </is>
      </c>
      <c r="E137" s="57" t="n">
        <v>1</v>
      </c>
      <c r="F137" s="59" t="inlineStr">
        <is>
          <t>About</t>
        </is>
      </c>
    </row>
    <row r="138" ht="15.75" customHeight="1" s="1">
      <c r="A138" s="56" t="inlineStr">
        <is>
          <t>쿠팡플레이/티빙</t>
        </is>
      </c>
      <c r="B138" s="57" t="inlineStr">
        <is>
          <t>5월 18일</t>
        </is>
      </c>
      <c r="C138" s="56" t="inlineStr">
        <is>
          <t>dmc미디어 쿠팡플레이</t>
        </is>
      </c>
      <c r="D138" s="57" t="inlineStr">
        <is>
          <t>4.17%</t>
        </is>
      </c>
      <c r="E138" s="57" t="n">
        <v>1</v>
      </c>
      <c r="F138" s="59" t="inlineStr">
        <is>
          <t>About</t>
        </is>
      </c>
    </row>
    <row r="139" ht="15.75" customHeight="1" s="1">
      <c r="A139" s="56" t="inlineStr">
        <is>
          <t>People/기타</t>
        </is>
      </c>
      <c r="B139" s="57" t="inlineStr">
        <is>
          <t>5월 12일</t>
        </is>
      </c>
      <c r="C139" s="56" t="inlineStr">
        <is>
          <t>우천시 창립기념행사</t>
        </is>
      </c>
      <c r="D139" s="57" t="inlineStr">
        <is>
          <t>3.13%</t>
        </is>
      </c>
      <c r="E139" s="57" t="n">
        <v>1</v>
      </c>
      <c r="F139" s="60" t="inlineStr">
        <is>
          <t>People</t>
        </is>
      </c>
    </row>
    <row r="140" ht="15.75" customHeight="1" s="1">
      <c r="A140" s="56" t="inlineStr">
        <is>
          <t>People/기타</t>
        </is>
      </c>
      <c r="B140" s="57" t="inlineStr">
        <is>
          <t>5월 13일</t>
        </is>
      </c>
      <c r="C140" s="56" t="inlineStr">
        <is>
          <t>마케팅 웨비나</t>
        </is>
      </c>
      <c r="D140" s="57" t="inlineStr">
        <is>
          <t>5.00%</t>
        </is>
      </c>
      <c r="E140" s="57" t="n">
        <v>2</v>
      </c>
      <c r="F140" s="59" t="inlineStr">
        <is>
          <t>About</t>
        </is>
      </c>
    </row>
    <row r="141" ht="15.75" customHeight="1" s="1">
      <c r="A141" s="56" t="inlineStr">
        <is>
          <t>People/기타</t>
        </is>
      </c>
      <c r="B141" s="57" t="inlineStr">
        <is>
          <t>5월 15일</t>
        </is>
      </c>
      <c r="C141" s="56" t="inlineStr">
        <is>
          <t>세종대왕 맥북프로 던짐사건</t>
        </is>
      </c>
      <c r="D141" s="57" t="inlineStr">
        <is>
          <t>2.56%</t>
        </is>
      </c>
      <c r="E141" s="57" t="n">
        <v>1</v>
      </c>
      <c r="F141" s="62" t="n"/>
    </row>
    <row r="142" ht="15.75" customHeight="1" s="1">
      <c r="A142" s="56" t="inlineStr">
        <is>
          <t>People/기타</t>
        </is>
      </c>
      <c r="B142" s="57" t="inlineStr">
        <is>
          <t>5월 15일</t>
        </is>
      </c>
      <c r="C142" s="56" t="inlineStr">
        <is>
          <t>휴먼파티데이터</t>
        </is>
      </c>
      <c r="D142" s="57" t="inlineStr">
        <is>
          <t>2.56%</t>
        </is>
      </c>
      <c r="E142" s="57" t="n">
        <v>1</v>
      </c>
      <c r="F142" s="58" t="inlineStr">
        <is>
          <t>Media</t>
        </is>
      </c>
    </row>
    <row r="143" ht="15.75" customHeight="1" s="1">
      <c r="A143" s="56" t="inlineStr">
        <is>
          <t>People/기타</t>
        </is>
      </c>
      <c r="B143" s="57" t="inlineStr">
        <is>
          <t>5월 16일</t>
        </is>
      </c>
      <c r="C143" s="56" t="inlineStr">
        <is>
          <t>미디어믹스</t>
        </is>
      </c>
      <c r="D143" s="57" t="inlineStr">
        <is>
          <t>4.00%</t>
        </is>
      </c>
      <c r="E143" s="57" t="n">
        <v>1</v>
      </c>
      <c r="F143" s="60" t="inlineStr">
        <is>
          <t>People</t>
        </is>
      </c>
    </row>
    <row r="144" ht="15.75" customHeight="1" s="1">
      <c r="A144" s="56" t="inlineStr">
        <is>
          <t>People/기타</t>
        </is>
      </c>
      <c r="B144" s="57" t="inlineStr">
        <is>
          <t>5월 19일</t>
        </is>
      </c>
      <c r="C144" s="56" t="inlineStr">
        <is>
          <t>키친플래그 후기</t>
        </is>
      </c>
      <c r="D144" s="57" t="inlineStr">
        <is>
          <t>3.45%</t>
        </is>
      </c>
      <c r="E144" s="57" t="n">
        <v>1</v>
      </c>
      <c r="F144" s="62" t="n"/>
    </row>
    <row r="145" ht="15.75" customHeight="1" s="1">
      <c r="A145" s="56" t="inlineStr">
        <is>
          <t>People/기타</t>
        </is>
      </c>
      <c r="B145" s="57" t="inlineStr">
        <is>
          <t>5월 21일</t>
        </is>
      </c>
      <c r="C145" s="56" t="inlineStr">
        <is>
          <t>ai 인간 짤</t>
        </is>
      </c>
      <c r="D145" s="57" t="inlineStr">
        <is>
          <t>0.73%</t>
        </is>
      </c>
      <c r="E145" s="57" t="n">
        <v>1</v>
      </c>
      <c r="F145" s="60" t="inlineStr">
        <is>
          <t>People</t>
        </is>
      </c>
    </row>
    <row r="146" ht="15.75" customHeight="1" s="1">
      <c r="A146" s="56" t="inlineStr">
        <is>
          <t>People/기타</t>
        </is>
      </c>
      <c r="B146" s="57" t="inlineStr">
        <is>
          <t>5월 26일</t>
        </is>
      </c>
      <c r="C146" s="56" t="inlineStr">
        <is>
          <t>웨비나 매체</t>
        </is>
      </c>
      <c r="D146" s="57" t="inlineStr">
        <is>
          <t>2.50%</t>
        </is>
      </c>
      <c r="E146" s="57" t="n">
        <v>1</v>
      </c>
      <c r="F146" s="59" t="inlineStr">
        <is>
          <t>About</t>
        </is>
      </c>
    </row>
    <row r="147" ht="15.75" customHeight="1" s="1">
      <c r="A147" s="56" t="inlineStr">
        <is>
          <t>People/기타</t>
        </is>
      </c>
      <c r="B147" s="57" t="inlineStr">
        <is>
          <t>5월 28일</t>
        </is>
      </c>
      <c r="C147" s="56" t="inlineStr">
        <is>
          <t>040mbcon육ㄱ킹남육아대디39회</t>
        </is>
      </c>
      <c r="D147" s="57" t="inlineStr">
        <is>
          <t>3.57%</t>
        </is>
      </c>
      <c r="E147" s="57" t="n">
        <v>1</v>
      </c>
      <c r="F147" s="60" t="inlineStr">
        <is>
          <t>People</t>
        </is>
      </c>
    </row>
    <row r="148" ht="15.75" customHeight="1" s="1">
      <c r="A148" s="56" t="inlineStr">
        <is>
          <t>People/기타</t>
        </is>
      </c>
      <c r="B148" s="57" t="inlineStr">
        <is>
          <t>5월 31일</t>
        </is>
      </c>
      <c r="C148" s="56" t="inlineStr">
        <is>
          <t>각자 할 일하는 모임</t>
        </is>
      </c>
      <c r="D148" s="57" t="inlineStr">
        <is>
          <t>3.70%</t>
        </is>
      </c>
      <c r="E148" s="57" t="n">
        <v>1</v>
      </c>
      <c r="F148" s="61" t="inlineStr">
        <is>
          <t>Trend</t>
        </is>
      </c>
    </row>
    <row r="149" ht="15.75" customHeight="1" s="1">
      <c r="A149" s="56" t="inlineStr">
        <is>
          <t>People/기타</t>
        </is>
      </c>
      <c r="B149" s="57" t="inlineStr">
        <is>
          <t>5월 6일</t>
        </is>
      </c>
      <c r="C149" s="56" t="inlineStr">
        <is>
          <t>공과금 내는 모임</t>
        </is>
      </c>
      <c r="D149" s="57" t="inlineStr">
        <is>
          <t>3.23%</t>
        </is>
      </c>
      <c r="E149" s="57" t="n">
        <v>1</v>
      </c>
      <c r="F149" s="61" t="inlineStr">
        <is>
          <t>Trend</t>
        </is>
      </c>
    </row>
    <row r="150" ht="15.75" customHeight="1" s="1">
      <c r="A150" s="56" t="inlineStr">
        <is>
          <t>People/기타</t>
        </is>
      </c>
      <c r="B150" s="57" t="inlineStr">
        <is>
          <t>5월 6일</t>
        </is>
      </c>
      <c r="C150" s="56" t="inlineStr">
        <is>
          <t>동료입사 10주년 선물</t>
        </is>
      </c>
      <c r="D150" s="57" t="inlineStr">
        <is>
          <t>3.23%</t>
        </is>
      </c>
      <c r="E150" s="57" t="n">
        <v>1</v>
      </c>
      <c r="F150" s="60" t="inlineStr">
        <is>
          <t>People</t>
        </is>
      </c>
    </row>
    <row r="151" ht="15.75" customHeight="1" s="1">
      <c r="A151" s="56" t="inlineStr">
        <is>
          <t>People/기타</t>
        </is>
      </c>
      <c r="B151" s="57" t="inlineStr">
        <is>
          <t>5월 8일</t>
        </is>
      </c>
      <c r="C151" s="56" t="inlineStr">
        <is>
          <t>마케팅 셀퍼란</t>
        </is>
      </c>
      <c r="D151" s="57" t="inlineStr">
        <is>
          <t>2.17%</t>
        </is>
      </c>
      <c r="E151" s="57" t="n">
        <v>1</v>
      </c>
      <c r="F151" s="60" t="inlineStr">
        <is>
          <t>People</t>
        </is>
      </c>
    </row>
    <row r="152" ht="15.75" customHeight="1" s="1">
      <c r="A152" s="56" t="inlineStr">
        <is>
          <t>디지털 마케팅</t>
        </is>
      </c>
      <c r="B152" s="57" t="inlineStr">
        <is>
          <t>5월 10일</t>
        </is>
      </c>
      <c r="C152" s="56" t="inlineStr">
        <is>
          <t>m브랜딩 da</t>
        </is>
      </c>
      <c r="D152" s="57" t="inlineStr">
        <is>
          <t>6.67%</t>
        </is>
      </c>
      <c r="E152" s="57" t="n">
        <v>1</v>
      </c>
      <c r="F152" s="62" t="n"/>
    </row>
    <row r="153" ht="15.75" customHeight="1" s="1">
      <c r="A153" s="56" t="inlineStr">
        <is>
          <t>디지털 마케팅</t>
        </is>
      </c>
      <c r="B153" s="57" t="inlineStr">
        <is>
          <t>5월 11일</t>
        </is>
      </c>
      <c r="C153" s="56" t="inlineStr">
        <is>
          <t>온드미디어</t>
        </is>
      </c>
      <c r="D153" s="57" t="inlineStr">
        <is>
          <t>2.33%</t>
        </is>
      </c>
      <c r="E153" s="57" t="n">
        <v>1</v>
      </c>
      <c r="F153" s="60" t="inlineStr">
        <is>
          <t>People</t>
        </is>
      </c>
    </row>
    <row r="154" ht="15.75" customHeight="1" s="1">
      <c r="A154" s="56" t="inlineStr">
        <is>
          <t>디지털 마케팅</t>
        </is>
      </c>
      <c r="B154" s="57" t="inlineStr">
        <is>
          <t>5월 12일</t>
        </is>
      </c>
      <c r="C154" s="56" t="inlineStr">
        <is>
          <t>데이터 기반 퍼포먼스 마케팅 원리</t>
        </is>
      </c>
      <c r="D154" s="57" t="inlineStr">
        <is>
          <t>3.13%</t>
        </is>
      </c>
      <c r="E154" s="57" t="n">
        <v>1</v>
      </c>
      <c r="F154" s="59" t="inlineStr">
        <is>
          <t>About</t>
        </is>
      </c>
    </row>
    <row r="155" ht="15.75" customHeight="1" s="1">
      <c r="A155" s="56" t="inlineStr">
        <is>
          <t>디지털 마케팅</t>
        </is>
      </c>
      <c r="B155" s="57" t="inlineStr">
        <is>
          <t>5월 15일</t>
        </is>
      </c>
      <c r="C155" s="56" t="inlineStr">
        <is>
          <t>AEO마케팅 제안서</t>
        </is>
      </c>
      <c r="D155" s="57" t="inlineStr">
        <is>
          <t>2.56%</t>
        </is>
      </c>
      <c r="E155" s="57" t="n">
        <v>1</v>
      </c>
      <c r="F155" s="59" t="inlineStr">
        <is>
          <t>About</t>
        </is>
      </c>
    </row>
    <row r="156" ht="15.75" customHeight="1" s="1">
      <c r="A156" s="56" t="inlineStr">
        <is>
          <t>디지털 마케팅</t>
        </is>
      </c>
      <c r="B156" s="57" t="inlineStr">
        <is>
          <t>5월 15일</t>
        </is>
      </c>
      <c r="C156" s="56" t="inlineStr">
        <is>
          <t>온드미디어 geo 15%</t>
        </is>
      </c>
      <c r="D156" s="57" t="inlineStr">
        <is>
          <t>2.56%</t>
        </is>
      </c>
      <c r="E156" s="57" t="n">
        <v>1</v>
      </c>
      <c r="F156" s="58" t="inlineStr">
        <is>
          <t>Media</t>
        </is>
      </c>
    </row>
    <row r="157" ht="15.75" customHeight="1" s="1">
      <c r="A157" s="56" t="inlineStr">
        <is>
          <t>디지털 마케팅</t>
        </is>
      </c>
      <c r="B157" s="57" t="inlineStr">
        <is>
          <t>5월 20일</t>
        </is>
      </c>
      <c r="C157" s="56" t="inlineStr">
        <is>
          <t>da 광고 성과 목표</t>
        </is>
      </c>
      <c r="D157" s="57" t="inlineStr">
        <is>
          <t>5.00%</t>
        </is>
      </c>
      <c r="E157" s="57" t="n">
        <v>1</v>
      </c>
      <c r="F157" s="58" t="inlineStr">
        <is>
          <t>Media</t>
        </is>
      </c>
    </row>
    <row r="158" ht="15.75" customHeight="1" s="1">
      <c r="A158" s="56" t="inlineStr">
        <is>
          <t>디지털 마케팅</t>
        </is>
      </c>
      <c r="B158" s="57" t="inlineStr">
        <is>
          <t>5월 20일</t>
        </is>
      </c>
      <c r="C158" s="56" t="inlineStr">
        <is>
          <t>온드미디어</t>
        </is>
      </c>
      <c r="D158" s="57" t="inlineStr">
        <is>
          <t>5.00%</t>
        </is>
      </c>
      <c r="E158" s="57" t="n">
        <v>1</v>
      </c>
      <c r="F158" s="60" t="inlineStr">
        <is>
          <t>People</t>
        </is>
      </c>
    </row>
    <row r="159" ht="15.75" customHeight="1" s="1">
      <c r="A159" s="56" t="inlineStr">
        <is>
          <t>디지털 마케팅</t>
        </is>
      </c>
      <c r="B159" s="57" t="inlineStr">
        <is>
          <t>5월 21일</t>
        </is>
      </c>
      <c r="C159" s="56" t="inlineStr">
        <is>
          <t>디지털 마케팅 suprt</t>
        </is>
      </c>
      <c r="D159" s="57" t="inlineStr">
        <is>
          <t>1.46%</t>
        </is>
      </c>
      <c r="E159" s="57" t="n">
        <v>2</v>
      </c>
      <c r="F159" s="61" t="inlineStr">
        <is>
          <t>Trend</t>
        </is>
      </c>
    </row>
    <row r="160" ht="15.75" customHeight="1" s="1">
      <c r="A160" s="56" t="inlineStr">
        <is>
          <t>디지털 마케팅</t>
        </is>
      </c>
      <c r="B160" s="57" t="inlineStr">
        <is>
          <t>5월 26일</t>
        </is>
      </c>
      <c r="C160" s="56" t="inlineStr">
        <is>
          <t>디지털 마케팅 suprt</t>
        </is>
      </c>
      <c r="D160" s="57" t="inlineStr">
        <is>
          <t>2.50%</t>
        </is>
      </c>
      <c r="E160" s="57" t="n">
        <v>1</v>
      </c>
      <c r="F160" s="61" t="inlineStr">
        <is>
          <t>Trend</t>
        </is>
      </c>
    </row>
    <row r="161" ht="15.75" customHeight="1" s="1">
      <c r="A161" s="56" t="inlineStr">
        <is>
          <t>디지털 마케팅</t>
        </is>
      </c>
      <c r="B161" s="57" t="inlineStr">
        <is>
          <t>5월 27일</t>
        </is>
      </c>
      <c r="C161" s="56" t="inlineStr">
        <is>
          <t>디지털 마케팅 suprt</t>
        </is>
      </c>
      <c r="D161" s="57" t="inlineStr">
        <is>
          <t>9.09%</t>
        </is>
      </c>
      <c r="E161" s="57" t="n">
        <v>3</v>
      </c>
      <c r="F161" s="61" t="inlineStr">
        <is>
          <t>Trend</t>
        </is>
      </c>
    </row>
    <row r="162" ht="15.75" customHeight="1" s="1">
      <c r="A162" s="56" t="inlineStr">
        <is>
          <t>디지털 마케팅</t>
        </is>
      </c>
      <c r="B162" s="57" t="inlineStr">
        <is>
          <t>5월 29일</t>
        </is>
      </c>
      <c r="C162" s="56" t="inlineStr">
        <is>
          <t>디지털 마케팅 suprt</t>
        </is>
      </c>
      <c r="D162" s="57" t="inlineStr">
        <is>
          <t>4.26%</t>
        </is>
      </c>
      <c r="E162" s="57" t="n">
        <v>2</v>
      </c>
      <c r="F162" s="61" t="inlineStr">
        <is>
          <t>Trend</t>
        </is>
      </c>
    </row>
    <row r="163" ht="15.75" customHeight="1" s="1">
      <c r="A163" s="56" t="inlineStr">
        <is>
          <t>디지털 마케팅</t>
        </is>
      </c>
      <c r="B163" s="57" t="inlineStr">
        <is>
          <t>5월 7일</t>
        </is>
      </c>
      <c r="C163" s="56" t="inlineStr">
        <is>
          <t>온드미디어</t>
        </is>
      </c>
      <c r="D163" s="57" t="inlineStr">
        <is>
          <t>1.49%</t>
        </is>
      </c>
      <c r="E163" s="57" t="n">
        <v>1</v>
      </c>
      <c r="F163" s="58" t="inlineStr">
        <is>
          <t>Media</t>
        </is>
      </c>
    </row>
    <row r="164" ht="15.75" customHeight="1" s="1">
      <c r="A164" s="56" t="inlineStr">
        <is>
          <t>네이버 AI광고</t>
        </is>
      </c>
      <c r="B164" s="57" t="inlineStr">
        <is>
          <t>5월 11일</t>
        </is>
      </c>
      <c r="C164" s="56" t="inlineStr">
        <is>
          <t>네이버 쇼케이스 EAST</t>
        </is>
      </c>
      <c r="D164" s="57" t="inlineStr">
        <is>
          <t>2.33%</t>
        </is>
      </c>
      <c r="E164" s="57" t="n">
        <v>1</v>
      </c>
      <c r="F164" s="62" t="n"/>
    </row>
    <row r="165" ht="15.75" customHeight="1" s="1">
      <c r="A165" s="56" t="inlineStr">
        <is>
          <t>네이버 AI광고</t>
        </is>
      </c>
      <c r="B165" s="57" t="inlineStr">
        <is>
          <t>5월 12일</t>
        </is>
      </c>
      <c r="C165" s="56" t="inlineStr">
        <is>
          <t>네이버지도 스플래시</t>
        </is>
      </c>
      <c r="D165" s="57" t="inlineStr">
        <is>
          <t>3.13%</t>
        </is>
      </c>
      <c r="E165" s="57" t="n">
        <v>1</v>
      </c>
      <c r="F165" s="59" t="inlineStr">
        <is>
          <t>About</t>
        </is>
      </c>
    </row>
    <row r="166" ht="15.75" customHeight="1" s="1">
      <c r="A166" s="56" t="inlineStr">
        <is>
          <t>네이버 AI광고</t>
        </is>
      </c>
      <c r="B166" s="57" t="inlineStr">
        <is>
          <t>5월 13일</t>
        </is>
      </c>
      <c r="C166" s="56" t="inlineStr">
        <is>
          <t>ADVoost 쇼핑 광고 비용 계산 방법</t>
        </is>
      </c>
      <c r="D166" s="57" t="inlineStr">
        <is>
          <t>2.50%</t>
        </is>
      </c>
      <c r="E166" s="57" t="n">
        <v>1</v>
      </c>
      <c r="F166" s="62" t="n"/>
    </row>
    <row r="167" ht="15.75" customHeight="1" s="1">
      <c r="A167" s="56" t="inlineStr">
        <is>
          <t>네이버 AI광고</t>
        </is>
      </c>
      <c r="B167" s="57" t="inlineStr">
        <is>
          <t>5월 13일</t>
        </is>
      </c>
      <c r="C167" s="56" t="inlineStr">
        <is>
          <t>네이버 보상형 광고 nosp</t>
        </is>
      </c>
      <c r="D167" s="57" t="inlineStr">
        <is>
          <t>2.50%</t>
        </is>
      </c>
      <c r="E167" s="57" t="n">
        <v>1</v>
      </c>
      <c r="F167" s="62" t="n"/>
    </row>
    <row r="168" ht="15.75" customHeight="1" s="1">
      <c r="A168" s="56" t="inlineStr">
        <is>
          <t>네이버 AI광고</t>
        </is>
      </c>
      <c r="B168" s="57" t="inlineStr">
        <is>
          <t>5월 13일</t>
        </is>
      </c>
      <c r="C168" s="56" t="inlineStr">
        <is>
          <t>무신사 스플래시 배너</t>
        </is>
      </c>
      <c r="D168" s="57" t="inlineStr">
        <is>
          <t>2.50%</t>
        </is>
      </c>
      <c r="E168" s="57" t="n">
        <v>1</v>
      </c>
      <c r="F168" s="58" t="inlineStr">
        <is>
          <t>Media</t>
        </is>
      </c>
    </row>
    <row r="169" ht="15.75" customHeight="1" s="1">
      <c r="A169" s="56" t="inlineStr">
        <is>
          <t>네이버 AI광고</t>
        </is>
      </c>
      <c r="B169" s="57" t="inlineStr">
        <is>
          <t>5월 24일</t>
        </is>
      </c>
      <c r="C169" s="56" t="inlineStr">
        <is>
          <t>네이버 ai탭 광고</t>
        </is>
      </c>
      <c r="D169" s="57" t="inlineStr">
        <is>
          <t>20.00%</t>
        </is>
      </c>
      <c r="E169" s="57" t="n">
        <v>1</v>
      </c>
      <c r="F169" s="59" t="inlineStr">
        <is>
          <t>About</t>
        </is>
      </c>
    </row>
    <row r="170" ht="15.75" customHeight="1" s="1">
      <c r="A170" s="56" t="inlineStr">
        <is>
          <t>네이버 AI광고</t>
        </is>
      </c>
      <c r="B170" s="57" t="inlineStr">
        <is>
          <t>5월 26일</t>
        </is>
      </c>
      <c r="C170" s="56" t="inlineStr">
        <is>
          <t>네이버 플레이스 4월 노출 지면</t>
        </is>
      </c>
      <c r="D170" s="57" t="inlineStr">
        <is>
          <t>2.50%</t>
        </is>
      </c>
      <c r="E170" s="57" t="n">
        <v>1</v>
      </c>
      <c r="F170" s="59" t="inlineStr">
        <is>
          <t>About</t>
        </is>
      </c>
    </row>
    <row r="171" ht="15.75" customHeight="1" s="1">
      <c r="A171" s="56" t="inlineStr">
        <is>
          <t>네이버 AI광고</t>
        </is>
      </c>
      <c r="B171" s="57" t="inlineStr">
        <is>
          <t>5월 29일</t>
        </is>
      </c>
      <c r="C171" s="56" t="inlineStr">
        <is>
          <t>ai로 네이버광고 집행방법</t>
        </is>
      </c>
      <c r="D171" s="57" t="inlineStr">
        <is>
          <t>2.13%</t>
        </is>
      </c>
      <c r="E171" s="57" t="n">
        <v>1</v>
      </c>
      <c r="F171" s="59" t="inlineStr">
        <is>
          <t>About</t>
        </is>
      </c>
    </row>
    <row r="172" ht="15.75" customHeight="1" s="1">
      <c r="A172" s="56" t="inlineStr">
        <is>
          <t>네이버 AI광고</t>
        </is>
      </c>
      <c r="B172" s="57" t="inlineStr">
        <is>
          <t>5월 4일</t>
        </is>
      </c>
      <c r="C172" s="56" t="inlineStr">
        <is>
          <t>ADVoost 검색광고 AI 자동 최적화 기능 알려주세요</t>
        </is>
      </c>
      <c r="D172" s="57" t="inlineStr">
        <is>
          <t>4.55%</t>
        </is>
      </c>
      <c r="E172" s="57" t="n">
        <v>1</v>
      </c>
      <c r="F172" s="62" t="n"/>
    </row>
    <row r="173" ht="15.75" customHeight="1" s="1">
      <c r="A173" s="56" t="inlineStr">
        <is>
          <t>네이버 AI광고</t>
        </is>
      </c>
      <c r="B173" s="57" t="inlineStr">
        <is>
          <t>5월 4일</t>
        </is>
      </c>
      <c r="C173" s="56" t="inlineStr">
        <is>
          <t>ADVoost와 기존 네이버 광고 차이점이 궁금해요</t>
        </is>
      </c>
      <c r="D173" s="57" t="inlineStr">
        <is>
          <t>4.55%</t>
        </is>
      </c>
      <c r="E173" s="57" t="n">
        <v>1</v>
      </c>
      <c r="F173" s="62" t="n"/>
    </row>
    <row r="174" ht="15.75" customHeight="1" s="1">
      <c r="A174" s="56" t="inlineStr">
        <is>
          <t>네이버 AI광고</t>
        </is>
      </c>
      <c r="B174" s="57" t="inlineStr">
        <is>
          <t>5월 5일</t>
        </is>
      </c>
      <c r="C174" s="56" t="inlineStr">
        <is>
          <t>네이버광고 AI 비용</t>
        </is>
      </c>
      <c r="D174" s="57" t="inlineStr">
        <is>
          <t>14.29%</t>
        </is>
      </c>
      <c r="E174" s="57" t="n">
        <v>1</v>
      </c>
      <c r="F174" s="58" t="inlineStr">
        <is>
          <t>Media</t>
        </is>
      </c>
    </row>
    <row r="175" ht="15.75" customHeight="1" s="1">
      <c r="A175" s="56" t="inlineStr">
        <is>
          <t>Amplitude</t>
        </is>
      </c>
      <c r="B175" s="57" t="inlineStr">
        <is>
          <t>5월 14일</t>
        </is>
      </c>
      <c r="C175" s="56" t="inlineStr">
        <is>
          <t>ga gtm 권한부여</t>
        </is>
      </c>
      <c r="D175" s="57" t="inlineStr">
        <is>
          <t>2.86%</t>
        </is>
      </c>
      <c r="E175" s="57" t="n">
        <v>1</v>
      </c>
      <c r="F175" s="63" t="inlineStr">
        <is>
          <t>Data</t>
        </is>
      </c>
    </row>
    <row r="176" ht="15.75" customHeight="1" s="1">
      <c r="A176" s="56" t="inlineStr">
        <is>
          <t>Amplitude</t>
        </is>
      </c>
      <c r="B176" s="57" t="inlineStr">
        <is>
          <t>5월 18일</t>
        </is>
      </c>
      <c r="C176" s="56" t="inlineStr">
        <is>
          <t>LightweightMMM</t>
        </is>
      </c>
      <c r="D176" s="57" t="inlineStr">
        <is>
          <t>4.17%</t>
        </is>
      </c>
      <c r="E176" s="57" t="n">
        <v>1</v>
      </c>
      <c r="F176" s="61" t="inlineStr">
        <is>
          <t>Trend</t>
        </is>
      </c>
    </row>
    <row r="177" ht="15.75" customHeight="1" s="1">
      <c r="A177" s="56" t="inlineStr">
        <is>
          <t>Amplitude</t>
        </is>
      </c>
      <c r="B177" s="57" t="inlineStr">
        <is>
          <t>5월 18일</t>
        </is>
      </c>
      <c r="C177" s="56" t="inlineStr">
        <is>
          <t>amplitude organization 만들기</t>
        </is>
      </c>
      <c r="D177" s="57" t="inlineStr">
        <is>
          <t>4.17%</t>
        </is>
      </c>
      <c r="E177" s="57" t="n">
        <v>1</v>
      </c>
      <c r="F177" s="63" t="inlineStr">
        <is>
          <t>Data</t>
        </is>
      </c>
    </row>
    <row r="178" ht="15.75" customHeight="1" s="1">
      <c r="A178" s="56" t="inlineStr">
        <is>
          <t>Amplitude</t>
        </is>
      </c>
      <c r="B178" s="57" t="inlineStr">
        <is>
          <t>5월 19일</t>
        </is>
      </c>
      <c r="C178" s="56" t="inlineStr">
        <is>
          <t>ga 계정 관리</t>
        </is>
      </c>
      <c r="D178" s="57" t="inlineStr">
        <is>
          <t>3.45%</t>
        </is>
      </c>
      <c r="E178" s="57" t="n">
        <v>1</v>
      </c>
      <c r="F178" s="63" t="inlineStr">
        <is>
          <t>Data</t>
        </is>
      </c>
    </row>
    <row r="179" ht="15.75" customHeight="1" s="1">
      <c r="A179" s="56" t="inlineStr">
        <is>
          <t>Amplitude</t>
        </is>
      </c>
      <c r="B179" s="57" t="inlineStr">
        <is>
          <t>5월 28일</t>
        </is>
      </c>
      <c r="C179" s="56" t="inlineStr">
        <is>
          <t>앰플리튜드 계정 조직 연결</t>
        </is>
      </c>
      <c r="D179" s="57" t="inlineStr">
        <is>
          <t>3.57%</t>
        </is>
      </c>
      <c r="E179" s="57" t="n">
        <v>1</v>
      </c>
      <c r="F179" s="63" t="inlineStr">
        <is>
          <t>Data</t>
        </is>
      </c>
    </row>
    <row r="180" ht="15.75" customHeight="1" s="1">
      <c r="A180" s="56" t="inlineStr">
        <is>
          <t>Amplitude</t>
        </is>
      </c>
      <c r="B180" s="57" t="inlineStr">
        <is>
          <t>5월 29일</t>
        </is>
      </c>
      <c r="C180" s="56" t="inlineStr">
        <is>
          <t>앰플리튜드 CDP</t>
        </is>
      </c>
      <c r="D180" s="57" t="inlineStr">
        <is>
          <t>2.13%</t>
        </is>
      </c>
      <c r="E180" s="57" t="n">
        <v>1</v>
      </c>
      <c r="F180" s="63" t="inlineStr">
        <is>
          <t>Data</t>
        </is>
      </c>
    </row>
    <row r="181" ht="15.75" customHeight="1" s="1">
      <c r="A181" s="56" t="inlineStr">
        <is>
          <t>Amplitude</t>
        </is>
      </c>
      <c r="B181" s="57" t="inlineStr">
        <is>
          <t>5월 4일</t>
        </is>
      </c>
      <c r="C181" s="56" t="inlineStr">
        <is>
          <t>앰플리튜드 개념</t>
        </is>
      </c>
      <c r="D181" s="57" t="inlineStr">
        <is>
          <t>4.55%</t>
        </is>
      </c>
      <c r="E181" s="57" t="n">
        <v>1</v>
      </c>
      <c r="F181" s="63" t="inlineStr">
        <is>
          <t>Data</t>
        </is>
      </c>
    </row>
    <row r="182" ht="15.75" customHeight="1" s="1">
      <c r="A182" s="56" t="inlineStr">
        <is>
          <t>Amplitude</t>
        </is>
      </c>
      <c r="B182" s="57" t="inlineStr">
        <is>
          <t>5월 4일</t>
        </is>
      </c>
      <c r="C182" s="56" t="inlineStr">
        <is>
          <t>앰플리튜드 프로퍼티</t>
        </is>
      </c>
      <c r="D182" s="57" t="inlineStr">
        <is>
          <t>4.55%</t>
        </is>
      </c>
      <c r="E182" s="57" t="n">
        <v>1</v>
      </c>
      <c r="F182" s="63" t="inlineStr">
        <is>
          <t>Data</t>
        </is>
      </c>
    </row>
    <row r="183" ht="15.75" customHeight="1" s="1">
      <c r="A183" s="56" t="inlineStr">
        <is>
          <t>Amplitude</t>
        </is>
      </c>
      <c r="B183" s="57" t="inlineStr">
        <is>
          <t>5월 4일</t>
        </is>
      </c>
      <c r="C183" s="56" t="inlineStr">
        <is>
          <t>엠플리튜드 UID 확인</t>
        </is>
      </c>
      <c r="D183" s="57" t="inlineStr">
        <is>
          <t>4.55%</t>
        </is>
      </c>
      <c r="E183" s="57" t="n">
        <v>1</v>
      </c>
      <c r="F183" s="63" t="inlineStr">
        <is>
          <t>Data</t>
        </is>
      </c>
    </row>
    <row r="184" ht="15.75" customHeight="1" s="1">
      <c r="A184" s="56" t="inlineStr">
        <is>
          <t>Amplitude</t>
        </is>
      </c>
      <c r="B184" s="57" t="inlineStr">
        <is>
          <t>5월 5일</t>
        </is>
      </c>
      <c r="C184" s="56" t="inlineStr">
        <is>
          <t>GA 원본 데이터 추출</t>
        </is>
      </c>
      <c r="D184" s="57" t="inlineStr">
        <is>
          <t>14.29%</t>
        </is>
      </c>
      <c r="E184" s="57" t="n">
        <v>1</v>
      </c>
      <c r="F184" s="63" t="inlineStr">
        <is>
          <t>Data</t>
        </is>
      </c>
    </row>
    <row r="185" ht="15.75" customHeight="1" s="1">
      <c r="A185" s="56" t="inlineStr">
        <is>
          <t>Amplitude</t>
        </is>
      </c>
      <c r="B185" s="57" t="inlineStr">
        <is>
          <t>5월 9일</t>
        </is>
      </c>
      <c r="C185" s="56" t="inlineStr">
        <is>
          <t>앰플리튜드 Conversion</t>
        </is>
      </c>
      <c r="D185" s="57" t="inlineStr">
        <is>
          <t>12.50%</t>
        </is>
      </c>
      <c r="E185" s="57" t="n">
        <v>1</v>
      </c>
      <c r="F185" s="63" t="inlineStr">
        <is>
          <t>Data</t>
        </is>
      </c>
    </row>
    <row r="186" ht="15.75" customHeight="1" s="1">
      <c r="A186" s="56" t="inlineStr">
        <is>
          <t>식음료/뷰티 트렌드</t>
        </is>
      </c>
      <c r="B186" s="57" t="inlineStr">
        <is>
          <t>5월 13일</t>
        </is>
      </c>
      <c r="C186" s="56" t="inlineStr">
        <is>
          <t>그로타치온유통기안6개월넘는데먹어되나요</t>
        </is>
      </c>
      <c r="D186" s="57" t="inlineStr">
        <is>
          <t>2.50%</t>
        </is>
      </c>
      <c r="E186" s="57" t="n">
        <v>1</v>
      </c>
      <c r="F186" s="61" t="inlineStr">
        <is>
          <t>Trend</t>
        </is>
      </c>
    </row>
    <row r="187" ht="15.75" customHeight="1" s="1">
      <c r="A187" s="56" t="inlineStr">
        <is>
          <t>식음료/뷰티 트렌드</t>
        </is>
      </c>
      <c r="B187" s="57" t="inlineStr">
        <is>
          <t>5월 13일</t>
        </is>
      </c>
      <c r="C187" s="56" t="inlineStr">
        <is>
          <t>식음료업종 트렌드</t>
        </is>
      </c>
      <c r="D187" s="57" t="inlineStr">
        <is>
          <t>2.50%</t>
        </is>
      </c>
      <c r="E187" s="57" t="n">
        <v>1</v>
      </c>
      <c r="F187" s="61" t="inlineStr">
        <is>
          <t>Trend</t>
        </is>
      </c>
    </row>
    <row r="188" ht="15.75" customHeight="1" s="1">
      <c r="A188" s="56" t="inlineStr">
        <is>
          <t>식음료/뷰티 트렌드</t>
        </is>
      </c>
      <c r="B188" s="57" t="inlineStr">
        <is>
          <t>5월 14일</t>
        </is>
      </c>
      <c r="C188" s="56" t="inlineStr">
        <is>
          <t>식음료 트렌드 리포트</t>
        </is>
      </c>
      <c r="D188" s="57" t="inlineStr">
        <is>
          <t>2.86%</t>
        </is>
      </c>
      <c r="E188" s="57" t="n">
        <v>1</v>
      </c>
      <c r="F188" s="61" t="inlineStr">
        <is>
          <t>Trend</t>
        </is>
      </c>
    </row>
    <row r="189" ht="15.75" customHeight="1" s="1">
      <c r="A189" s="56" t="inlineStr">
        <is>
          <t>식음료/뷰티 트렌드</t>
        </is>
      </c>
      <c r="B189" s="57" t="inlineStr">
        <is>
          <t>5월 21일</t>
        </is>
      </c>
      <c r="C189" s="56" t="inlineStr">
        <is>
          <t>레디코어 트렌드에서 MZ세대가 선호하는 합리적인 가격대 뷰티 제품 알려주세요</t>
        </is>
      </c>
      <c r="D189" s="57" t="inlineStr">
        <is>
          <t>0.73%</t>
        </is>
      </c>
      <c r="E189" s="57" t="n">
        <v>1</v>
      </c>
      <c r="F189" s="61" t="inlineStr">
        <is>
          <t>Trend</t>
        </is>
      </c>
    </row>
    <row r="190" ht="15.75" customHeight="1" s="1">
      <c r="A190" s="56" t="inlineStr">
        <is>
          <t>식음료/뷰티 트렌드</t>
        </is>
      </c>
      <c r="B190" s="57" t="inlineStr">
        <is>
          <t>5월 28일</t>
        </is>
      </c>
      <c r="C190" s="56" t="inlineStr">
        <is>
          <t>2025년 뷰티 제품 소비 빅데이터 트렌드 알려주세요</t>
        </is>
      </c>
      <c r="D190" s="57" t="inlineStr">
        <is>
          <t>3.57%</t>
        </is>
      </c>
      <c r="E190" s="57" t="n">
        <v>1</v>
      </c>
      <c r="F190" s="61" t="inlineStr">
        <is>
          <t>Trend</t>
        </is>
      </c>
    </row>
    <row r="191" ht="15.75" customHeight="1" s="1">
      <c r="A191" s="56" t="inlineStr">
        <is>
          <t>식음료/뷰티 트렌드</t>
        </is>
      </c>
      <c r="B191" s="57" t="inlineStr">
        <is>
          <t>5월 28일</t>
        </is>
      </c>
      <c r="C191" s="56" t="inlineStr">
        <is>
          <t>인디 셀링포인트 건강기능식품</t>
        </is>
      </c>
      <c r="D191" s="57" t="inlineStr">
        <is>
          <t>3.57%</t>
        </is>
      </c>
      <c r="E191" s="57" t="n">
        <v>1</v>
      </c>
      <c r="F191" s="61" t="inlineStr">
        <is>
          <t>Trend</t>
        </is>
      </c>
    </row>
    <row r="192" ht="15.75" customHeight="1" s="1">
      <c r="A192" s="56" t="inlineStr">
        <is>
          <t>식음료/뷰티 트렌드</t>
        </is>
      </c>
      <c r="B192" s="57" t="inlineStr">
        <is>
          <t>5월 2일</t>
        </is>
      </c>
      <c r="C192" s="56" t="inlineStr">
        <is>
          <t>자외선영양제</t>
        </is>
      </c>
      <c r="D192" s="57" t="inlineStr">
        <is>
          <t>14.29%</t>
        </is>
      </c>
      <c r="E192" s="57" t="n">
        <v>1</v>
      </c>
      <c r="F192" s="61" t="inlineStr">
        <is>
          <t>Trend</t>
        </is>
      </c>
    </row>
    <row r="193" ht="15.75" customHeight="1" s="1">
      <c r="A193" s="56" t="inlineStr">
        <is>
          <t>식음료/뷰티 트렌드</t>
        </is>
      </c>
      <c r="B193" s="57" t="inlineStr">
        <is>
          <t>5월 3일</t>
        </is>
      </c>
      <c r="C193" s="56" t="inlineStr">
        <is>
          <t>식음료 트렌드 리포트</t>
        </is>
      </c>
      <c r="D193" s="57" t="inlineStr">
        <is>
          <t>6.67%</t>
        </is>
      </c>
      <c r="E193" s="57" t="n">
        <v>1</v>
      </c>
      <c r="F193" s="61" t="inlineStr">
        <is>
          <t>Trend</t>
        </is>
      </c>
    </row>
    <row r="194" ht="15.75" customHeight="1" s="1">
      <c r="A194" s="56" t="inlineStr">
        <is>
          <t>식음료/뷰티 트렌드</t>
        </is>
      </c>
      <c r="B194" s="57" t="inlineStr">
        <is>
          <t>5월 5일</t>
        </is>
      </c>
      <c r="C194" s="56" t="inlineStr">
        <is>
          <t>주류트렌드보고서 저당</t>
        </is>
      </c>
      <c r="D194" s="57" t="inlineStr">
        <is>
          <t>14.29%</t>
        </is>
      </c>
      <c r="E194" s="57" t="n">
        <v>1</v>
      </c>
      <c r="F194" s="62" t="n"/>
    </row>
    <row r="195" ht="15.75" customHeight="1" s="1">
      <c r="A195" s="56" t="inlineStr">
        <is>
          <t>식음료/뷰티 트렌드</t>
        </is>
      </c>
      <c r="B195" s="57" t="inlineStr">
        <is>
          <t>5월 9일</t>
        </is>
      </c>
      <c r="C195" s="56" t="inlineStr">
        <is>
          <t>소비자 53.2% '내 피부 적합성' 최우선 / 25~29세 여성 65.7% 2025년 뷰티 소비 트렌드 조사</t>
        </is>
      </c>
      <c r="D195" s="57" t="inlineStr">
        <is>
          <t>12.50%</t>
        </is>
      </c>
      <c r="E195" s="57" t="n">
        <v>1</v>
      </c>
      <c r="F195" s="61" t="inlineStr">
        <is>
          <t>Trend</t>
        </is>
      </c>
    </row>
    <row r="196" ht="15.75" customHeight="1" s="1">
      <c r="A196" s="56" t="inlineStr">
        <is>
          <t>중저가 의류</t>
        </is>
      </c>
      <c r="B196" s="57" t="inlineStr">
        <is>
          <t>5월 12일</t>
        </is>
      </c>
      <c r="C196" s="56" t="inlineStr">
        <is>
          <t>중저가 의류 브랜드</t>
        </is>
      </c>
      <c r="D196" s="57" t="inlineStr">
        <is>
          <t>3.13%</t>
        </is>
      </c>
      <c r="E196" s="57" t="n">
        <v>1</v>
      </c>
      <c r="F196" s="61" t="inlineStr">
        <is>
          <t>Trend</t>
        </is>
      </c>
    </row>
    <row r="197" ht="15.75" customHeight="1" s="1">
      <c r="A197" s="56" t="inlineStr">
        <is>
          <t>중저가 의류</t>
        </is>
      </c>
      <c r="B197" s="57" t="inlineStr">
        <is>
          <t>5월 13일</t>
        </is>
      </c>
      <c r="C197" s="56" t="inlineStr">
        <is>
          <t>중가 옷브랜드</t>
        </is>
      </c>
      <c r="D197" s="57" t="inlineStr">
        <is>
          <t>2.50%</t>
        </is>
      </c>
      <c r="E197" s="57" t="n">
        <v>1</v>
      </c>
      <c r="F197" s="61" t="inlineStr">
        <is>
          <t>Trend</t>
        </is>
      </c>
    </row>
    <row r="198" ht="15.75" customHeight="1" s="1">
      <c r="A198" s="56" t="inlineStr">
        <is>
          <t>중저가 의류</t>
        </is>
      </c>
      <c r="B198" s="57" t="inlineStr">
        <is>
          <t>5월 16일</t>
        </is>
      </c>
      <c r="C198" s="56" t="inlineStr">
        <is>
          <t>중저가 의류 브랜드</t>
        </is>
      </c>
      <c r="D198" s="57" t="inlineStr">
        <is>
          <t>4.00%</t>
        </is>
      </c>
      <c r="E198" s="57" t="n">
        <v>1</v>
      </c>
      <c r="F198" s="61" t="inlineStr">
        <is>
          <t>Trend</t>
        </is>
      </c>
    </row>
    <row r="199" ht="15.75" customHeight="1" s="1">
      <c r="A199" s="56" t="inlineStr">
        <is>
          <t>중저가 의류</t>
        </is>
      </c>
      <c r="B199" s="57" t="inlineStr">
        <is>
          <t>5월 19일</t>
        </is>
      </c>
      <c r="C199" s="56" t="inlineStr">
        <is>
          <t>중저가 의류 브랜드</t>
        </is>
      </c>
      <c r="D199" s="57" t="inlineStr">
        <is>
          <t>3.45%</t>
        </is>
      </c>
      <c r="E199" s="57" t="n">
        <v>1</v>
      </c>
      <c r="F199" s="61" t="inlineStr">
        <is>
          <t>Trend</t>
        </is>
      </c>
    </row>
    <row r="200" ht="15.75" customHeight="1" s="1">
      <c r="A200" s="56" t="inlineStr">
        <is>
          <t>중저가 의류</t>
        </is>
      </c>
      <c r="B200" s="57" t="inlineStr">
        <is>
          <t>5월 25일</t>
        </is>
      </c>
      <c r="C200" s="56" t="inlineStr">
        <is>
          <t>중가여성의류</t>
        </is>
      </c>
      <c r="D200" s="57" t="inlineStr">
        <is>
          <t>4.55%</t>
        </is>
      </c>
      <c r="E200" s="57" t="n">
        <v>1</v>
      </c>
      <c r="F200" s="61" t="inlineStr">
        <is>
          <t>Trend</t>
        </is>
      </c>
    </row>
    <row r="201" ht="15.75" customHeight="1" s="1">
      <c r="A201" s="56" t="inlineStr">
        <is>
          <t>중저가 의류</t>
        </is>
      </c>
      <c r="B201" s="57" t="inlineStr">
        <is>
          <t>5월 27일</t>
        </is>
      </c>
      <c r="C201" s="56" t="inlineStr">
        <is>
          <t>초저가 의류 소비는 합리적소비?</t>
        </is>
      </c>
      <c r="D201" s="57" t="inlineStr">
        <is>
          <t>3.03%</t>
        </is>
      </c>
      <c r="E201" s="57" t="n">
        <v>1</v>
      </c>
      <c r="F201" s="61" t="inlineStr">
        <is>
          <t>Trend</t>
        </is>
      </c>
    </row>
    <row r="202" ht="15.75" customHeight="1" s="1">
      <c r="A202" s="56" t="inlineStr">
        <is>
          <t>중저가 의류</t>
        </is>
      </c>
      <c r="B202" s="57" t="inlineStr">
        <is>
          <t>5월 28일</t>
        </is>
      </c>
      <c r="C202" s="56" t="inlineStr">
        <is>
          <t>중저가 의류 브랜드</t>
        </is>
      </c>
      <c r="D202" s="57" t="inlineStr">
        <is>
          <t>3.57%</t>
        </is>
      </c>
      <c r="E202" s="57" t="n">
        <v>1</v>
      </c>
      <c r="F202" s="61" t="inlineStr">
        <is>
          <t>Trend</t>
        </is>
      </c>
    </row>
    <row r="203" ht="15.75" customHeight="1" s="1">
      <c r="A203" s="56" t="inlineStr">
        <is>
          <t>중저가 의류</t>
        </is>
      </c>
      <c r="B203" s="57" t="inlineStr">
        <is>
          <t>5월 5일</t>
        </is>
      </c>
      <c r="C203" s="56" t="inlineStr">
        <is>
          <t>중저가패션</t>
        </is>
      </c>
      <c r="D203" s="57" t="inlineStr">
        <is>
          <t>14.29%</t>
        </is>
      </c>
      <c r="E203" s="57" t="n">
        <v>1</v>
      </c>
      <c r="F203" s="61" t="inlineStr">
        <is>
          <t>Trend</t>
        </is>
      </c>
    </row>
    <row r="204" ht="15.75" customHeight="1" s="1">
      <c r="A204" s="56" t="inlineStr">
        <is>
          <t>중저가 의류</t>
        </is>
      </c>
      <c r="B204" s="57" t="inlineStr">
        <is>
          <t>5월 8일</t>
        </is>
      </c>
      <c r="C204" s="56" t="inlineStr">
        <is>
          <t>여성중저가의류브랜드</t>
        </is>
      </c>
      <c r="D204" s="57" t="inlineStr">
        <is>
          <t>2.17%</t>
        </is>
      </c>
      <c r="E204" s="57" t="n">
        <v>1</v>
      </c>
      <c r="F204" s="61" t="inlineStr">
        <is>
          <t>Trend</t>
        </is>
      </c>
    </row>
    <row r="205" ht="15.75" customHeight="1" s="1">
      <c r="A205" s="56" t="inlineStr">
        <is>
          <t>카카오톡/카카오</t>
        </is>
      </c>
      <c r="B205" s="57" t="inlineStr">
        <is>
          <t>5월 12일</t>
        </is>
      </c>
      <c r="C205" s="56" t="inlineStr">
        <is>
          <t>카카오 플친 메세지 소재 형태별 특징</t>
        </is>
      </c>
      <c r="D205" s="57" t="inlineStr">
        <is>
          <t>3.13%</t>
        </is>
      </c>
      <c r="E205" s="57" t="n">
        <v>1</v>
      </c>
      <c r="F205" s="58" t="inlineStr">
        <is>
          <t>Media</t>
        </is>
      </c>
    </row>
    <row r="206" ht="15.75" customHeight="1" s="1">
      <c r="A206" s="56" t="inlineStr">
        <is>
          <t>카카오톡/카카오</t>
        </is>
      </c>
      <c r="B206" s="57" t="inlineStr">
        <is>
          <t>5월 12일</t>
        </is>
      </c>
      <c r="C206" s="56" t="inlineStr">
        <is>
          <t>톡딜 선물하기와 일반 선물하기의 차이점이 궁금해요</t>
        </is>
      </c>
      <c r="D206" s="57" t="inlineStr">
        <is>
          <t>3.13%</t>
        </is>
      </c>
      <c r="E206" s="57" t="n">
        <v>1</v>
      </c>
      <c r="F206" s="58" t="inlineStr">
        <is>
          <t>Media</t>
        </is>
      </c>
    </row>
    <row r="207" ht="15.75" customHeight="1" s="1">
      <c r="A207" s="56" t="inlineStr">
        <is>
          <t>카카오톡/카카오</t>
        </is>
      </c>
      <c r="B207" s="57" t="inlineStr">
        <is>
          <t>5월 13일</t>
        </is>
      </c>
      <c r="C207" s="56" t="inlineStr">
        <is>
          <t>카카오톡 선물하기와 톡스토어의 차이점이 궁금해요</t>
        </is>
      </c>
      <c r="D207" s="57" t="inlineStr">
        <is>
          <t>2.50%</t>
        </is>
      </c>
      <c r="E207" s="57" t="n">
        <v>1</v>
      </c>
      <c r="F207" s="58" t="inlineStr">
        <is>
          <t>Media</t>
        </is>
      </c>
    </row>
    <row r="208" ht="15.75" customHeight="1" s="1">
      <c r="A208" s="56" t="inlineStr">
        <is>
          <t>카카오톡/카카오</t>
        </is>
      </c>
      <c r="B208" s="57" t="inlineStr">
        <is>
          <t>5월 20일</t>
        </is>
      </c>
      <c r="C208" s="56" t="inlineStr">
        <is>
          <t>카카오 메타</t>
        </is>
      </c>
      <c r="D208" s="57" t="inlineStr">
        <is>
          <t>5.00%</t>
        </is>
      </c>
      <c r="E208" s="57" t="n">
        <v>1</v>
      </c>
      <c r="F208" s="59" t="inlineStr">
        <is>
          <t>About</t>
        </is>
      </c>
    </row>
    <row r="209" ht="15.75" customHeight="1" s="1">
      <c r="A209" s="56" t="inlineStr">
        <is>
          <t>카카오톡/카카오</t>
        </is>
      </c>
      <c r="B209" s="57" t="inlineStr">
        <is>
          <t>5월 22일</t>
        </is>
      </c>
      <c r="C209" s="56" t="inlineStr">
        <is>
          <t>카카오 알림톡, 카플친</t>
        </is>
      </c>
      <c r="D209" s="57" t="inlineStr">
        <is>
          <t>1.39%</t>
        </is>
      </c>
      <c r="E209" s="57" t="n">
        <v>1</v>
      </c>
      <c r="F209" s="58" t="inlineStr">
        <is>
          <t>Media</t>
        </is>
      </c>
    </row>
    <row r="210" ht="15.75" customHeight="1" s="1">
      <c r="A210" s="56" t="inlineStr">
        <is>
          <t>카카오톡/카카오</t>
        </is>
      </c>
      <c r="B210" s="57" t="inlineStr">
        <is>
          <t>5월 28일</t>
        </is>
      </c>
      <c r="C210" s="56" t="inlineStr">
        <is>
          <t>카카오톡 채널 친구추가 처음뜨는 메시지</t>
        </is>
      </c>
      <c r="D210" s="57" t="inlineStr">
        <is>
          <t>3.57%</t>
        </is>
      </c>
      <c r="E210" s="57" t="n">
        <v>1</v>
      </c>
      <c r="F210" s="58" t="inlineStr">
        <is>
          <t>Media</t>
        </is>
      </c>
    </row>
    <row r="211" ht="15.75" customHeight="1" s="1">
      <c r="A211" s="56" t="inlineStr">
        <is>
          <t>카카오톡/카카오</t>
        </is>
      </c>
      <c r="B211" s="57" t="inlineStr">
        <is>
          <t>5월 28일</t>
        </is>
      </c>
      <c r="C211" s="56" t="inlineStr">
        <is>
          <t>카카오톡채널 카달로그형</t>
        </is>
      </c>
      <c r="D211" s="57" t="inlineStr">
        <is>
          <t>3.57%</t>
        </is>
      </c>
      <c r="E211" s="57" t="n">
        <v>1</v>
      </c>
      <c r="F211" s="58" t="inlineStr">
        <is>
          <t>Media</t>
        </is>
      </c>
    </row>
    <row r="212" ht="15.75" customHeight="1" s="1">
      <c r="A212" s="56" t="inlineStr">
        <is>
          <t>카카오톡/카카오</t>
        </is>
      </c>
      <c r="B212" s="57" t="inlineStr">
        <is>
          <t>5월 31일</t>
        </is>
      </c>
      <c r="C212" s="56" t="inlineStr">
        <is>
          <t>카카오톡에 Z013 추가하고 "888"음 보내시면</t>
        </is>
      </c>
      <c r="D212" s="57" t="inlineStr">
        <is>
          <t>3.70%</t>
        </is>
      </c>
      <c r="E212" s="57" t="n">
        <v>1</v>
      </c>
      <c r="F212" s="58" t="inlineStr">
        <is>
          <t>Media</t>
        </is>
      </c>
    </row>
    <row r="213" ht="15.75" customHeight="1" s="1">
      <c r="A213" s="56" t="inlineStr">
        <is>
          <t>카카오톡/카카오</t>
        </is>
      </c>
      <c r="B213" s="57" t="inlineStr">
        <is>
          <t>5월 8일</t>
        </is>
      </c>
      <c r="C213" s="56" t="inlineStr">
        <is>
          <t>카톡 프로필 업데이트 광고</t>
        </is>
      </c>
      <c r="D213" s="57" t="inlineStr">
        <is>
          <t>2.17%</t>
        </is>
      </c>
      <c r="E213" s="57" t="n">
        <v>1</v>
      </c>
      <c r="F213" s="58" t="inlineStr">
        <is>
          <t>Media</t>
        </is>
      </c>
    </row>
    <row r="214" ht="15.75" customHeight="1" s="1">
      <c r="A214" s="56" t="inlineStr">
        <is>
          <t>리테일 미디어/OOH</t>
        </is>
      </c>
      <c r="B214" s="57" t="inlineStr">
        <is>
          <t>5월 11일</t>
        </is>
      </c>
      <c r="C214" s="56" t="inlineStr">
        <is>
          <t>pdooh</t>
        </is>
      </c>
      <c r="D214" s="57" t="inlineStr">
        <is>
          <t>2.33%</t>
        </is>
      </c>
      <c r="E214" s="57" t="n">
        <v>1</v>
      </c>
      <c r="F214" s="61" t="inlineStr">
        <is>
          <t>Trend</t>
        </is>
      </c>
    </row>
    <row r="215" ht="15.75" customHeight="1" s="1">
      <c r="A215" s="56" t="inlineStr">
        <is>
          <t>리테일 미디어/OOH</t>
        </is>
      </c>
      <c r="B215" s="57" t="inlineStr">
        <is>
          <t>5월 12일</t>
        </is>
      </c>
      <c r="C215" s="56" t="inlineStr">
        <is>
          <t>pDOOH</t>
        </is>
      </c>
      <c r="D215" s="57" t="inlineStr">
        <is>
          <t>3.13%</t>
        </is>
      </c>
      <c r="E215" s="57" t="n">
        <v>1</v>
      </c>
      <c r="F215" s="61" t="inlineStr">
        <is>
          <t>Trend</t>
        </is>
      </c>
    </row>
    <row r="216" ht="15.75" customHeight="1" s="1">
      <c r="A216" s="56" t="inlineStr">
        <is>
          <t>리테일 미디어/OOH</t>
        </is>
      </c>
      <c r="B216" s="57" t="inlineStr">
        <is>
          <t>5월 12일</t>
        </is>
      </c>
      <c r="C216" s="56" t="inlineStr">
        <is>
          <t>리테일 미디어 사례</t>
        </is>
      </c>
      <c r="D216" s="57" t="inlineStr">
        <is>
          <t>3.13%</t>
        </is>
      </c>
      <c r="E216" s="57" t="n">
        <v>1</v>
      </c>
      <c r="F216" s="58" t="inlineStr">
        <is>
          <t>Media</t>
        </is>
      </c>
    </row>
    <row r="217" ht="15.75" customHeight="1" s="1">
      <c r="A217" s="56" t="inlineStr">
        <is>
          <t>리테일 미디어/OOH</t>
        </is>
      </c>
      <c r="B217" s="57" t="inlineStr">
        <is>
          <t>5월 17일</t>
        </is>
      </c>
      <c r="C217" s="56" t="inlineStr">
        <is>
          <t>리테일 미디어 네트워크 제 3의 물결</t>
        </is>
      </c>
      <c r="D217" s="57" t="inlineStr">
        <is>
          <t>11.11%</t>
        </is>
      </c>
      <c r="E217" s="57" t="n">
        <v>1</v>
      </c>
      <c r="F217" s="58" t="inlineStr">
        <is>
          <t>Media</t>
        </is>
      </c>
    </row>
    <row r="218" ht="15.75" customHeight="1" s="1">
      <c r="A218" s="56" t="inlineStr">
        <is>
          <t>리테일 미디어/OOH</t>
        </is>
      </c>
      <c r="B218" s="57" t="inlineStr">
        <is>
          <t>5월 18일</t>
        </is>
      </c>
      <c r="C218" s="56" t="inlineStr">
        <is>
          <t>ddooh</t>
        </is>
      </c>
      <c r="D218" s="57" t="inlineStr">
        <is>
          <t>4.17%</t>
        </is>
      </c>
      <c r="E218" s="57" t="n">
        <v>1</v>
      </c>
      <c r="F218" s="61" t="inlineStr">
        <is>
          <t>Trend</t>
        </is>
      </c>
    </row>
    <row r="219" ht="15.75" customHeight="1" s="1">
      <c r="A219" s="56" t="inlineStr">
        <is>
          <t>리테일 미디어/OOH</t>
        </is>
      </c>
      <c r="B219" s="57" t="inlineStr">
        <is>
          <t>5월 28일</t>
        </is>
      </c>
      <c r="C219" s="56" t="inlineStr">
        <is>
          <t>pdooh 경매</t>
        </is>
      </c>
      <c r="D219" s="57" t="inlineStr">
        <is>
          <t>3.57%</t>
        </is>
      </c>
      <c r="E219" s="57" t="n">
        <v>1</v>
      </c>
      <c r="F219" s="61" t="inlineStr">
        <is>
          <t>Trend</t>
        </is>
      </c>
    </row>
    <row r="220" ht="15.75" customHeight="1" s="1">
      <c r="A220" s="56" t="inlineStr">
        <is>
          <t>리테일 미디어/OOH</t>
        </is>
      </c>
      <c r="B220" s="57" t="inlineStr">
        <is>
          <t>5월 6일</t>
        </is>
      </c>
      <c r="C220" s="56" t="inlineStr">
        <is>
          <t>리테일 미디어 네트워크 뜻</t>
        </is>
      </c>
      <c r="D220" s="57" t="inlineStr">
        <is>
          <t>3.23%</t>
        </is>
      </c>
      <c r="E220" s="57" t="n">
        <v>1</v>
      </c>
      <c r="F220" s="62" t="n"/>
    </row>
    <row r="221" ht="15.75" customHeight="1" s="1">
      <c r="A221" s="56" t="inlineStr">
        <is>
          <t>리테일 미디어/OOH</t>
        </is>
      </c>
      <c r="B221" s="57" t="inlineStr">
        <is>
          <t>5월 8일</t>
        </is>
      </c>
      <c r="C221" s="56" t="inlineStr">
        <is>
          <t>[한국OOH광고학회] 2026 춘계 정기학술대회</t>
        </is>
      </c>
      <c r="D221" s="57" t="inlineStr">
        <is>
          <t>2.17%</t>
        </is>
      </c>
      <c r="E221" s="57" t="n">
        <v>1</v>
      </c>
      <c r="F221" s="59" t="inlineStr">
        <is>
          <t>About</t>
        </is>
      </c>
    </row>
    <row r="222" ht="15.75" customHeight="1" s="1">
      <c r="A222" s="56" t="inlineStr">
        <is>
          <t>의류 플랫폼</t>
        </is>
      </c>
      <c r="B222" s="57" t="inlineStr">
        <is>
          <t>5월 16일</t>
        </is>
      </c>
      <c r="C222" s="56" t="inlineStr">
        <is>
          <t>옷 협찬을 받을 수 있는 플랫폼에는 어떤 것이 있나요</t>
        </is>
      </c>
      <c r="D222" s="57" t="inlineStr">
        <is>
          <t>4.00%</t>
        </is>
      </c>
      <c r="E222" s="57" t="n">
        <v>1</v>
      </c>
      <c r="F222" s="58" t="inlineStr">
        <is>
          <t>Media</t>
        </is>
      </c>
    </row>
    <row r="223" ht="15.75" customHeight="1" s="1">
      <c r="A223" s="56" t="inlineStr">
        <is>
          <t>의류 플랫폼</t>
        </is>
      </c>
      <c r="B223" s="57" t="inlineStr">
        <is>
          <t>5월 20일</t>
        </is>
      </c>
      <c r="C223" s="56" t="inlineStr">
        <is>
          <t>의류 소비트렌드 데이터</t>
        </is>
      </c>
      <c r="D223" s="57" t="inlineStr">
        <is>
          <t>5.00%</t>
        </is>
      </c>
      <c r="E223" s="57" t="n">
        <v>1</v>
      </c>
      <c r="F223" s="61" t="inlineStr">
        <is>
          <t>Trend</t>
        </is>
      </c>
    </row>
    <row r="224" ht="15.75" customHeight="1" s="1">
      <c r="A224" s="56" t="inlineStr">
        <is>
          <t>의류 플랫폼</t>
        </is>
      </c>
      <c r="B224" s="57" t="inlineStr">
        <is>
          <t>5월 25일</t>
        </is>
      </c>
      <c r="C224" s="56" t="inlineStr">
        <is>
          <t>옷 앱 순위</t>
        </is>
      </c>
      <c r="D224" s="57" t="inlineStr">
        <is>
          <t>4.55%</t>
        </is>
      </c>
      <c r="E224" s="57" t="n">
        <v>1</v>
      </c>
      <c r="F224" s="62" t="n"/>
    </row>
    <row r="225" ht="15.75" customHeight="1" s="1">
      <c r="A225" s="56" t="inlineStr">
        <is>
          <t>의류 플랫폼</t>
        </is>
      </c>
      <c r="B225" s="57" t="inlineStr">
        <is>
          <t>5월 2일</t>
        </is>
      </c>
      <c r="C225" s="56" t="inlineStr">
        <is>
          <t>의류 플랫폼</t>
        </is>
      </c>
      <c r="D225" s="57" t="inlineStr">
        <is>
          <t>14.29%</t>
        </is>
      </c>
      <c r="E225" s="57" t="n">
        <v>1</v>
      </c>
      <c r="F225" s="61" t="inlineStr">
        <is>
          <t>Trend</t>
        </is>
      </c>
    </row>
    <row r="226" ht="15.75" customHeight="1" s="1">
      <c r="A226" s="56" t="inlineStr">
        <is>
          <t>의류 플랫폼</t>
        </is>
      </c>
      <c r="B226" s="57" t="inlineStr">
        <is>
          <t>5월 31일</t>
        </is>
      </c>
      <c r="C226" s="56" t="inlineStr">
        <is>
          <t>패션 CS 담당자 네트워크</t>
        </is>
      </c>
      <c r="D226" s="57" t="inlineStr">
        <is>
          <t>3.70%</t>
        </is>
      </c>
      <c r="E226" s="57" t="n">
        <v>1</v>
      </c>
      <c r="F226" s="60" t="inlineStr">
        <is>
          <t>People</t>
        </is>
      </c>
    </row>
    <row r="227" ht="15.75" customHeight="1" s="1">
      <c r="A227" s="56" t="inlineStr">
        <is>
          <t>의류 플랫폼</t>
        </is>
      </c>
      <c r="B227" s="57" t="inlineStr">
        <is>
          <t>5월 8일</t>
        </is>
      </c>
      <c r="C227" s="56" t="inlineStr">
        <is>
          <t>쉬인 플랫폼</t>
        </is>
      </c>
      <c r="D227" s="57" t="inlineStr">
        <is>
          <t>2.17%</t>
        </is>
      </c>
      <c r="E227" s="57" t="n">
        <v>1</v>
      </c>
      <c r="F227" s="62" t="n"/>
    </row>
    <row r="228" ht="15.75" customHeight="1" s="1">
      <c r="A228" s="56" t="inlineStr">
        <is>
          <t>의류 플랫폼</t>
        </is>
      </c>
      <c r="B228" s="57" t="inlineStr">
        <is>
          <t>5월 9일</t>
        </is>
      </c>
      <c r="C228" s="56" t="inlineStr">
        <is>
          <t>의류브랜드 쉬인</t>
        </is>
      </c>
      <c r="D228" s="57" t="inlineStr">
        <is>
          <t>12.50%</t>
        </is>
      </c>
      <c r="E228" s="57" t="n">
        <v>1</v>
      </c>
      <c r="F228" s="62" t="n"/>
    </row>
    <row r="229" ht="15.75" customHeight="1" s="1">
      <c r="A229" s="56" t="inlineStr">
        <is>
          <t>토스</t>
        </is>
      </c>
      <c r="B229" s="57" t="inlineStr">
        <is>
          <t>5월 13일</t>
        </is>
      </c>
      <c r="C229" s="56" t="inlineStr">
        <is>
          <t>토스애즈 커스텀 타겟팅</t>
        </is>
      </c>
      <c r="D229" s="57" t="inlineStr">
        <is>
          <t>2.50%</t>
        </is>
      </c>
      <c r="E229" s="57" t="n">
        <v>1</v>
      </c>
      <c r="F229" s="58" t="inlineStr">
        <is>
          <t>Media</t>
        </is>
      </c>
    </row>
    <row r="230" ht="15.75" customHeight="1" s="1">
      <c r="A230" s="56" t="inlineStr">
        <is>
          <t>토스</t>
        </is>
      </c>
      <c r="B230" s="57" t="inlineStr">
        <is>
          <t>5월 21일</t>
        </is>
      </c>
      <c r="C230" s="56" t="inlineStr">
        <is>
          <t>토스 지나친 광고</t>
        </is>
      </c>
      <c r="D230" s="57" t="inlineStr">
        <is>
          <t>0.73%</t>
        </is>
      </c>
      <c r="E230" s="57" t="n">
        <v>1</v>
      </c>
      <c r="F230" s="58" t="inlineStr">
        <is>
          <t>Media</t>
        </is>
      </c>
    </row>
    <row r="231" ht="15.75" customHeight="1" s="1">
      <c r="A231" s="56" t="inlineStr">
        <is>
          <t>토스</t>
        </is>
      </c>
      <c r="B231" s="57" t="inlineStr">
        <is>
          <t>5월 26일</t>
        </is>
      </c>
      <c r="C231" s="56" t="inlineStr">
        <is>
          <t>토스 리워드 광고</t>
        </is>
      </c>
      <c r="D231" s="57" t="inlineStr">
        <is>
          <t>2.50%</t>
        </is>
      </c>
      <c r="E231" s="57" t="n">
        <v>1</v>
      </c>
      <c r="F231" s="58" t="inlineStr">
        <is>
          <t>Media</t>
        </is>
      </c>
    </row>
    <row r="232" ht="15.75" customHeight="1" s="1">
      <c r="A232" s="56" t="inlineStr">
        <is>
          <t>토스</t>
        </is>
      </c>
      <c r="B232" s="57" t="inlineStr">
        <is>
          <t>5월 28일</t>
        </is>
      </c>
      <c r="C232" s="56" t="inlineStr">
        <is>
          <t>토스ads</t>
        </is>
      </c>
      <c r="D232" s="57" t="inlineStr">
        <is>
          <t>3.57%</t>
        </is>
      </c>
      <c r="E232" s="57" t="n">
        <v>1</v>
      </c>
      <c r="F232" s="58" t="inlineStr">
        <is>
          <t>Media</t>
        </is>
      </c>
    </row>
    <row r="233" ht="15.75" customHeight="1" s="1">
      <c r="A233" s="56" t="inlineStr">
        <is>
          <t>토스</t>
        </is>
      </c>
      <c r="B233" s="57" t="inlineStr">
        <is>
          <t>5월 28일</t>
        </is>
      </c>
      <c r="C233" s="56" t="inlineStr">
        <is>
          <t>토쓰애즈 광고 효율</t>
        </is>
      </c>
      <c r="D233" s="57" t="inlineStr">
        <is>
          <t>3.57%</t>
        </is>
      </c>
      <c r="E233" s="57" t="n">
        <v>1</v>
      </c>
      <c r="F233" s="58" t="inlineStr">
        <is>
          <t>Media</t>
        </is>
      </c>
    </row>
    <row r="234" ht="15.75" customHeight="1" s="1">
      <c r="A234" s="56" t="inlineStr">
        <is>
          <t>토스</t>
        </is>
      </c>
      <c r="B234" s="57" t="inlineStr">
        <is>
          <t>5월 29일</t>
        </is>
      </c>
      <c r="C234" s="56" t="inlineStr">
        <is>
          <t>반복되는리포트앱데이터를AI 토스</t>
        </is>
      </c>
      <c r="D234" s="57" t="inlineStr">
        <is>
          <t>2.13%</t>
        </is>
      </c>
      <c r="E234" s="57" t="n">
        <v>1</v>
      </c>
      <c r="F234" s="58" t="inlineStr">
        <is>
          <t>Media</t>
        </is>
      </c>
    </row>
    <row r="235" ht="15.75" customHeight="1" s="1">
      <c r="A235" s="56" t="inlineStr">
        <is>
          <t>토스</t>
        </is>
      </c>
      <c r="B235" s="57" t="inlineStr">
        <is>
          <t>5월 8일</t>
        </is>
      </c>
      <c r="C235" s="56" t="inlineStr">
        <is>
          <t>토스 게임 광고</t>
        </is>
      </c>
      <c r="D235" s="57" t="inlineStr">
        <is>
          <t>4.35%</t>
        </is>
      </c>
      <c r="E235" s="57" t="n">
        <v>2</v>
      </c>
      <c r="F235" s="58" t="inlineStr">
        <is>
          <t>Media</t>
        </is>
      </c>
    </row>
    <row r="236" ht="15.75" customHeight="1" s="1">
      <c r="A236" s="56" t="inlineStr">
        <is>
          <t>기타</t>
        </is>
      </c>
      <c r="B236" s="57" t="inlineStr">
        <is>
          <t>5월 11일</t>
        </is>
      </c>
      <c r="C236" s="56" t="inlineStr">
        <is>
          <t>감다살 브랜드</t>
        </is>
      </c>
      <c r="D236" s="57" t="inlineStr">
        <is>
          <t>2.33%</t>
        </is>
      </c>
      <c r="E236" s="57" t="n">
        <v>1</v>
      </c>
      <c r="F236" s="61" t="inlineStr">
        <is>
          <t>Trend</t>
        </is>
      </c>
    </row>
    <row r="237" ht="15.75" customHeight="1" s="1">
      <c r="A237" s="56" t="inlineStr">
        <is>
          <t>기타</t>
        </is>
      </c>
      <c r="B237" s="57" t="inlineStr">
        <is>
          <t>5월 13일</t>
        </is>
      </c>
      <c r="C237" s="56" t="inlineStr">
        <is>
          <t>SNT미디어가 제공하는 광고 상품 종류는 무엇인가요?</t>
        </is>
      </c>
      <c r="D237" s="57" t="inlineStr">
        <is>
          <t>2.50%</t>
        </is>
      </c>
      <c r="E237" s="57" t="n">
        <v>1</v>
      </c>
      <c r="F237" s="58" t="inlineStr">
        <is>
          <t>Media</t>
        </is>
      </c>
    </row>
    <row r="238" ht="15.75" customHeight="1" s="1">
      <c r="A238" s="56" t="inlineStr">
        <is>
          <t>기타</t>
        </is>
      </c>
      <c r="B238" s="57" t="inlineStr">
        <is>
          <t>5월 13일</t>
        </is>
      </c>
      <c r="C238" s="56" t="inlineStr">
        <is>
          <t>코비 유튜브 프리미엄 유저 타겟팅</t>
        </is>
      </c>
      <c r="D238" s="57" t="inlineStr">
        <is>
          <t>2.50%</t>
        </is>
      </c>
      <c r="E238" s="57" t="n">
        <v>1</v>
      </c>
      <c r="F238" s="58" t="inlineStr">
        <is>
          <t>Media</t>
        </is>
      </c>
    </row>
    <row r="239" ht="15.75" customHeight="1" s="1">
      <c r="A239" s="56" t="inlineStr">
        <is>
          <t>기타</t>
        </is>
      </c>
      <c r="B239" s="57" t="inlineStr">
        <is>
          <t>5월 22일</t>
        </is>
      </c>
      <c r="C239" s="56" t="inlineStr">
        <is>
          <t>공식블로그 네이버블로그</t>
        </is>
      </c>
      <c r="D239" s="57" t="inlineStr">
        <is>
          <t>1.39%</t>
        </is>
      </c>
      <c r="E239" s="57" t="n">
        <v>1</v>
      </c>
      <c r="F239" s="59" t="inlineStr">
        <is>
          <t>About</t>
        </is>
      </c>
    </row>
    <row r="240" ht="15.75" customHeight="1" s="1">
      <c r="A240" s="56" t="inlineStr">
        <is>
          <t>기타</t>
        </is>
      </c>
      <c r="B240" s="57" t="inlineStr">
        <is>
          <t>5월 24일</t>
        </is>
      </c>
      <c r="C240" s="56" t="inlineStr">
        <is>
          <t>해운대 미디어타워 미디어폴 입찰</t>
        </is>
      </c>
      <c r="D240" s="57" t="inlineStr">
        <is>
          <t>20.00%</t>
        </is>
      </c>
      <c r="E240" s="57" t="n">
        <v>1</v>
      </c>
      <c r="F240" s="59" t="inlineStr">
        <is>
          <t>About</t>
        </is>
      </c>
    </row>
    <row r="241" ht="15.75" customHeight="1" s="1">
      <c r="A241" s="56" t="inlineStr">
        <is>
          <t>기타</t>
        </is>
      </c>
      <c r="B241" s="57" t="inlineStr">
        <is>
          <t>5월 6일</t>
        </is>
      </c>
      <c r="C241" s="56" t="inlineStr">
        <is>
          <t>세븐일레븐 소용량 화장품</t>
        </is>
      </c>
      <c r="D241" s="57" t="inlineStr">
        <is>
          <t>3.23%</t>
        </is>
      </c>
      <c r="E241" s="57" t="n">
        <v>1</v>
      </c>
      <c r="F241" s="61" t="inlineStr">
        <is>
          <t>Trend</t>
        </is>
      </c>
    </row>
    <row r="242" ht="15.75" customHeight="1" s="1">
      <c r="A242" s="56" t="inlineStr">
        <is>
          <t>메타</t>
        </is>
      </c>
      <c r="B242" s="57" t="inlineStr">
        <is>
          <t>5월 12일</t>
        </is>
      </c>
      <c r="C242" s="56" t="inlineStr">
        <is>
          <t>메타 스티커 CTA</t>
        </is>
      </c>
      <c r="D242" s="57" t="inlineStr">
        <is>
          <t>3.13%</t>
        </is>
      </c>
      <c r="E242" s="57" t="n">
        <v>1</v>
      </c>
      <c r="F242" s="59" t="inlineStr">
        <is>
          <t>About</t>
        </is>
      </c>
    </row>
    <row r="243" ht="15.75" customHeight="1" s="1">
      <c r="A243" s="56" t="inlineStr">
        <is>
          <t>메타</t>
        </is>
      </c>
      <c r="B243" s="57" t="inlineStr">
        <is>
          <t>5월 16일</t>
        </is>
      </c>
      <c r="C243" s="56" t="inlineStr">
        <is>
          <t>메타버스와 관련된 웨어러블 기기 종류 알려주세요</t>
        </is>
      </c>
      <c r="D243" s="57" t="inlineStr">
        <is>
          <t>4.00%</t>
        </is>
      </c>
      <c r="E243" s="57" t="n">
        <v>1</v>
      </c>
      <c r="F243" s="61" t="inlineStr">
        <is>
          <t>Trend</t>
        </is>
      </c>
    </row>
    <row r="244" ht="15.75" customHeight="1" s="1">
      <c r="A244" s="56" t="inlineStr">
        <is>
          <t>메타</t>
        </is>
      </c>
      <c r="B244" s="57" t="inlineStr">
        <is>
          <t>5월 21일</t>
        </is>
      </c>
      <c r="C244" s="56" t="inlineStr">
        <is>
          <t>메타 릴스 트렌딩 광고</t>
        </is>
      </c>
      <c r="D244" s="57" t="inlineStr">
        <is>
          <t>0.73%</t>
        </is>
      </c>
      <c r="E244" s="57" t="n">
        <v>1</v>
      </c>
      <c r="F244" s="59" t="inlineStr">
        <is>
          <t>About</t>
        </is>
      </c>
    </row>
    <row r="245" ht="15.75" customHeight="1" s="1">
      <c r="A245" s="56" t="inlineStr">
        <is>
          <t>메타</t>
        </is>
      </c>
      <c r="B245" s="57" t="inlineStr">
        <is>
          <t>5월 29일</t>
        </is>
      </c>
      <c r="C245" s="56" t="inlineStr">
        <is>
          <t>메타 전환캠페인 슬라이드</t>
        </is>
      </c>
      <c r="D245" s="57" t="inlineStr">
        <is>
          <t>2.13%</t>
        </is>
      </c>
      <c r="E245" s="57" t="n">
        <v>1</v>
      </c>
      <c r="F245" s="58" t="inlineStr">
        <is>
          <t>Media</t>
        </is>
      </c>
    </row>
    <row r="246" ht="15.75" customHeight="1" s="1">
      <c r="A246" s="56" t="inlineStr">
        <is>
          <t>메타</t>
        </is>
      </c>
      <c r="B246" s="57" t="inlineStr">
        <is>
          <t>5월 7일</t>
        </is>
      </c>
      <c r="C246" s="56" t="inlineStr">
        <is>
          <t>메타 세팅 관련 미디어</t>
        </is>
      </c>
      <c r="D246" s="57" t="inlineStr">
        <is>
          <t>1.49%</t>
        </is>
      </c>
      <c r="E246" s="57" t="n">
        <v>1</v>
      </c>
      <c r="F246" s="59" t="inlineStr">
        <is>
          <t>About</t>
        </is>
      </c>
    </row>
    <row r="247" ht="15.75" customHeight="1" s="1">
      <c r="A247" s="56" t="inlineStr">
        <is>
          <t>메타</t>
        </is>
      </c>
      <c r="B247" s="57" t="inlineStr">
        <is>
          <t>5월 8일</t>
        </is>
      </c>
      <c r="C247" s="56" t="inlineStr">
        <is>
          <t>메타 트랜딩 애즈</t>
        </is>
      </c>
      <c r="D247" s="57" t="inlineStr">
        <is>
          <t>2.17%</t>
        </is>
      </c>
      <c r="E247" s="57" t="n">
        <v>1</v>
      </c>
      <c r="F247" s="59" t="inlineStr">
        <is>
          <t>About</t>
        </is>
      </c>
    </row>
    <row r="248" ht="15.75" customHeight="1" s="1">
      <c r="A248" s="56" t="inlineStr">
        <is>
          <t>에스파/핀터레스트</t>
        </is>
      </c>
      <c r="B248" s="57" t="inlineStr">
        <is>
          <t>5월 13일</t>
        </is>
      </c>
      <c r="C248" s="56" t="inlineStr">
        <is>
          <t>에스파 핀터레스트 계정</t>
        </is>
      </c>
      <c r="D248" s="57" t="inlineStr">
        <is>
          <t>2.50%</t>
        </is>
      </c>
      <c r="E248" s="57" t="n">
        <v>1</v>
      </c>
      <c r="F248" s="61" t="inlineStr">
        <is>
          <t>Trend</t>
        </is>
      </c>
    </row>
    <row r="249" ht="15.75" customHeight="1" s="1">
      <c r="A249" s="56" t="inlineStr">
        <is>
          <t>에스파/핀터레스트</t>
        </is>
      </c>
      <c r="B249" s="57" t="inlineStr">
        <is>
          <t>5월 13일</t>
        </is>
      </c>
      <c r="C249" s="56" t="inlineStr">
        <is>
          <t>에스파 핀터레스트 계정</t>
        </is>
      </c>
      <c r="D249" s="57" t="inlineStr">
        <is>
          <t>2.50%</t>
        </is>
      </c>
      <c r="E249" s="57" t="n">
        <v>1</v>
      </c>
      <c r="F249" s="61" t="inlineStr">
        <is>
          <t>Trend</t>
        </is>
      </c>
    </row>
    <row r="250" ht="15.75" customHeight="1" s="1">
      <c r="A250" s="56" t="inlineStr">
        <is>
          <t>에스파/핀터레스트</t>
        </is>
      </c>
      <c r="B250" s="57" t="inlineStr">
        <is>
          <t>5월 17일</t>
        </is>
      </c>
      <c r="C250" s="56" t="inlineStr">
        <is>
          <t>Pinterest video downloader</t>
        </is>
      </c>
      <c r="D250" s="57" t="inlineStr">
        <is>
          <t>11.11%</t>
        </is>
      </c>
      <c r="E250" s="57" t="n">
        <v>1</v>
      </c>
      <c r="F250" s="62" t="n"/>
    </row>
    <row r="251" ht="15.75" customHeight="1" s="1">
      <c r="A251" s="56" t="inlineStr">
        <is>
          <t>에스파/핀터레스트</t>
        </is>
      </c>
      <c r="B251" s="57" t="inlineStr">
        <is>
          <t>5월 20일</t>
        </is>
      </c>
      <c r="C251" s="56" t="inlineStr">
        <is>
          <t>핀터레스트 가수 홍보</t>
        </is>
      </c>
      <c r="D251" s="57" t="inlineStr">
        <is>
          <t>5.00%</t>
        </is>
      </c>
      <c r="E251" s="57" t="n">
        <v>1</v>
      </c>
      <c r="F251" s="61" t="inlineStr">
        <is>
          <t>Trend</t>
        </is>
      </c>
    </row>
    <row r="252" ht="15.75" customHeight="1" s="1">
      <c r="A252" s="56" t="inlineStr">
        <is>
          <t>에스파/핀터레스트</t>
        </is>
      </c>
      <c r="B252" s="57" t="inlineStr">
        <is>
          <t>5월 26일</t>
        </is>
      </c>
      <c r="C252" s="56" t="inlineStr">
        <is>
          <t>aespa pinterest</t>
        </is>
      </c>
      <c r="D252" s="57" t="inlineStr">
        <is>
          <t>2.50%</t>
        </is>
      </c>
      <c r="E252" s="57" t="n">
        <v>1</v>
      </c>
      <c r="F252" s="61" t="inlineStr">
        <is>
          <t>Trend</t>
        </is>
      </c>
    </row>
    <row r="253" ht="15.75" customHeight="1" s="1">
      <c r="A253" s="56" t="inlineStr">
        <is>
          <t>에스파/핀터레스트</t>
        </is>
      </c>
      <c r="B253" s="57" t="inlineStr">
        <is>
          <t>5월 7일</t>
        </is>
      </c>
      <c r="C253" s="56" t="inlineStr">
        <is>
          <t>에스파 핀터레스트</t>
        </is>
      </c>
      <c r="D253" s="57" t="inlineStr">
        <is>
          <t>1.49%</t>
        </is>
      </c>
      <c r="E253" s="57" t="n">
        <v>1</v>
      </c>
      <c r="F253" s="61" t="inlineStr">
        <is>
          <t>Trend</t>
        </is>
      </c>
    </row>
    <row r="254" ht="15.75" customHeight="1" s="1">
      <c r="A254" s="56" t="inlineStr">
        <is>
          <t>헌혈 캠페인</t>
        </is>
      </c>
      <c r="B254" s="57" t="inlineStr">
        <is>
          <t>5월 19일</t>
        </is>
      </c>
      <c r="C254" s="56" t="inlineStr">
        <is>
          <t>헌혈의집 마케팅</t>
        </is>
      </c>
      <c r="D254" s="57" t="inlineStr">
        <is>
          <t>3.45%</t>
        </is>
      </c>
      <c r="E254" s="57" t="n">
        <v>1</v>
      </c>
      <c r="F254" s="61" t="inlineStr">
        <is>
          <t>Trend</t>
        </is>
      </c>
    </row>
    <row r="255" ht="15.75" customHeight="1" s="1">
      <c r="A255" s="56" t="inlineStr">
        <is>
          <t>헌혈 캠페인</t>
        </is>
      </c>
      <c r="B255" s="57" t="inlineStr">
        <is>
          <t>5월 24일</t>
        </is>
      </c>
      <c r="C255" s="56" t="inlineStr">
        <is>
          <t>적십자 아이돌 뱀파이어</t>
        </is>
      </c>
      <c r="D255" s="57" t="inlineStr">
        <is>
          <t>20.00%</t>
        </is>
      </c>
      <c r="E255" s="57" t="n">
        <v>1</v>
      </c>
      <c r="F255" s="61" t="inlineStr">
        <is>
          <t>Trend</t>
        </is>
      </c>
    </row>
    <row r="256" ht="15.75" customHeight="1" s="1">
      <c r="A256" s="56" t="inlineStr">
        <is>
          <t>헌혈 캠페인</t>
        </is>
      </c>
      <c r="B256" s="57" t="inlineStr">
        <is>
          <t>5월 28일</t>
        </is>
      </c>
      <c r="C256" s="56" t="inlineStr">
        <is>
          <t>대한적십자사 아이돌</t>
        </is>
      </c>
      <c r="D256" s="57" t="inlineStr">
        <is>
          <t>3.57%</t>
        </is>
      </c>
      <c r="E256" s="57" t="n">
        <v>1</v>
      </c>
      <c r="F256" s="61" t="inlineStr">
        <is>
          <t>Trend</t>
        </is>
      </c>
    </row>
    <row r="257" ht="15.75" customHeight="1" s="1">
      <c r="A257" s="56" t="inlineStr">
        <is>
          <t>네이티브 광고</t>
        </is>
      </c>
      <c r="B257" s="57" t="inlineStr">
        <is>
          <t>5월 26일</t>
        </is>
      </c>
      <c r="C257" s="56" t="inlineStr">
        <is>
          <t>네이티브 광고</t>
        </is>
      </c>
      <c r="D257" s="57" t="inlineStr">
        <is>
          <t>2.50%</t>
        </is>
      </c>
      <c r="E257" s="57" t="n">
        <v>1</v>
      </c>
      <c r="F257" s="58" t="inlineStr">
        <is>
          <t>Media</t>
        </is>
      </c>
    </row>
    <row r="258" ht="15.75" customHeight="1" s="1">
      <c r="A258" s="56" t="inlineStr">
        <is>
          <t>네이티브 광고</t>
        </is>
      </c>
      <c r="B258" s="57" t="inlineStr">
        <is>
          <t>5월 27일</t>
        </is>
      </c>
      <c r="C258" s="56" t="inlineStr">
        <is>
          <t>네이티브광고</t>
        </is>
      </c>
      <c r="D258" s="57" t="inlineStr">
        <is>
          <t>3.03%</t>
        </is>
      </c>
      <c r="E258" s="57" t="n">
        <v>1</v>
      </c>
      <c r="F258" s="58" t="inlineStr">
        <is>
          <t>Media</t>
        </is>
      </c>
    </row>
    <row r="259" ht="15.75" customHeight="1" s="1">
      <c r="A259" s="56" t="inlineStr">
        <is>
          <t>네이티브 광고</t>
        </is>
      </c>
      <c r="B259" s="57" t="inlineStr">
        <is>
          <t>5월 28일</t>
        </is>
      </c>
      <c r="C259" s="56" t="inlineStr">
        <is>
          <t>네이티브 광고</t>
        </is>
      </c>
      <c r="D259" s="57" t="inlineStr">
        <is>
          <t>3.57%</t>
        </is>
      </c>
      <c r="E259" s="57" t="n">
        <v>1</v>
      </c>
      <c r="F259" s="58" t="inlineStr">
        <is>
          <t>Media</t>
        </is>
      </c>
    </row>
    <row r="260" ht="15.75" customHeight="1" s="1">
      <c r="A260" s="56" t="inlineStr">
        <is>
          <t>로켓위젯</t>
        </is>
      </c>
      <c r="B260" s="57" t="inlineStr">
        <is>
          <t>5월 13일</t>
        </is>
      </c>
      <c r="C260" s="56" t="inlineStr">
        <is>
          <t>로켓 위젯 앱</t>
        </is>
      </c>
      <c r="D260" s="57" t="inlineStr">
        <is>
          <t>2.50%</t>
        </is>
      </c>
      <c r="E260" s="57" t="n">
        <v>1</v>
      </c>
      <c r="F260" s="61" t="inlineStr">
        <is>
          <t>Trend</t>
        </is>
      </c>
    </row>
    <row r="261" ht="15.75" customHeight="1" s="1">
      <c r="A261" s="56" t="inlineStr">
        <is>
          <t>로켓위젯</t>
        </is>
      </c>
      <c r="B261" s="57" t="inlineStr">
        <is>
          <t>5월 14일</t>
        </is>
      </c>
      <c r="C261" s="56" t="inlineStr">
        <is>
          <t>로켓위젯</t>
        </is>
      </c>
      <c r="D261" s="57" t="inlineStr">
        <is>
          <t>5.71%</t>
        </is>
      </c>
      <c r="E261" s="57" t="n">
        <v>2</v>
      </c>
      <c r="F261" s="61" t="inlineStr">
        <is>
          <t>Trend</t>
        </is>
      </c>
    </row>
    <row r="262" ht="15.75" customHeight="1" s="1">
      <c r="A262" s="56" t="inlineStr">
        <is>
          <t>로켓위젯</t>
        </is>
      </c>
      <c r="B262" s="57" t="inlineStr">
        <is>
          <t>5월 17일</t>
        </is>
      </c>
      <c r="C262" s="56" t="inlineStr">
        <is>
          <t>로켓위젯</t>
        </is>
      </c>
      <c r="D262" s="57" t="inlineStr">
        <is>
          <t>11.11%</t>
        </is>
      </c>
      <c r="E262" s="57" t="n">
        <v>1</v>
      </c>
      <c r="F262" s="61" t="inlineStr">
        <is>
          <t>Trend</t>
        </is>
      </c>
    </row>
    <row r="263" ht="15.75" customHeight="1" s="1">
      <c r="A263" s="56" t="inlineStr">
        <is>
          <t>당근마켓</t>
        </is>
      </c>
      <c r="B263" s="57" t="inlineStr">
        <is>
          <t>5월 20일</t>
        </is>
      </c>
      <c r="C263" s="56" t="inlineStr">
        <is>
          <t>당근광고 동영상</t>
        </is>
      </c>
      <c r="D263" s="57" t="inlineStr">
        <is>
          <t>5.00%</t>
        </is>
      </c>
      <c r="E263" s="57" t="n">
        <v>1</v>
      </c>
      <c r="F263" s="58" t="inlineStr">
        <is>
          <t>Media</t>
        </is>
      </c>
    </row>
    <row r="264" ht="15.75" customHeight="1" s="1">
      <c r="A264" s="56" t="inlineStr">
        <is>
          <t>당근마켓</t>
        </is>
      </c>
      <c r="B264" s="57" t="inlineStr">
        <is>
          <t>5월 3일</t>
        </is>
      </c>
      <c r="C264" s="56" t="inlineStr">
        <is>
          <t>당근 돗자리</t>
        </is>
      </c>
      <c r="D264" s="57" t="inlineStr">
        <is>
          <t>6.67%</t>
        </is>
      </c>
      <c r="E264" s="57" t="n">
        <v>1</v>
      </c>
      <c r="F264" s="62" t="n"/>
    </row>
    <row r="265" ht="15.75" customHeight="1" s="1">
      <c r="A265" s="56" t="inlineStr">
        <is>
          <t>넷플릭스</t>
        </is>
      </c>
      <c r="B265" s="57" t="inlineStr">
        <is>
          <t>5월 10일</t>
        </is>
      </c>
      <c r="C265" s="56" t="inlineStr">
        <is>
          <t>넷플릭스 광고 대행</t>
        </is>
      </c>
      <c r="D265" s="57" t="inlineStr">
        <is>
          <t>6.67%</t>
        </is>
      </c>
      <c r="E265" s="57" t="n">
        <v>1</v>
      </c>
      <c r="F265" s="59" t="inlineStr">
        <is>
          <t>About</t>
        </is>
      </c>
    </row>
    <row r="266" ht="15.75" customHeight="1" s="1">
      <c r="A266" s="56" t="inlineStr">
        <is>
          <t>넷플릭스</t>
        </is>
      </c>
      <c r="B266" s="57" t="inlineStr">
        <is>
          <t>5월 26일</t>
        </is>
      </c>
      <c r="C266" s="56" t="inlineStr">
        <is>
          <t>넷플릭스 광고판매대행사</t>
        </is>
      </c>
      <c r="D266" s="57" t="inlineStr">
        <is>
          <t>2.50%</t>
        </is>
      </c>
      <c r="E266" s="57" t="n">
        <v>1</v>
      </c>
      <c r="F266" s="59" t="inlineStr">
        <is>
          <t>About</t>
        </is>
      </c>
    </row>
    <row r="267" ht="15.75" customHeight="1" s="1">
      <c r="A267" s="56" t="inlineStr">
        <is>
          <t>스트리밍/OTT</t>
        </is>
      </c>
      <c r="B267" s="57" t="inlineStr">
        <is>
          <t>5월 4일</t>
        </is>
      </c>
      <c r="C267" s="56" t="inlineStr">
        <is>
          <t>스트림플레이션 뜻</t>
        </is>
      </c>
      <c r="D267" s="57" t="inlineStr">
        <is>
          <t>4.55%</t>
        </is>
      </c>
      <c r="E267" s="57" t="n">
        <v>1</v>
      </c>
      <c r="F267" s="61" t="inlineStr">
        <is>
          <t>Trend</t>
        </is>
      </c>
    </row>
    <row r="268" ht="15.75" customHeight="1" s="1">
      <c r="A268" s="56" t="inlineStr">
        <is>
          <t>크리테오</t>
        </is>
      </c>
      <c r="B268" s="57" t="inlineStr">
        <is>
          <t>5월 8일</t>
        </is>
      </c>
      <c r="C268" s="56" t="inlineStr">
        <is>
          <t>크리테오 프로스펙팅</t>
        </is>
      </c>
      <c r="D268" s="57" t="inlineStr">
        <is>
          <t>2.17%</t>
        </is>
      </c>
      <c r="E268" s="57" t="n">
        <v>1</v>
      </c>
      <c r="F268" s="58" t="inlineStr">
        <is>
          <t>Media</t>
        </is>
      </c>
    </row>
    <row r="269" ht="17.25" customHeight="1" s="1">
      <c r="A269" s="78" t="inlineStr">
        <is>
          <t>기타</t>
        </is>
      </c>
      <c r="B269" s="79" t="inlineStr">
        <is>
          <t>5월 1일</t>
        </is>
      </c>
      <c r="C269" s="80" t="inlineStr">
        <is>
          <t>비주얼아이덴티티</t>
        </is>
      </c>
      <c r="D269" s="81" t="n">
        <v>0.1667</v>
      </c>
      <c r="E269" s="57" t="n">
        <v>1</v>
      </c>
      <c r="F269" s="62" t="n"/>
    </row>
    <row r="270" ht="17.25" customHeight="1" s="1">
      <c r="A270" s="78" t="inlineStr">
        <is>
          <t>기타</t>
        </is>
      </c>
      <c r="B270" s="79" t="inlineStr">
        <is>
          <t>5월 1일</t>
        </is>
      </c>
      <c r="C270" s="82" t="inlineStr">
        <is>
          <t>온라인 오프라인 커뮤니케이션</t>
        </is>
      </c>
      <c r="D270" s="83" t="n">
        <v>0.1667</v>
      </c>
      <c r="E270" s="57" t="n">
        <v>1</v>
      </c>
      <c r="F270" s="62" t="n"/>
    </row>
    <row r="271" ht="17.25" customHeight="1" s="1">
      <c r="A271" s="78" t="inlineStr">
        <is>
          <t>기타</t>
        </is>
      </c>
      <c r="B271" s="84" t="inlineStr">
        <is>
          <t>5월 2일</t>
        </is>
      </c>
      <c r="C271" s="85" t="inlineStr">
        <is>
          <t>앰플리튜드 차트</t>
        </is>
      </c>
      <c r="D271" s="81" t="n">
        <v>0.2857</v>
      </c>
      <c r="E271" s="57" t="n">
        <v>2</v>
      </c>
      <c r="F271" s="62" t="n"/>
    </row>
    <row r="272" ht="17.25" customHeight="1" s="1">
      <c r="A272" s="78" t="inlineStr">
        <is>
          <t>기타</t>
        </is>
      </c>
      <c r="B272" s="84" t="inlineStr">
        <is>
          <t>5월 2일</t>
        </is>
      </c>
      <c r="C272" s="85" t="inlineStr">
        <is>
          <t>휴머노이드 짤</t>
        </is>
      </c>
      <c r="D272" s="81" t="n">
        <v>0.1429</v>
      </c>
      <c r="E272" s="57" t="n">
        <v>1</v>
      </c>
      <c r="F272" s="62" t="n"/>
    </row>
    <row r="273" ht="17.25" customHeight="1" s="1">
      <c r="A273" s="78" t="inlineStr">
        <is>
          <t>기타</t>
        </is>
      </c>
      <c r="B273" s="84" t="inlineStr">
        <is>
          <t>5월 3일</t>
        </is>
      </c>
      <c r="C273" s="85" t="inlineStr">
        <is>
          <t>삼신가전</t>
        </is>
      </c>
      <c r="D273" s="81" t="n">
        <v>0.0667</v>
      </c>
      <c r="E273" s="57" t="n">
        <v>1</v>
      </c>
      <c r="F273" s="62" t="n"/>
    </row>
    <row r="274" ht="17.25" customHeight="1" s="1">
      <c r="A274" s="78" t="inlineStr">
        <is>
          <t>기타</t>
        </is>
      </c>
      <c r="B274" s="84" t="inlineStr">
        <is>
          <t>5월 3일</t>
        </is>
      </c>
      <c r="C274" s="85" t="inlineStr">
        <is>
          <t>쇼셜미디어데이터</t>
        </is>
      </c>
      <c r="D274" s="81" t="n">
        <v>0.0667</v>
      </c>
      <c r="E274" s="57" t="n">
        <v>1</v>
      </c>
      <c r="F274" s="62" t="n"/>
    </row>
  </sheetData>
  <autoFilter ref="A1:F268"/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5"/>
  <sheetViews>
    <sheetView zoomScale="70" zoomScaleNormal="70" workbookViewId="0">
      <selection activeCell="G44" sqref="G44"/>
    </sheetView>
  </sheetViews>
  <sheetFormatPr baseColWidth="8" defaultColWidth="8.6640625" defaultRowHeight="14.4"/>
  <cols>
    <col width="22" customWidth="1" style="1" min="1" max="1"/>
    <col width="7" customWidth="1" style="1" min="2" max="2"/>
    <col width="9" customWidth="1" style="1" min="3" max="3"/>
    <col width="22" customWidth="1" style="1" min="4" max="4"/>
    <col width="8" customWidth="1" style="1" min="5" max="5"/>
    <col width="9" customWidth="1" style="1" min="6" max="6"/>
    <col width="22" customWidth="1" style="1" min="7" max="7"/>
    <col width="7" customWidth="1" style="1" min="8" max="8"/>
    <col width="9" customWidth="1" style="1" min="9" max="9"/>
    <col width="22" customWidth="1" style="1" min="10" max="10"/>
    <col width="8" customWidth="1" style="1" min="11" max="11"/>
    <col width="9" customWidth="1" style="1" min="12" max="12"/>
    <col width="22" customWidth="1" style="1" min="13" max="13"/>
    <col width="7" customWidth="1" style="1" min="14" max="14"/>
    <col width="9" customWidth="1" style="1" min="15" max="15"/>
    <col width="22" customWidth="1" style="1" min="16" max="16"/>
    <col width="7" customWidth="1" style="1" min="17" max="17"/>
    <col width="9" customWidth="1" style="1" min="18" max="18"/>
    <col width="22" customWidth="1" style="1" min="19" max="19"/>
    <col width="7" customWidth="1" style="1" min="20" max="20"/>
    <col width="9" customWidth="1" style="1" min="21" max="21"/>
  </cols>
  <sheetData>
    <row r="1" ht="21.75" customHeight="1" s="1">
      <c r="A1" s="2" t="inlineStr">
        <is>
          <t>월 설정</t>
        </is>
      </c>
      <c r="B1" s="3" t="n">
        <v>4</v>
      </c>
      <c r="C1" s="126" t="inlineStr">
        <is>
          <t>← B1 셀에서 월을 선택하면 날짜가 자동으로 바뀝니다</t>
        </is>
      </c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  <c r="O1" s="150" t="n"/>
      <c r="P1" s="150" t="n"/>
      <c r="Q1" s="150" t="n"/>
      <c r="R1" s="150" t="n"/>
      <c r="S1" s="150" t="n"/>
      <c r="T1" s="150" t="n"/>
      <c r="U1" s="150" t="n"/>
    </row>
    <row r="2" ht="15.75" customHeight="1" s="1">
      <c r="A2" s="4" t="inlineStr">
        <is>
          <t>키워드</t>
        </is>
      </c>
      <c r="B2" s="4" t="inlineStr">
        <is>
          <t>비중</t>
        </is>
      </c>
      <c r="C2" s="4" t="inlineStr">
        <is>
          <t>섹션</t>
        </is>
      </c>
      <c r="D2" s="4" t="inlineStr">
        <is>
          <t>키워드</t>
        </is>
      </c>
      <c r="E2" s="4" t="inlineStr">
        <is>
          <t>비중</t>
        </is>
      </c>
      <c r="F2" s="4" t="inlineStr">
        <is>
          <t>섹션</t>
        </is>
      </c>
      <c r="G2" s="4" t="inlineStr">
        <is>
          <t>키워드</t>
        </is>
      </c>
      <c r="H2" s="4" t="inlineStr">
        <is>
          <t>비중</t>
        </is>
      </c>
      <c r="I2" s="4" t="inlineStr">
        <is>
          <t>섹션</t>
        </is>
      </c>
      <c r="J2" s="4" t="inlineStr">
        <is>
          <t>키워드</t>
        </is>
      </c>
      <c r="K2" s="4" t="inlineStr">
        <is>
          <t>비중</t>
        </is>
      </c>
      <c r="L2" s="4" t="inlineStr">
        <is>
          <t>섹션</t>
        </is>
      </c>
      <c r="M2" s="4" t="inlineStr">
        <is>
          <t>키워드</t>
        </is>
      </c>
      <c r="N2" s="4" t="inlineStr">
        <is>
          <t>비중</t>
        </is>
      </c>
      <c r="O2" s="4" t="inlineStr">
        <is>
          <t>섹션</t>
        </is>
      </c>
      <c r="P2" s="4" t="inlineStr">
        <is>
          <t>키워드</t>
        </is>
      </c>
      <c r="Q2" s="4" t="inlineStr">
        <is>
          <t>비중</t>
        </is>
      </c>
      <c r="R2" s="4" t="inlineStr">
        <is>
          <t>섹션</t>
        </is>
      </c>
      <c r="S2" s="4" t="inlineStr">
        <is>
          <t>키워드</t>
        </is>
      </c>
      <c r="T2" s="4" t="inlineStr">
        <is>
          <t>비중</t>
        </is>
      </c>
      <c r="U2" s="4" t="inlineStr">
        <is>
          <t>섹션</t>
        </is>
      </c>
    </row>
    <row r="3" ht="15.75" customHeight="1" s="1">
      <c r="A3" s="5">
        <f>IF(1&lt;=DAY(EOMONTH(DATE(2026,$B$1,1),0)),$B$1&amp;"월 1일","")</f>
        <v/>
      </c>
      <c r="B3" s="6" t="n"/>
      <c r="C3" s="7" t="n"/>
      <c r="D3" s="5">
        <f>IF(2&lt;=DAY(EOMONTH(DATE(2026,$B$1,1),0)),$B$1&amp;"월 2일","")</f>
        <v/>
      </c>
      <c r="E3" s="6" t="n"/>
      <c r="F3" s="7" t="n"/>
      <c r="G3" s="5">
        <f>IF(3&lt;=DAY(EOMONTH(DATE(2026,$B$1,1),0)),$B$1&amp;"월 3일","")</f>
        <v/>
      </c>
      <c r="H3" s="6" t="n"/>
      <c r="I3" s="7" t="n"/>
      <c r="J3" s="5">
        <f>IF(4&lt;=DAY(EOMONTH(DATE(2026,$B$1,1),0)),$B$1&amp;"월 4일","")</f>
        <v/>
      </c>
      <c r="K3" s="6" t="n"/>
      <c r="L3" s="7" t="n"/>
      <c r="M3" s="5">
        <f>IF(5&lt;=DAY(EOMONTH(DATE(2026,$B$1,1),0)),$B$1&amp;"월 5일","")</f>
        <v/>
      </c>
      <c r="N3" s="6" t="n"/>
      <c r="O3" s="7" t="n"/>
      <c r="P3" s="5">
        <f>IF(6&lt;=DAY(EOMONTH(DATE(2026,$B$1,1),0)),$B$1&amp;"월 6일","")</f>
        <v/>
      </c>
      <c r="Q3" s="6" t="n"/>
      <c r="R3" s="7" t="n"/>
      <c r="S3" s="5">
        <f>IF(7&lt;=DAY(EOMONTH(DATE(2026,$B$1,1),0)),$B$1&amp;"월 7일","")</f>
        <v/>
      </c>
      <c r="T3" s="6" t="n"/>
      <c r="U3" s="7" t="n"/>
    </row>
    <row r="4" ht="15.75" customHeight="1" s="1">
      <c r="A4" s="86" t="inlineStr">
        <is>
          <t>개인화 AI 희망하는 소비자 연령대</t>
        </is>
      </c>
      <c r="B4" s="87" t="n">
        <v>0.027</v>
      </c>
      <c r="C4" s="88" t="inlineStr">
        <is>
          <t>Trend</t>
        </is>
      </c>
      <c r="D4" s="8" t="inlineStr">
        <is>
          <t>컬리n마트</t>
        </is>
      </c>
      <c r="E4" s="9" t="n">
        <v>0.026</v>
      </c>
      <c r="F4" s="10" t="inlineStr">
        <is>
          <t>Trend</t>
        </is>
      </c>
      <c r="G4" s="8" t="inlineStr">
        <is>
          <t>디엠씨미디어 블로그</t>
        </is>
      </c>
      <c r="H4" s="9" t="n">
        <v>0.0588</v>
      </c>
      <c r="I4" s="10" t="inlineStr">
        <is>
          <t>People</t>
        </is>
      </c>
      <c r="J4" s="8" t="inlineStr">
        <is>
          <t>한국광고학회 학술대회</t>
        </is>
      </c>
      <c r="K4" s="9" t="n">
        <v>0.2</v>
      </c>
      <c r="L4" s="10" t="inlineStr">
        <is>
          <t>About</t>
        </is>
      </c>
      <c r="M4" s="8" t="inlineStr">
        <is>
          <t>컬리n마트</t>
        </is>
      </c>
      <c r="N4" s="9" t="n">
        <v>0.0682</v>
      </c>
      <c r="O4" s="10" t="inlineStr">
        <is>
          <t>Trend</t>
        </is>
      </c>
      <c r="P4" s="8" t="inlineStr">
        <is>
          <t>컬리n마트</t>
        </is>
      </c>
      <c r="Q4" s="9" t="n">
        <v>0.0339</v>
      </c>
      <c r="R4" s="10" t="inlineStr">
        <is>
          <t>Trend</t>
        </is>
      </c>
      <c r="S4" s="11" t="inlineStr">
        <is>
          <t>No 1. 패션 B2B 커머스 플랫폼</t>
        </is>
      </c>
      <c r="T4" s="9" t="n">
        <v>0.0159</v>
      </c>
      <c r="U4" s="10" t="inlineStr">
        <is>
          <t>About</t>
        </is>
      </c>
    </row>
    <row r="5" ht="15.75" customHeight="1" s="1">
      <c r="A5" s="86" t="inlineStr">
        <is>
          <t>로켓위쳇</t>
        </is>
      </c>
      <c r="B5" s="87" t="n">
        <v>0.027</v>
      </c>
      <c r="C5" s="88" t="inlineStr">
        <is>
          <t>Trend</t>
        </is>
      </c>
      <c r="D5" s="11" t="inlineStr">
        <is>
          <t>rocket widget</t>
        </is>
      </c>
      <c r="E5" s="9" t="n">
        <v>0.013</v>
      </c>
      <c r="F5" s="10" t="inlineStr">
        <is>
          <t>Trend</t>
        </is>
      </c>
      <c r="G5" s="8" t="inlineStr">
        <is>
          <t>컬리n마트</t>
        </is>
      </c>
      <c r="H5" s="9" t="n">
        <v>0.0588</v>
      </c>
      <c r="I5" s="10" t="inlineStr">
        <is>
          <t>Trend</t>
        </is>
      </c>
      <c r="J5" s="8" t="inlineStr">
        <is>
          <t>글로벌 소비 트렌드 2025-26 그래프</t>
        </is>
      </c>
      <c r="K5" s="9" t="n">
        <v>0.2</v>
      </c>
      <c r="L5" s="10" t="inlineStr">
        <is>
          <t>Trend</t>
        </is>
      </c>
      <c r="M5" s="8" t="inlineStr">
        <is>
          <t>디엠씨미디어 블로그</t>
        </is>
      </c>
      <c r="N5" s="9" t="n">
        <v>0.0455</v>
      </c>
      <c r="O5" s="10" t="inlineStr">
        <is>
          <t>People</t>
        </is>
      </c>
      <c r="P5" s="8" t="inlineStr">
        <is>
          <t>디엠씨미디어 블로그</t>
        </is>
      </c>
      <c r="Q5" s="9" t="n">
        <v>0.0169</v>
      </c>
      <c r="R5" s="10" t="inlineStr">
        <is>
          <t>People</t>
        </is>
      </c>
      <c r="S5" s="8" t="inlineStr">
        <is>
          <t>다이소 뷰티 브랜드</t>
        </is>
      </c>
      <c r="T5" s="9" t="n">
        <v>0.0159</v>
      </c>
      <c r="U5" s="10" t="inlineStr">
        <is>
          <t>Trend</t>
        </is>
      </c>
    </row>
    <row r="6" ht="15.75" customHeight="1" s="1">
      <c r="A6" s="86" t="inlineStr">
        <is>
          <t>직급 SA 뜻</t>
        </is>
      </c>
      <c r="B6" s="87" t="n">
        <v>0.027</v>
      </c>
      <c r="C6" s="88" t="inlineStr">
        <is>
          <t>People</t>
        </is>
      </c>
      <c r="D6" s="8" t="inlineStr">
        <is>
          <t>넷플릭스 정주행광고모음</t>
        </is>
      </c>
      <c r="E6" s="9" t="n">
        <v>0.013</v>
      </c>
      <c r="F6" s="10" t="inlineStr">
        <is>
          <t>About</t>
        </is>
      </c>
      <c r="G6" s="11" t="inlineStr">
        <is>
          <t>ifme 사이즈</t>
        </is>
      </c>
      <c r="H6" s="9" t="n">
        <v>0.0294</v>
      </c>
      <c r="I6" s="10" t="inlineStr">
        <is>
          <t>Trend</t>
        </is>
      </c>
      <c r="J6" s="8" t="inlineStr">
        <is>
          <t>디엠씨미디어 이준희</t>
        </is>
      </c>
      <c r="K6" s="9" t="n">
        <v>0.2</v>
      </c>
      <c r="L6" s="10" t="inlineStr">
        <is>
          <t>About</t>
        </is>
      </c>
      <c r="M6" s="8" t="inlineStr">
        <is>
          <t>의류 플랫폼</t>
        </is>
      </c>
      <c r="N6" s="9" t="n">
        <v>0.0455</v>
      </c>
      <c r="O6" s="10" t="inlineStr">
        <is>
          <t>Trend</t>
        </is>
      </c>
      <c r="P6" s="8" t="inlineStr">
        <is>
          <t>옷 플랫폼</t>
        </is>
      </c>
      <c r="Q6" s="9" t="n">
        <v>0.0169</v>
      </c>
      <c r="R6" s="10" t="inlineStr">
        <is>
          <t>Trend</t>
        </is>
      </c>
      <c r="S6" s="8" t="inlineStr">
        <is>
          <t>당근마켓 동영상 광고</t>
        </is>
      </c>
      <c r="T6" s="9" t="n">
        <v>0.0159</v>
      </c>
      <c r="U6" s="10" t="inlineStr">
        <is>
          <t>About</t>
        </is>
      </c>
    </row>
    <row r="7" ht="15.75" customHeight="1" s="1">
      <c r="A7" s="86" t="inlineStr">
        <is>
          <t>카카오톡 선물하기에서 성공한 브랜드 사례를 알려주세요</t>
        </is>
      </c>
      <c r="B7" s="87" t="n">
        <v>0.027</v>
      </c>
      <c r="C7" s="88" t="inlineStr">
        <is>
          <t>Media</t>
        </is>
      </c>
      <c r="D7" s="8" t="inlineStr">
        <is>
          <t>디엠씨미디어 이준희</t>
        </is>
      </c>
      <c r="E7" s="9" t="n">
        <v>0.013</v>
      </c>
      <c r="F7" s="10" t="inlineStr">
        <is>
          <t>About</t>
        </is>
      </c>
      <c r="G7" s="8" t="inlineStr">
        <is>
          <t>당근 전문가모드 하는법</t>
        </is>
      </c>
      <c r="H7" s="9" t="n">
        <v>0.0294</v>
      </c>
      <c r="I7" s="10" t="inlineStr">
        <is>
          <t>Media</t>
        </is>
      </c>
      <c r="J7" s="11" t="n"/>
      <c r="K7" s="13" t="n"/>
      <c r="L7" s="10" t="n"/>
      <c r="M7" s="8" t="inlineStr">
        <is>
          <t>아이돌 세계관</t>
        </is>
      </c>
      <c r="N7" s="9" t="n">
        <v>0.0227</v>
      </c>
      <c r="O7" s="10" t="inlineStr">
        <is>
          <t>Trend</t>
        </is>
      </c>
      <c r="P7" s="8" t="inlineStr">
        <is>
          <t>옷플랫폼</t>
        </is>
      </c>
      <c r="Q7" s="9" t="n">
        <v>0.0169</v>
      </c>
      <c r="R7" s="10" t="inlineStr">
        <is>
          <t>Trend</t>
        </is>
      </c>
      <c r="S7" s="8" t="inlineStr">
        <is>
          <t>로켓 위젯</t>
        </is>
      </c>
      <c r="T7" s="9" t="n">
        <v>0.0159</v>
      </c>
      <c r="U7" s="10" t="inlineStr">
        <is>
          <t>Trend</t>
        </is>
      </c>
    </row>
    <row r="8" ht="15.75" customHeight="1" s="1">
      <c r="A8" s="86" t="inlineStr">
        <is>
          <t>카카오톡 플친 웰컴메시지 ★★★★★ 해당 문자 조합 알려주세요</t>
        </is>
      </c>
      <c r="B8" s="87" t="n">
        <v>0.027</v>
      </c>
      <c r="C8" s="88" t="inlineStr">
        <is>
          <t>Media</t>
        </is>
      </c>
      <c r="D8" s="8" t="inlineStr">
        <is>
          <t>로켓 위젯</t>
        </is>
      </c>
      <c r="E8" s="9" t="n">
        <v>0.013</v>
      </c>
      <c r="F8" s="10" t="inlineStr">
        <is>
          <t>Trend</t>
        </is>
      </c>
      <c r="G8" s="8" t="inlineStr">
        <is>
          <t>쇼박스 실록</t>
        </is>
      </c>
      <c r="H8" s="9" t="n">
        <v>0.0294</v>
      </c>
      <c r="I8" s="10" t="inlineStr">
        <is>
          <t>Trend</t>
        </is>
      </c>
      <c r="J8" s="11" t="n"/>
      <c r="K8" s="13" t="n"/>
      <c r="L8" s="10" t="n"/>
      <c r="M8" s="8" t="inlineStr">
        <is>
          <t>옷 플랫폼</t>
        </is>
      </c>
      <c r="N8" s="9" t="n">
        <v>0.0227</v>
      </c>
      <c r="O8" s="10" t="inlineStr">
        <is>
          <t>Trend</t>
        </is>
      </c>
      <c r="P8" s="8" t="inlineStr">
        <is>
          <t>웬디스 national roast day</t>
        </is>
      </c>
      <c r="Q8" s="9" t="n">
        <v>0.0169</v>
      </c>
      <c r="R8" s="10" t="inlineStr">
        <is>
          <t>Trend</t>
        </is>
      </c>
      <c r="S8" s="8" t="inlineStr">
        <is>
          <t>무신사 당근 카탈로그 광고 기반 개인화</t>
        </is>
      </c>
      <c r="T8" s="9" t="n">
        <v>0.0159</v>
      </c>
      <c r="U8" s="10" t="inlineStr">
        <is>
          <t>Media</t>
        </is>
      </c>
    </row>
    <row r="9" ht="15.75" customHeight="1" s="1">
      <c r="A9" s="86" t="inlineStr">
        <is>
          <t>컬리N마트</t>
        </is>
      </c>
      <c r="B9" s="87" t="n">
        <v>0.027</v>
      </c>
      <c r="C9" s="88" t="inlineStr">
        <is>
          <t>Trend</t>
        </is>
      </c>
      <c r="D9" s="8" t="inlineStr">
        <is>
          <t>에스파 핀터레스트 계정</t>
        </is>
      </c>
      <c r="E9" s="9" t="n">
        <v>0.013</v>
      </c>
      <c r="F9" s="10" t="inlineStr">
        <is>
          <t>Trend</t>
        </is>
      </c>
      <c r="G9" s="8" t="inlineStr">
        <is>
          <t>스페셜da 모바일 의료기관</t>
        </is>
      </c>
      <c r="H9" s="9" t="n">
        <v>0.0294</v>
      </c>
      <c r="I9" s="10" t="inlineStr">
        <is>
          <t>About</t>
        </is>
      </c>
      <c r="J9" s="11" t="n"/>
      <c r="K9" s="13" t="n"/>
      <c r="L9" s="10" t="n"/>
      <c r="M9" s="8" t="inlineStr">
        <is>
          <t>옷 플랫품</t>
        </is>
      </c>
      <c r="N9" s="9" t="n">
        <v>0.0227</v>
      </c>
      <c r="O9" s="10" t="inlineStr">
        <is>
          <t>Trend</t>
        </is>
      </c>
      <c r="P9" s="8" t="inlineStr">
        <is>
          <t>의류 플랫폼</t>
        </is>
      </c>
      <c r="Q9" s="9" t="n">
        <v>0.0169</v>
      </c>
      <c r="R9" s="10" t="inlineStr">
        <is>
          <t>Trend</t>
        </is>
      </c>
      <c r="S9" s="8" t="inlineStr">
        <is>
          <t>스트림플레이션 뜻</t>
        </is>
      </c>
      <c r="T9" s="9" t="n">
        <v>0.0159</v>
      </c>
      <c r="U9" s="10" t="inlineStr">
        <is>
          <t>Trend</t>
        </is>
      </c>
    </row>
    <row r="10" ht="15.75" customHeight="1" s="1">
      <c r="A10" s="86" t="inlineStr">
        <is>
          <t>컬리n마트</t>
        </is>
      </c>
      <c r="B10" s="87" t="n">
        <v>0.027</v>
      </c>
      <c r="C10" s="88" t="inlineStr">
        <is>
          <t>Trend</t>
        </is>
      </c>
      <c r="D10" s="8" t="inlineStr">
        <is>
          <t>태풍상사 마케팅</t>
        </is>
      </c>
      <c r="E10" s="9" t="n">
        <v>0.013</v>
      </c>
      <c r="F10" s="10" t="inlineStr">
        <is>
          <t>Trend</t>
        </is>
      </c>
      <c r="G10" s="8" t="inlineStr">
        <is>
          <t>중저가 브랜드 여성의류</t>
        </is>
      </c>
      <c r="H10" s="9" t="n">
        <v>0.0294</v>
      </c>
      <c r="I10" s="10" t="inlineStr">
        <is>
          <t>Trend</t>
        </is>
      </c>
      <c r="J10" s="11" t="n"/>
      <c r="K10" s="13" t="n"/>
      <c r="L10" s="10" t="n"/>
      <c r="M10" s="8" t="inlineStr">
        <is>
          <t>왕과 사는 남자 촬영 실록</t>
        </is>
      </c>
      <c r="N10" s="9" t="n">
        <v>0.0227</v>
      </c>
      <c r="O10" s="10" t="inlineStr">
        <is>
          <t>Trend</t>
        </is>
      </c>
      <c r="P10" s="8" t="inlineStr">
        <is>
          <t>토스애즈잠재고객</t>
        </is>
      </c>
      <c r="Q10" s="9" t="n">
        <v>0.0169</v>
      </c>
      <c r="R10" s="10" t="inlineStr">
        <is>
          <t>Media</t>
        </is>
      </c>
      <c r="S10" s="8" t="inlineStr">
        <is>
          <t>에스파 핀터레스트</t>
        </is>
      </c>
      <c r="T10" s="9" t="n">
        <v>0.0159</v>
      </c>
      <c r="U10" s="10" t="inlineStr">
        <is>
          <t>Trend</t>
        </is>
      </c>
    </row>
    <row r="11" ht="15.75" customHeight="1" s="1">
      <c r="A11" s="86" t="inlineStr">
        <is>
          <t>헌혈 참여독려</t>
        </is>
      </c>
      <c r="B11" s="87" t="n">
        <v>0.027</v>
      </c>
      <c r="C11" s="88" t="inlineStr">
        <is>
          <t>Trend</t>
        </is>
      </c>
      <c r="D11" s="8" t="inlineStr">
        <is>
          <t>태풍상사 마케팅 사례</t>
        </is>
      </c>
      <c r="E11" s="9" t="n">
        <v>0.013</v>
      </c>
      <c r="F11" s="10" t="inlineStr">
        <is>
          <t>Trend</t>
        </is>
      </c>
      <c r="G11" s="11" t="inlineStr">
        <is>
          <t>ga 세션수 뜻</t>
        </is>
      </c>
      <c r="H11" s="9" t="n">
        <v>0.0294</v>
      </c>
      <c r="I11" s="10" t="inlineStr">
        <is>
          <t>Data</t>
        </is>
      </c>
      <c r="J11" s="11" t="n"/>
      <c r="K11" s="13" t="n"/>
      <c r="L11" s="10" t="n"/>
      <c r="M11" s="8" t="inlineStr">
        <is>
          <t>컬리n마트 멤버십</t>
        </is>
      </c>
      <c r="N11" s="9" t="n">
        <v>0.0227</v>
      </c>
      <c r="O11" s="10" t="inlineStr">
        <is>
          <t>Trend</t>
        </is>
      </c>
      <c r="P11" s="8" t="inlineStr">
        <is>
          <t>하이퍼 로컬 마케팅</t>
        </is>
      </c>
      <c r="Q11" s="9" t="n">
        <v>0.0169</v>
      </c>
      <c r="R11" s="10" t="inlineStr">
        <is>
          <t>Media</t>
        </is>
      </c>
      <c r="S11" s="8" t="inlineStr">
        <is>
          <t>옷 플랫폼</t>
        </is>
      </c>
      <c r="T11" s="9" t="n">
        <v>0.0159</v>
      </c>
      <c r="U11" s="10" t="inlineStr">
        <is>
          <t>Trend</t>
        </is>
      </c>
    </row>
    <row r="12" ht="15.75" customHeight="1" s="1">
      <c r="A12" s="86" t="inlineStr">
        <is>
          <t>헌혈캠페인</t>
        </is>
      </c>
      <c r="B12" s="87" t="n">
        <v>0.027</v>
      </c>
      <c r="C12" s="88" t="inlineStr">
        <is>
          <t>Trend</t>
        </is>
      </c>
      <c r="D12" s="11" t="inlineStr">
        <is>
          <t>DMC미디어</t>
        </is>
      </c>
      <c r="E12" s="9" t="n">
        <v>0.026</v>
      </c>
      <c r="F12" s="10" t="inlineStr">
        <is>
          <t>About</t>
        </is>
      </c>
      <c r="G12" s="8" t="inlineStr">
        <is>
          <t>네이버 검색광고 에셋 텍스트</t>
        </is>
      </c>
      <c r="H12" s="9" t="n">
        <v>0.0294</v>
      </c>
      <c r="I12" s="10" t="inlineStr">
        <is>
          <t>Media</t>
        </is>
      </c>
      <c r="J12" s="11" t="n"/>
      <c r="K12" s="13" t="n"/>
      <c r="L12" s="10" t="n"/>
      <c r="M12" s="8" t="inlineStr">
        <is>
          <t>티몬 대체할 수 있는 중저가 의류 쇼핑몰 알려주세요</t>
        </is>
      </c>
      <c r="N12" s="9" t="n">
        <v>0.0227</v>
      </c>
      <c r="O12" s="10" t="inlineStr">
        <is>
          <t>Trend</t>
        </is>
      </c>
      <c r="P12" s="8" t="inlineStr">
        <is>
          <t>네이버 시승신청 광고</t>
        </is>
      </c>
      <c r="Q12" s="9" t="n">
        <v>0.0169</v>
      </c>
      <c r="R12" s="10" t="inlineStr">
        <is>
          <t>About</t>
        </is>
      </c>
      <c r="S12" s="8" t="inlineStr">
        <is>
          <t>중저가 패션 브랜드</t>
        </is>
      </c>
      <c r="T12" s="9" t="n">
        <v>0.0159</v>
      </c>
      <c r="U12" s="10" t="inlineStr">
        <is>
          <t>Trend</t>
        </is>
      </c>
    </row>
    <row r="13" ht="15.75" customHeight="1" s="1">
      <c r="A13" s="86" t="inlineStr">
        <is>
          <t>디엠씨미디어</t>
        </is>
      </c>
      <c r="B13" s="87" t="n">
        <v>0.1081</v>
      </c>
      <c r="C13" s="88" t="inlineStr">
        <is>
          <t>About</t>
        </is>
      </c>
      <c r="D13" s="11" t="inlineStr">
        <is>
          <t>DMC미디어 이인성</t>
        </is>
      </c>
      <c r="E13" s="9" t="n">
        <v>0.013</v>
      </c>
      <c r="F13" s="10" t="inlineStr">
        <is>
          <t>About</t>
        </is>
      </c>
      <c r="G13" s="8" t="inlineStr">
        <is>
          <t>당근 전문가모드 맞춤타겟</t>
        </is>
      </c>
      <c r="H13" s="9" t="n">
        <v>0.0294</v>
      </c>
      <c r="I13" s="10" t="inlineStr">
        <is>
          <t>About</t>
        </is>
      </c>
      <c r="J13" s="11" t="n"/>
      <c r="K13" s="13" t="n"/>
      <c r="L13" s="10" t="n"/>
      <c r="M13" s="8" t="inlineStr">
        <is>
          <t>헌혈 인식</t>
        </is>
      </c>
      <c r="N13" s="9" t="n">
        <v>0.0227</v>
      </c>
      <c r="O13" s="10" t="inlineStr">
        <is>
          <t>Trend</t>
        </is>
      </c>
      <c r="P13" s="8" t="inlineStr">
        <is>
          <t>카톡플친 메세지 소식올리기 차이</t>
        </is>
      </c>
      <c r="Q13" s="9" t="n">
        <v>0.0169</v>
      </c>
      <c r="R13" s="10" t="inlineStr">
        <is>
          <t>Media</t>
        </is>
      </c>
      <c r="S13" s="8" t="inlineStr">
        <is>
          <t>카카오t 택시 핀테마</t>
        </is>
      </c>
      <c r="T13" s="9" t="n">
        <v>0.0159</v>
      </c>
      <c r="U13" s="10" t="inlineStr">
        <is>
          <t>Media</t>
        </is>
      </c>
    </row>
    <row r="14" ht="15.75" customHeight="1" s="1">
      <c r="A14" s="86" t="inlineStr">
        <is>
          <t>키친플래그</t>
        </is>
      </c>
      <c r="B14" s="87" t="n">
        <v>0.027</v>
      </c>
      <c r="C14" s="88" t="inlineStr">
        <is>
          <t>About</t>
        </is>
      </c>
      <c r="D14" s="8" t="inlineStr">
        <is>
          <t>디엠씨미디어 D.SaiO</t>
        </is>
      </c>
      <c r="E14" s="9" t="n">
        <v>0.013</v>
      </c>
      <c r="F14" s="10" t="inlineStr">
        <is>
          <t>About</t>
        </is>
      </c>
      <c r="G14" s="8" t="inlineStr">
        <is>
          <t>카카오 플친 유형</t>
        </is>
      </c>
      <c r="H14" s="9" t="n">
        <v>0.0294</v>
      </c>
      <c r="I14" s="10" t="inlineStr">
        <is>
          <t>Media</t>
        </is>
      </c>
      <c r="J14" s="11" t="n"/>
      <c r="K14" s="13" t="n"/>
      <c r="L14" s="10" t="n"/>
      <c r="M14" s="8" t="inlineStr">
        <is>
          <t>여성 중저가 의류 브랜드</t>
        </is>
      </c>
      <c r="N14" s="9" t="n">
        <v>0.0227</v>
      </c>
      <c r="O14" s="10" t="inlineStr">
        <is>
          <t>Trend</t>
        </is>
      </c>
      <c r="P14" s="8" t="inlineStr">
        <is>
          <t>토스애즈</t>
        </is>
      </c>
      <c r="Q14" s="9" t="n">
        <v>0.0169</v>
      </c>
      <c r="R14" s="10" t="inlineStr">
        <is>
          <t>Media</t>
        </is>
      </c>
      <c r="S14" s="8" t="inlineStr">
        <is>
          <t>키워드마스터</t>
        </is>
      </c>
      <c r="T14" s="9" t="n">
        <v>0.0159</v>
      </c>
      <c r="U14" s="10" t="inlineStr">
        <is>
          <t>Trend</t>
        </is>
      </c>
    </row>
    <row r="15" ht="15.75" customHeight="1" s="1">
      <c r="A15" s="86" t="inlineStr">
        <is>
          <t>디엠씨미디어</t>
        </is>
      </c>
      <c r="B15" s="87" t="n">
        <v>0.08110000000000001</v>
      </c>
      <c r="C15" s="88" t="inlineStr">
        <is>
          <t>About</t>
        </is>
      </c>
      <c r="D15" s="8" t="inlineStr">
        <is>
          <t>디엠씨미디어 솔루션</t>
        </is>
      </c>
      <c r="E15" s="9" t="n">
        <v>0.013</v>
      </c>
      <c r="F15" s="10" t="inlineStr">
        <is>
          <t>About</t>
        </is>
      </c>
      <c r="G15" s="8" t="inlineStr">
        <is>
          <t>카카오t rse광고</t>
        </is>
      </c>
      <c r="H15" s="9" t="n">
        <v>0.0294</v>
      </c>
      <c r="I15" s="10" t="inlineStr">
        <is>
          <t>Media</t>
        </is>
      </c>
      <c r="J15" s="11" t="n"/>
      <c r="K15" s="13" t="n"/>
      <c r="L15" s="10" t="n"/>
      <c r="M15" s="8" t="inlineStr">
        <is>
          <t>한국광고학회 가을철 학술대회 2024</t>
        </is>
      </c>
      <c r="N15" s="9" t="n">
        <v>0.0227</v>
      </c>
      <c r="O15" s="10" t="inlineStr">
        <is>
          <t>About</t>
        </is>
      </c>
      <c r="P15" s="8" t="inlineStr">
        <is>
          <t>패션잡화 업종 보고서</t>
        </is>
      </c>
      <c r="Q15" s="9" t="n">
        <v>0.0169</v>
      </c>
      <c r="R15" s="10" t="inlineStr">
        <is>
          <t>Trend</t>
        </is>
      </c>
      <c r="S15" s="11" t="inlineStr">
        <is>
          <t>DMC미디어 무료 광고 리포트 종류와 열람 방법 그래프</t>
        </is>
      </c>
      <c r="T15" s="9" t="n">
        <v>0.0159</v>
      </c>
      <c r="U15" s="10" t="inlineStr">
        <is>
          <t>About</t>
        </is>
      </c>
    </row>
    <row r="16" ht="15.75" customHeight="1" s="1">
      <c r="A16" s="86" t="inlineStr">
        <is>
          <t>두산베어스 케릭터</t>
        </is>
      </c>
      <c r="B16" s="87" t="n">
        <v>0.027</v>
      </c>
      <c r="C16" s="88" t="inlineStr">
        <is>
          <t>Trend</t>
        </is>
      </c>
      <c r="D16" s="8" t="inlineStr">
        <is>
          <t>에스파 핀터레스트</t>
        </is>
      </c>
      <c r="E16" s="9" t="n">
        <v>0.013</v>
      </c>
      <c r="F16" s="10" t="inlineStr">
        <is>
          <t>Trend</t>
        </is>
      </c>
      <c r="G16" s="8" t="inlineStr">
        <is>
          <t>당근 동영상</t>
        </is>
      </c>
      <c r="H16" s="9" t="n">
        <v>0.0294</v>
      </c>
      <c r="I16" s="10" t="inlineStr">
        <is>
          <t>Media</t>
        </is>
      </c>
      <c r="J16" s="11" t="n"/>
      <c r="K16" s="13" t="n"/>
      <c r="L16" s="10" t="n"/>
      <c r="M16" s="8" t="inlineStr">
        <is>
          <t>한국광고학회 학술대회 2025</t>
        </is>
      </c>
      <c r="N16" s="9" t="n">
        <v>0.0227</v>
      </c>
      <c r="O16" s="10" t="inlineStr">
        <is>
          <t>About</t>
        </is>
      </c>
      <c r="P16" s="8" t="inlineStr">
        <is>
          <t>모디슈머 제품</t>
        </is>
      </c>
      <c r="Q16" s="9" t="n">
        <v>0.0169</v>
      </c>
      <c r="R16" s="10" t="inlineStr">
        <is>
          <t>Trend</t>
        </is>
      </c>
      <c r="S16" s="11" t="inlineStr">
        <is>
          <t>ai 연령대 별 접근 표</t>
        </is>
      </c>
      <c r="T16" s="9" t="n">
        <v>0.0159</v>
      </c>
      <c r="U16" s="10" t="inlineStr">
        <is>
          <t>Trend</t>
        </is>
      </c>
    </row>
    <row r="17" ht="15.75" customHeight="1" s="1">
      <c r="A17" s="86" t="inlineStr">
        <is>
          <t>왕과사는남자 촬영실록비하인드  2.70%</t>
        </is>
      </c>
      <c r="B17" s="87" t="n">
        <v>0.027</v>
      </c>
      <c r="C17" s="88" t="inlineStr">
        <is>
          <t>Trend</t>
        </is>
      </c>
      <c r="D17" s="8" t="inlineStr">
        <is>
          <t>컬리N마트 거래액</t>
        </is>
      </c>
      <c r="E17" s="9" t="n">
        <v>0.013</v>
      </c>
      <c r="F17" s="10" t="inlineStr">
        <is>
          <t>Trend</t>
        </is>
      </c>
      <c r="G17" s="8" t="inlineStr">
        <is>
          <t>한국광고학회 춘계 학술대회</t>
        </is>
      </c>
      <c r="H17" s="9" t="n">
        <v>0.0294</v>
      </c>
      <c r="I17" s="10" t="inlineStr">
        <is>
          <t>About</t>
        </is>
      </c>
      <c r="J17" s="11" t="n"/>
      <c r="K17" s="13" t="n"/>
      <c r="L17" s="10" t="n"/>
      <c r="M17" s="8" t="inlineStr">
        <is>
          <t>광고학회 학술대회 2026</t>
        </is>
      </c>
      <c r="N17" s="9" t="n">
        <v>0.0455</v>
      </c>
      <c r="O17" s="10" t="inlineStr">
        <is>
          <t>About</t>
        </is>
      </c>
      <c r="P17" s="11" t="n"/>
      <c r="Q17" s="13" t="n"/>
      <c r="R17" s="10" t="n"/>
      <c r="S17" s="8" t="inlineStr">
        <is>
          <t>근속 수상 소감문 작성 팁 알려주세요</t>
        </is>
      </c>
      <c r="T17" s="9" t="n">
        <v>0.0159</v>
      </c>
      <c r="U17" s="10" t="inlineStr">
        <is>
          <t>People</t>
        </is>
      </c>
    </row>
    <row r="18" ht="15.75" customHeight="1" s="1">
      <c r="A18" s="11" t="n"/>
      <c r="B18" s="13" t="n"/>
      <c r="C18" s="10" t="n"/>
      <c r="D18" s="8" t="inlineStr">
        <is>
          <t>토스 CPC광고</t>
        </is>
      </c>
      <c r="E18" s="9" t="n">
        <v>0.013</v>
      </c>
      <c r="F18" s="10" t="inlineStr">
        <is>
          <t>Media</t>
        </is>
      </c>
      <c r="G18" s="11" t="inlineStr">
        <is>
          <t>2026년 방송 디지털 광고</t>
        </is>
      </c>
      <c r="H18" s="9" t="n">
        <v>0.0294</v>
      </c>
      <c r="I18" s="10" t="inlineStr">
        <is>
          <t>About</t>
        </is>
      </c>
      <c r="J18" s="11" t="n"/>
      <c r="K18" s="13" t="n"/>
      <c r="L18" s="10" t="n"/>
      <c r="M18" s="11" t="inlineStr">
        <is>
          <t>DMC리포트</t>
        </is>
      </c>
      <c r="N18" s="9" t="n">
        <v>0.0227</v>
      </c>
      <c r="O18" s="10" t="inlineStr">
        <is>
          <t>Trend</t>
        </is>
      </c>
      <c r="P18" s="11" t="n"/>
      <c r="Q18" s="13" t="n"/>
      <c r="R18" s="10" t="n"/>
      <c r="S18" s="8" t="inlineStr">
        <is>
          <t>모란네이버인스타메타회사위치</t>
        </is>
      </c>
      <c r="T18" s="9" t="n">
        <v>0.0159</v>
      </c>
      <c r="U18" s="10" t="inlineStr">
        <is>
          <t>About</t>
        </is>
      </c>
    </row>
    <row r="19" ht="15.75" customHeight="1" s="1">
      <c r="A19" s="11" t="n"/>
      <c r="B19" s="13" t="n"/>
      <c r="C19" s="10" t="n"/>
      <c r="D19" s="11" t="inlineStr">
        <is>
          <t>2030건강 보험 상품 치수</t>
        </is>
      </c>
      <c r="E19" s="9" t="n">
        <v>0.026</v>
      </c>
      <c r="F19" s="10" t="inlineStr">
        <is>
          <t>Trend</t>
        </is>
      </c>
      <c r="G19" s="11" t="n"/>
      <c r="H19" s="13" t="n"/>
      <c r="I19" s="10" t="n"/>
      <c r="J19" s="11" t="n"/>
      <c r="K19" s="13" t="n"/>
      <c r="L19" s="10" t="n"/>
      <c r="M19" s="8" t="inlineStr">
        <is>
          <t>저당 제품 소비자 연령 조사 결과</t>
        </is>
      </c>
      <c r="N19" s="9" t="n">
        <v>0.0227</v>
      </c>
      <c r="O19" s="10" t="inlineStr">
        <is>
          <t>Trend</t>
        </is>
      </c>
      <c r="P19" s="11" t="n"/>
      <c r="Q19" s="13" t="n"/>
      <c r="R19" s="10" t="n"/>
      <c r="S19" s="8" t="inlineStr">
        <is>
          <t>옷 쇼핑앱 순위</t>
        </is>
      </c>
      <c r="T19" s="9" t="n">
        <v>0.0159</v>
      </c>
      <c r="U19" s="10" t="inlineStr">
        <is>
          <t>Trend</t>
        </is>
      </c>
    </row>
    <row r="20" ht="15.75" customHeight="1" s="1">
      <c r="A20" s="11" t="n"/>
      <c r="B20" s="13" t="n"/>
      <c r="C20" s="10" t="n"/>
      <c r="D20" s="8" t="inlineStr">
        <is>
          <t>디엠씨미디어</t>
        </is>
      </c>
      <c r="E20" s="9" t="n">
        <v>0.013</v>
      </c>
      <c r="F20" s="10" t="inlineStr">
        <is>
          <t>About</t>
        </is>
      </c>
      <c r="G20" s="11" t="n"/>
      <c r="H20" s="13" t="n"/>
      <c r="I20" s="10" t="n"/>
      <c r="J20" s="11" t="n"/>
      <c r="K20" s="13" t="n"/>
      <c r="L20" s="10" t="n"/>
      <c r="M20" s="11" t="n"/>
      <c r="N20" s="13" t="n"/>
      <c r="O20" s="10" t="n"/>
      <c r="P20" s="11" t="n"/>
      <c r="Q20" s="13" t="n"/>
      <c r="R20" s="10" t="n"/>
      <c r="S20" s="8" t="inlineStr">
        <is>
          <t>의류 플래폼</t>
        </is>
      </c>
      <c r="T20" s="9" t="n">
        <v>0.0159</v>
      </c>
      <c r="U20" s="10" t="inlineStr">
        <is>
          <t>Media</t>
        </is>
      </c>
    </row>
    <row r="21" ht="15.75" customHeight="1" s="1">
      <c r="A21" s="11" t="n"/>
      <c r="B21" s="13" t="n"/>
      <c r="C21" s="10" t="n"/>
      <c r="D21" s="11" t="n"/>
      <c r="E21" s="13" t="n"/>
      <c r="F21" s="10" t="n"/>
      <c r="G21" s="11" t="n"/>
      <c r="H21" s="13" t="n"/>
      <c r="I21" s="10" t="n"/>
      <c r="J21" s="11" t="n"/>
      <c r="K21" s="13" t="n"/>
      <c r="L21" s="10" t="n"/>
      <c r="M21" s="11" t="n"/>
      <c r="N21" s="13" t="n"/>
      <c r="O21" s="10" t="n"/>
      <c r="P21" s="11" t="n"/>
      <c r="Q21" s="13" t="n"/>
      <c r="R21" s="10" t="n"/>
      <c r="S21" s="8" t="inlineStr">
        <is>
          <t>컬리n마트</t>
        </is>
      </c>
      <c r="T21" s="9" t="n">
        <v>0.0159</v>
      </c>
      <c r="U21" s="10" t="inlineStr">
        <is>
          <t>Trend</t>
        </is>
      </c>
    </row>
    <row r="22" ht="15.75" customHeight="1" s="1">
      <c r="A22" s="11" t="n"/>
      <c r="B22" s="13" t="n"/>
      <c r="C22" s="10" t="n"/>
      <c r="D22" s="11" t="n"/>
      <c r="E22" s="13" t="n"/>
      <c r="F22" s="10" t="n"/>
      <c r="G22" s="11" t="n"/>
      <c r="H22" s="13" t="n"/>
      <c r="I22" s="10" t="n"/>
      <c r="J22" s="11" t="n"/>
      <c r="K22" s="13" t="n"/>
      <c r="L22" s="10" t="n"/>
      <c r="M22" s="11" t="n"/>
      <c r="N22" s="13" t="n"/>
      <c r="O22" s="10" t="n"/>
      <c r="P22" s="11" t="n"/>
      <c r="Q22" s="13" t="n"/>
      <c r="R22" s="10" t="n"/>
      <c r="S22" s="8" t="inlineStr">
        <is>
          <t>토스 리드폼으로 잠재고객 모으기 방법은?</t>
        </is>
      </c>
      <c r="T22" s="9" t="n">
        <v>0.0159</v>
      </c>
      <c r="U22" s="10" t="inlineStr">
        <is>
          <t>Media</t>
        </is>
      </c>
    </row>
    <row r="23" ht="15.75" customHeight="1" s="1">
      <c r="A23" s="17" t="n"/>
      <c r="B23" s="18" t="n"/>
      <c r="C23" s="19" t="n"/>
      <c r="D23" s="17" t="n"/>
      <c r="E23" s="18" t="n"/>
      <c r="F23" s="19" t="n"/>
      <c r="G23" s="17" t="n"/>
      <c r="H23" s="18" t="n"/>
      <c r="I23" s="19" t="n"/>
      <c r="J23" s="17" t="n"/>
      <c r="K23" s="18" t="n"/>
      <c r="L23" s="19" t="n"/>
      <c r="M23" s="17" t="n"/>
      <c r="N23" s="18" t="n"/>
      <c r="O23" s="19" t="n"/>
      <c r="P23" s="17" t="n"/>
      <c r="Q23" s="18" t="n"/>
      <c r="R23" s="19" t="n"/>
      <c r="S23" s="32" t="inlineStr">
        <is>
          <t>디엠씨미디어</t>
        </is>
      </c>
      <c r="T23" s="20" t="n">
        <v>0.0159</v>
      </c>
      <c r="U23" s="19" t="inlineStr">
        <is>
          <t>About</t>
        </is>
      </c>
    </row>
    <row r="24" ht="15.75" customHeight="1" s="1">
      <c r="A24" s="17" t="n"/>
      <c r="B24" s="18" t="n"/>
      <c r="C24" s="19" t="n"/>
      <c r="D24" s="17" t="n"/>
      <c r="E24" s="18" t="n"/>
      <c r="F24" s="19" t="n"/>
      <c r="G24" s="17" t="n"/>
      <c r="H24" s="18" t="n"/>
      <c r="I24" s="19" t="n"/>
      <c r="J24" s="17" t="n"/>
      <c r="K24" s="18" t="n"/>
      <c r="L24" s="19" t="n"/>
      <c r="M24" s="17" t="n"/>
      <c r="N24" s="18" t="n"/>
      <c r="O24" s="19" t="n"/>
      <c r="P24" s="17" t="n"/>
      <c r="Q24" s="18" t="n"/>
      <c r="R24" s="19" t="n"/>
      <c r="S24" s="17" t="inlineStr">
        <is>
          <t>f&amp;b 마케팅</t>
        </is>
      </c>
      <c r="T24" s="20" t="n">
        <v>0.0159</v>
      </c>
      <c r="U24" s="19" t="inlineStr">
        <is>
          <t>About</t>
        </is>
      </c>
    </row>
    <row r="25" ht="15.75" customHeight="1" s="1">
      <c r="A25" s="14" t="n"/>
      <c r="B25" s="15" t="n"/>
      <c r="C25" s="16" t="n"/>
      <c r="D25" s="14" t="n"/>
      <c r="E25" s="15" t="n"/>
      <c r="F25" s="16" t="n"/>
      <c r="G25" s="14" t="n"/>
      <c r="H25" s="15" t="n"/>
      <c r="I25" s="16" t="n"/>
      <c r="J25" s="14" t="n"/>
      <c r="K25" s="15" t="n"/>
      <c r="L25" s="16" t="n"/>
      <c r="M25" s="14" t="n"/>
      <c r="N25" s="15" t="n"/>
      <c r="O25" s="16" t="n"/>
      <c r="P25" s="14" t="n"/>
      <c r="Q25" s="15" t="n"/>
      <c r="R25" s="16" t="n"/>
      <c r="S25" s="14" t="n"/>
      <c r="T25" s="15" t="n"/>
      <c r="U25" s="16" t="n"/>
    </row>
    <row r="26" ht="15.75" customHeight="1" s="1">
      <c r="A26" s="5">
        <f>IF(8&lt;=DAY(EOMONTH(DATE(2026,$B$1,1),0)),$B$1&amp;"월 8일","")</f>
        <v/>
      </c>
      <c r="B26" s="6" t="n"/>
      <c r="C26" s="7" t="n"/>
      <c r="D26" s="5">
        <f>IF(9&lt;=DAY(EOMONTH(DATE(2026,$B$1,1),0)),$B$1&amp;"월 9일","")</f>
        <v/>
      </c>
      <c r="E26" s="6" t="n"/>
      <c r="F26" s="7" t="n"/>
      <c r="G26" s="5">
        <f>IF(10&lt;=DAY(EOMONTH(DATE(2026,$B$1,1),0)),$B$1&amp;"월 10일","")</f>
        <v/>
      </c>
      <c r="H26" s="6" t="n"/>
      <c r="I26" s="7" t="n"/>
      <c r="J26" s="5">
        <f>IF(11&lt;=DAY(EOMONTH(DATE(2026,$B$1,1),0)),$B$1&amp;"월 11일","")</f>
        <v/>
      </c>
      <c r="K26" s="6" t="n"/>
      <c r="L26" s="7" t="n"/>
      <c r="M26" s="5">
        <f>IF(12&lt;=DAY(EOMONTH(DATE(2026,$B$1,1),0)),$B$1&amp;"월 12일","")</f>
        <v/>
      </c>
      <c r="N26" s="6" t="n"/>
      <c r="O26" s="7" t="n"/>
      <c r="P26" s="5">
        <f>IF(13&lt;=DAY(EOMONTH(DATE(2026,$B$1,1),0)),$B$1&amp;"월 13일","")</f>
        <v/>
      </c>
      <c r="Q26" s="6" t="n"/>
      <c r="R26" s="7" t="n"/>
      <c r="S26" s="5">
        <f>IF(14&lt;=DAY(EOMONTH(DATE(2026,$B$1,1),0)),$B$1&amp;"월 14일","")</f>
        <v/>
      </c>
      <c r="T26" s="6" t="n"/>
      <c r="U26" s="7" t="n"/>
    </row>
    <row r="27" ht="15.75" customHeight="1" s="1">
      <c r="A27" s="8" t="inlineStr">
        <is>
          <t>엠넷 스플래시 배너</t>
        </is>
      </c>
      <c r="B27" s="9" t="n">
        <v>0.0541</v>
      </c>
      <c r="C27" s="10" t="inlineStr">
        <is>
          <t>Media</t>
        </is>
      </c>
      <c r="D27" s="8" t="inlineStr">
        <is>
          <t>디엠씨미디어 블로그</t>
        </is>
      </c>
      <c r="E27" s="9" t="n">
        <v>0.0541</v>
      </c>
      <c r="F27" s="10" t="inlineStr">
        <is>
          <t>People</t>
        </is>
      </c>
      <c r="G27" s="11" t="inlineStr">
        <is>
          <t>ai구독료 가전제품 30 만원이상</t>
        </is>
      </c>
      <c r="H27" s="9" t="n">
        <v>0.0385</v>
      </c>
      <c r="I27" s="10" t="inlineStr">
        <is>
          <t>Trend</t>
        </is>
      </c>
      <c r="J27" s="8" t="inlineStr">
        <is>
          <t>하이퍼 로컬 마케팅</t>
        </is>
      </c>
      <c r="K27" s="9" t="n">
        <v>0.1538</v>
      </c>
      <c r="L27" s="10" t="inlineStr">
        <is>
          <t>Media</t>
        </is>
      </c>
      <c r="M27" s="8" t="inlineStr">
        <is>
          <t>옷 플랫폼</t>
        </is>
      </c>
      <c r="N27" s="9" t="n">
        <v>0.09520000000000001</v>
      </c>
      <c r="O27" s="10" t="inlineStr">
        <is>
          <t>Trend</t>
        </is>
      </c>
      <c r="P27" s="11" t="inlineStr">
        <is>
          <t>mmm 구글</t>
        </is>
      </c>
      <c r="Q27" s="9" t="n">
        <v>0.0238</v>
      </c>
      <c r="R27" s="10" t="inlineStr">
        <is>
          <t>Data</t>
        </is>
      </c>
      <c r="S27" s="8" t="inlineStr">
        <is>
          <t>카톡 업데이트 프로필 광고</t>
        </is>
      </c>
      <c r="T27" s="9" t="n">
        <v>0.0698</v>
      </c>
      <c r="U27" s="10" t="inlineStr">
        <is>
          <t>Media</t>
        </is>
      </c>
    </row>
    <row r="28" ht="15.75" customHeight="1" s="1">
      <c r="A28" s="8" t="inlineStr">
        <is>
          <t>휴먼 파티 데이터</t>
        </is>
      </c>
      <c r="B28" s="9" t="n">
        <v>0.0541</v>
      </c>
      <c r="C28" s="10" t="inlineStr">
        <is>
          <t>Media</t>
        </is>
      </c>
      <c r="D28" s="8" t="inlineStr">
        <is>
          <t>당근마켓 전문가모드와 간편모드의 차이점이 궁금해요</t>
        </is>
      </c>
      <c r="E28" s="9" t="n">
        <v>0.027</v>
      </c>
      <c r="F28" s="10" t="inlineStr">
        <is>
          <t>Media</t>
        </is>
      </c>
      <c r="G28" s="8" t="inlineStr">
        <is>
          <t>에스파 핀터레스트</t>
        </is>
      </c>
      <c r="H28" s="9" t="n">
        <v>0.0385</v>
      </c>
      <c r="I28" s="10" t="inlineStr">
        <is>
          <t>Trend</t>
        </is>
      </c>
      <c r="J28" s="11" t="inlineStr">
        <is>
          <t>DMC미디어 생일복지</t>
        </is>
      </c>
      <c r="K28" s="9" t="n">
        <v>0.0769</v>
      </c>
      <c r="L28" s="10" t="inlineStr">
        <is>
          <t>People</t>
        </is>
      </c>
      <c r="M28" s="8" t="inlineStr">
        <is>
          <t>의류 플랫폼</t>
        </is>
      </c>
      <c r="N28" s="9" t="n">
        <v>0.09520000000000001</v>
      </c>
      <c r="O28" s="10" t="inlineStr">
        <is>
          <t>Trend</t>
        </is>
      </c>
      <c r="P28" s="8" t="inlineStr">
        <is>
          <t>로켓위젯</t>
        </is>
      </c>
      <c r="Q28" s="9" t="n">
        <v>0.0238</v>
      </c>
      <c r="R28" s="10" t="inlineStr">
        <is>
          <t>Trend</t>
        </is>
      </c>
      <c r="S28" s="8" t="inlineStr">
        <is>
          <t>토스애즈</t>
        </is>
      </c>
      <c r="T28" s="9" t="n">
        <v>0.0155</v>
      </c>
      <c r="U28" s="10" t="inlineStr">
        <is>
          <t>Media</t>
        </is>
      </c>
    </row>
    <row r="29" ht="15.75" customHeight="1" s="1">
      <c r="A29" s="11" t="inlineStr">
        <is>
          <t>2025년 의류 생산량 알려주세요</t>
        </is>
      </c>
      <c r="B29" s="9" t="n">
        <v>0.027</v>
      </c>
      <c r="C29" s="10" t="inlineStr">
        <is>
          <t>Trend</t>
        </is>
      </c>
      <c r="D29" s="8" t="inlineStr">
        <is>
          <t>두산 망그러진곰 유니폼</t>
        </is>
      </c>
      <c r="E29" s="9" t="n">
        <v>0.027</v>
      </c>
      <c r="F29" s="10" t="inlineStr">
        <is>
          <t>Trend</t>
        </is>
      </c>
      <c r="G29" s="8" t="inlineStr">
        <is>
          <t>옷 플렛폼</t>
        </is>
      </c>
      <c r="H29" s="9" t="n">
        <v>0.0385</v>
      </c>
      <c r="I29" s="10" t="inlineStr">
        <is>
          <t>Trend</t>
        </is>
      </c>
      <c r="J29" s="11" t="inlineStr">
        <is>
          <t>SNS 비교</t>
        </is>
      </c>
      <c r="K29" s="9" t="n">
        <v>0.0769</v>
      </c>
      <c r="L29" s="10" t="inlineStr">
        <is>
          <t>Trend</t>
        </is>
      </c>
      <c r="M29" s="8" t="inlineStr">
        <is>
          <t>네이버 비지니스 키워드</t>
        </is>
      </c>
      <c r="N29" s="9" t="n">
        <v>0.0476</v>
      </c>
      <c r="O29" s="10" t="inlineStr">
        <is>
          <t>Media</t>
        </is>
      </c>
      <c r="P29" s="8" t="inlineStr">
        <is>
          <t>왕과 사는 남자 소품팀</t>
        </is>
      </c>
      <c r="Q29" s="9" t="n">
        <v>0.0238</v>
      </c>
      <c r="R29" s="10" t="inlineStr">
        <is>
          <t>Trend</t>
        </is>
      </c>
      <c r="S29" s="11" t="inlineStr">
        <is>
          <t>AI최적화 DMC 담당자</t>
        </is>
      </c>
      <c r="T29" s="9" t="n">
        <v>0.0078</v>
      </c>
      <c r="U29" s="10" t="inlineStr">
        <is>
          <t>About</t>
        </is>
      </c>
    </row>
    <row r="30" ht="15.75" customHeight="1" s="1">
      <c r="A30" s="11" t="inlineStr">
        <is>
          <t>amplitude api</t>
        </is>
      </c>
      <c r="B30" s="9" t="n">
        <v>0.027</v>
      </c>
      <c r="C30" s="10" t="inlineStr">
        <is>
          <t>Data</t>
        </is>
      </c>
      <c r="D30" s="8" t="inlineStr">
        <is>
          <t>업데이트 프로필 광고</t>
        </is>
      </c>
      <c r="E30" s="9" t="n">
        <v>0.027</v>
      </c>
      <c r="F30" s="10" t="inlineStr">
        <is>
          <t>About</t>
        </is>
      </c>
      <c r="G30" s="8" t="inlineStr">
        <is>
          <t>카톡 업데이트 프로필 광고</t>
        </is>
      </c>
      <c r="H30" s="9" t="n">
        <v>0.0385</v>
      </c>
      <c r="I30" s="10" t="inlineStr">
        <is>
          <t>Media</t>
        </is>
      </c>
      <c r="J30" s="8" t="inlineStr">
        <is>
          <t>로켓 위젯</t>
        </is>
      </c>
      <c r="K30" s="9" t="n">
        <v>0.0769</v>
      </c>
      <c r="L30" s="10" t="inlineStr">
        <is>
          <t>Trend</t>
        </is>
      </c>
      <c r="M30" s="8" t="inlineStr">
        <is>
          <t>로켓 위젯</t>
        </is>
      </c>
      <c r="N30" s="9" t="n">
        <v>0.0476</v>
      </c>
      <c r="O30" s="10" t="inlineStr">
        <is>
          <t>Trend</t>
        </is>
      </c>
      <c r="P30" s="8" t="inlineStr">
        <is>
          <t>의류플랫폼</t>
        </is>
      </c>
      <c r="Q30" s="9" t="n">
        <v>0.0238</v>
      </c>
      <c r="R30" s="10" t="inlineStr">
        <is>
          <t>Media</t>
        </is>
      </c>
      <c r="S30" s="8" t="inlineStr">
        <is>
          <t>의류 플랫폼</t>
        </is>
      </c>
      <c r="T30" s="9" t="n">
        <v>0.0078</v>
      </c>
      <c r="U30" s="10" t="inlineStr">
        <is>
          <t>Trend</t>
        </is>
      </c>
    </row>
    <row r="31" ht="15.75" customHeight="1" s="1">
      <c r="A31" s="11" t="inlineStr">
        <is>
          <t>sns 마케팅이 의류구매에 미치는 영향</t>
        </is>
      </c>
      <c r="B31" s="9" t="n">
        <v>0.027</v>
      </c>
      <c r="C31" s="10" t="inlineStr">
        <is>
          <t>Trend</t>
        </is>
      </c>
      <c r="D31" s="8" t="inlineStr">
        <is>
          <t>에스파 핀터레스트</t>
        </is>
      </c>
      <c r="E31" s="9" t="n">
        <v>0.027</v>
      </c>
      <c r="F31" s="10" t="inlineStr">
        <is>
          <t>Trend</t>
        </is>
      </c>
      <c r="G31" s="8" t="inlineStr">
        <is>
          <t>카톡 업데이트프로필 광고</t>
        </is>
      </c>
      <c r="H31" s="9" t="n">
        <v>0.0385</v>
      </c>
      <c r="I31" s="10" t="inlineStr">
        <is>
          <t>Media</t>
        </is>
      </c>
      <c r="J31" s="8" t="inlineStr">
        <is>
          <t>로켓위젯</t>
        </is>
      </c>
      <c r="K31" s="9" t="n">
        <v>0.0769</v>
      </c>
      <c r="L31" s="10" t="inlineStr">
        <is>
          <t>Trend</t>
        </is>
      </c>
      <c r="M31" s="8" t="inlineStr">
        <is>
          <t>컬리n마트</t>
        </is>
      </c>
      <c r="N31" s="9" t="n">
        <v>0.0476</v>
      </c>
      <c r="O31" s="10" t="inlineStr">
        <is>
          <t>Trend</t>
        </is>
      </c>
      <c r="P31" s="8" t="inlineStr">
        <is>
          <t>중저가 의류 브랜드</t>
        </is>
      </c>
      <c r="Q31" s="9" t="n">
        <v>0.0238</v>
      </c>
      <c r="R31" s="10" t="inlineStr">
        <is>
          <t>Trend</t>
        </is>
      </c>
      <c r="S31" s="8" t="inlineStr">
        <is>
          <t>중저가의류브렌드</t>
        </is>
      </c>
      <c r="T31" s="9" t="n">
        <v>0.0078</v>
      </c>
      <c r="U31" s="10" t="inlineStr">
        <is>
          <t>Trend</t>
        </is>
      </c>
    </row>
    <row r="32" ht="15.75" customHeight="1" s="1">
      <c r="A32" s="8" t="inlineStr">
        <is>
          <t>옷 플랫폼</t>
        </is>
      </c>
      <c r="B32" s="9" t="n">
        <v>0.027</v>
      </c>
      <c r="C32" s="10" t="inlineStr">
        <is>
          <t>Trend</t>
        </is>
      </c>
      <c r="D32" s="8" t="inlineStr">
        <is>
          <t>엔하이픈 뱀파이어 세계관</t>
        </is>
      </c>
      <c r="E32" s="9" t="n">
        <v>0.027</v>
      </c>
      <c r="F32" s="10" t="inlineStr">
        <is>
          <t>Trend</t>
        </is>
      </c>
      <c r="G32" s="8" t="inlineStr">
        <is>
          <t>카톡 프로필 업데이트 광고</t>
        </is>
      </c>
      <c r="H32" s="9" t="n">
        <v>0.0385</v>
      </c>
      <c r="I32" s="10" t="inlineStr">
        <is>
          <t>Media</t>
        </is>
      </c>
      <c r="J32" s="8" t="inlineStr">
        <is>
          <t>컬리 n</t>
        </is>
      </c>
      <c r="K32" s="9" t="n">
        <v>0.0769</v>
      </c>
      <c r="L32" s="10" t="inlineStr">
        <is>
          <t>Trend</t>
        </is>
      </c>
      <c r="M32" s="11" t="inlineStr">
        <is>
          <t>2025년 뷰티 소비자 평균 지출 금액 알려주세요</t>
        </is>
      </c>
      <c r="N32" s="9" t="n">
        <v>0.0476</v>
      </c>
      <c r="O32" s="10" t="inlineStr">
        <is>
          <t>Trend</t>
        </is>
      </c>
      <c r="P32" s="8" t="inlineStr">
        <is>
          <t>쿠팡플레이 광고</t>
        </is>
      </c>
      <c r="Q32" s="9" t="n">
        <v>0.0238</v>
      </c>
      <c r="R32" s="10" t="inlineStr">
        <is>
          <t>About</t>
        </is>
      </c>
      <c r="S32" s="8" t="inlineStr">
        <is>
          <t>카톡 업데이트 광고</t>
        </is>
      </c>
      <c r="T32" s="9" t="n">
        <v>0.0078</v>
      </c>
      <c r="U32" s="10" t="inlineStr">
        <is>
          <t>Media</t>
        </is>
      </c>
    </row>
    <row r="33" ht="15.75" customHeight="1" s="1">
      <c r="A33" s="8" t="inlineStr">
        <is>
          <t>유저 세그먼트</t>
        </is>
      </c>
      <c r="B33" s="9" t="n">
        <v>0.027</v>
      </c>
      <c r="C33" s="10" t="inlineStr">
        <is>
          <t>Data</t>
        </is>
      </c>
      <c r="D33" s="8" t="inlineStr">
        <is>
          <t>촬영실록</t>
        </is>
      </c>
      <c r="E33" s="9" t="n">
        <v>0.027</v>
      </c>
      <c r="F33" s="10" t="inlineStr">
        <is>
          <t>Trend</t>
        </is>
      </c>
      <c r="G33" s="11" t="inlineStr">
        <is>
          <t>D SAIO</t>
        </is>
      </c>
      <c r="H33" s="9" t="n">
        <v>0.0385</v>
      </c>
      <c r="I33" s="10" t="inlineStr">
        <is>
          <t>About</t>
        </is>
      </c>
      <c r="J33" s="8" t="inlineStr">
        <is>
          <t>디엠씨미디어</t>
        </is>
      </c>
      <c r="K33" s="9" t="n">
        <v>0.0769</v>
      </c>
      <c r="L33" s="10" t="inlineStr">
        <is>
          <t>About</t>
        </is>
      </c>
      <c r="M33" s="11" t="inlineStr">
        <is>
          <t>DMC 리포트 의류 소셜미디어</t>
        </is>
      </c>
      <c r="N33" s="9" t="n">
        <v>0.0476</v>
      </c>
      <c r="O33" s="10" t="inlineStr">
        <is>
          <t>Trend</t>
        </is>
      </c>
      <c r="P33" s="8" t="inlineStr">
        <is>
          <t>대한적십자사 헌혈캠페인</t>
        </is>
      </c>
      <c r="Q33" s="9" t="n">
        <v>0.0238</v>
      </c>
      <c r="R33" s="10" t="inlineStr">
        <is>
          <t>Trend</t>
        </is>
      </c>
      <c r="S33" s="8" t="inlineStr">
        <is>
          <t>카톡 업데이트 프로필광고 뜨서</t>
        </is>
      </c>
      <c r="T33" s="9" t="n">
        <v>0.0078</v>
      </c>
      <c r="U33" s="10" t="inlineStr">
        <is>
          <t>Media</t>
        </is>
      </c>
    </row>
    <row r="34" ht="15.75" customHeight="1" s="1">
      <c r="A34" s="8" t="inlineStr">
        <is>
          <t>의류 플렛폼</t>
        </is>
      </c>
      <c r="B34" s="9" t="n">
        <v>0.027</v>
      </c>
      <c r="C34" s="10" t="inlineStr">
        <is>
          <t>Media</t>
        </is>
      </c>
      <c r="D34" s="8" t="inlineStr">
        <is>
          <t>컴패니언 로봇볼리 구매</t>
        </is>
      </c>
      <c r="E34" s="9" t="n">
        <v>0.027</v>
      </c>
      <c r="F34" s="10" t="inlineStr">
        <is>
          <t>Trend</t>
        </is>
      </c>
      <c r="G34" s="11" t="inlineStr">
        <is>
          <t>DMC 블로그</t>
        </is>
      </c>
      <c r="H34" s="9" t="n">
        <v>0.0385</v>
      </c>
      <c r="I34" s="10" t="inlineStr">
        <is>
          <t>About</t>
        </is>
      </c>
      <c r="J34" s="8" t="inlineStr">
        <is>
          <t>크리테오 어워즈 선물</t>
        </is>
      </c>
      <c r="K34" s="9" t="n">
        <v>0.0769</v>
      </c>
      <c r="L34" s="10" t="inlineStr">
        <is>
          <t>About</t>
        </is>
      </c>
      <c r="M34" s="8" t="inlineStr">
        <is>
          <t>디엠씨미디어 SEO 솔루션</t>
        </is>
      </c>
      <c r="N34" s="9" t="n">
        <v>0.0476</v>
      </c>
      <c r="O34" s="10" t="inlineStr">
        <is>
          <t>About</t>
        </is>
      </c>
      <c r="P34" s="8" t="inlineStr">
        <is>
          <t>디엠씨미디어 해운대</t>
        </is>
      </c>
      <c r="Q34" s="9" t="n">
        <v>0.0238</v>
      </c>
      <c r="R34" s="10" t="inlineStr">
        <is>
          <t>About</t>
        </is>
      </c>
      <c r="S34" s="8" t="inlineStr">
        <is>
          <t>카톡 업데이트프로필 광고</t>
        </is>
      </c>
      <c r="T34" s="9" t="n">
        <v>0.0078</v>
      </c>
      <c r="U34" s="10" t="inlineStr">
        <is>
          <t>Media</t>
        </is>
      </c>
    </row>
    <row r="35" ht="15.75" customHeight="1" s="1">
      <c r="A35" s="8" t="inlineStr">
        <is>
          <t>의류중저가브렌드</t>
        </is>
      </c>
      <c r="B35" s="9" t="n">
        <v>0.027</v>
      </c>
      <c r="C35" s="10" t="inlineStr">
        <is>
          <t>Trend</t>
        </is>
      </c>
      <c r="D35" s="8" t="inlineStr">
        <is>
          <t>당근 간편모드 전문가모드</t>
        </is>
      </c>
      <c r="E35" s="9" t="n">
        <v>0.027</v>
      </c>
      <c r="F35" s="10" t="inlineStr">
        <is>
          <t>Media</t>
        </is>
      </c>
      <c r="G35" s="8" t="inlineStr">
        <is>
          <t>카카오채널 메세지와 모먼트 차이</t>
        </is>
      </c>
      <c r="H35" s="9" t="n">
        <v>0.0385</v>
      </c>
      <c r="I35" s="10" t="inlineStr">
        <is>
          <t>Media</t>
        </is>
      </c>
      <c r="J35" s="11" t="inlineStr">
        <is>
          <t>marketing mix modeling</t>
        </is>
      </c>
      <c r="K35" s="9" t="n">
        <v>0.0769</v>
      </c>
      <c r="L35" s="10" t="inlineStr">
        <is>
          <t>Trend</t>
        </is>
      </c>
      <c r="M35" s="8" t="inlineStr">
        <is>
          <t>옷 플렛폼</t>
        </is>
      </c>
      <c r="N35" s="9" t="n">
        <v>0.0476</v>
      </c>
      <c r="O35" s="10" t="inlineStr">
        <is>
          <t>Trend</t>
        </is>
      </c>
      <c r="P35" s="8" t="inlineStr">
        <is>
          <t>로켓위젯</t>
        </is>
      </c>
      <c r="Q35" s="9" t="n">
        <v>0.0238</v>
      </c>
      <c r="R35" s="10" t="inlineStr">
        <is>
          <t>Trend</t>
        </is>
      </c>
      <c r="S35" s="8" t="inlineStr">
        <is>
          <t>카톡 프로필 업데이트광고</t>
        </is>
      </c>
      <c r="T35" s="9" t="n">
        <v>0.0078</v>
      </c>
      <c r="U35" s="10" t="inlineStr">
        <is>
          <t>Media</t>
        </is>
      </c>
    </row>
    <row r="36" ht="15.75" customHeight="1" s="1">
      <c r="A36" s="8" t="inlineStr">
        <is>
          <t>카카오톡 선물하기 광고 수상작</t>
        </is>
      </c>
      <c r="B36" s="9" t="n">
        <v>0.027</v>
      </c>
      <c r="C36" s="10" t="inlineStr">
        <is>
          <t>Media</t>
        </is>
      </c>
      <c r="D36" s="8" t="inlineStr">
        <is>
          <t>당근 전문가모드 하는법</t>
        </is>
      </c>
      <c r="E36" s="9" t="n">
        <v>0.027</v>
      </c>
      <c r="F36" s="10" t="inlineStr">
        <is>
          <t>Media</t>
        </is>
      </c>
      <c r="G36" s="8" t="inlineStr">
        <is>
          <t>컬리n마트</t>
        </is>
      </c>
      <c r="H36" s="9" t="n">
        <v>0.0385</v>
      </c>
      <c r="I36" s="10" t="inlineStr">
        <is>
          <t>Trend</t>
        </is>
      </c>
      <c r="J36" s="11" t="n"/>
      <c r="K36" s="13" t="n"/>
      <c r="L36" s="10" t="n"/>
      <c r="M36" s="11" t="inlineStr">
        <is>
          <t>TV광고 영향력</t>
        </is>
      </c>
      <c r="N36" s="9" t="n">
        <v>0.0476</v>
      </c>
      <c r="O36" s="10" t="inlineStr">
        <is>
          <t>Trend</t>
        </is>
      </c>
      <c r="P36" s="8" t="inlineStr">
        <is>
          <t>릴스 트렌딩 광고 CPM 단가</t>
        </is>
      </c>
      <c r="Q36" s="9" t="n">
        <v>0.0238</v>
      </c>
      <c r="R36" s="10" t="inlineStr">
        <is>
          <t>About</t>
        </is>
      </c>
      <c r="S36" s="8" t="inlineStr">
        <is>
          <t>카톡 프로필 엽데이트 광고</t>
        </is>
      </c>
      <c r="T36" s="9" t="n">
        <v>0.0078</v>
      </c>
      <c r="U36" s="10" t="inlineStr">
        <is>
          <t>Media</t>
        </is>
      </c>
    </row>
    <row r="37" ht="15.75" customHeight="1" s="1">
      <c r="A37" s="8" t="inlineStr">
        <is>
          <t>컬리n마트</t>
        </is>
      </c>
      <c r="B37" s="9" t="n">
        <v>0.027</v>
      </c>
      <c r="C37" s="10" t="inlineStr">
        <is>
          <t>Trend</t>
        </is>
      </c>
      <c r="D37" s="8" t="inlineStr">
        <is>
          <t>소비자가 과거에 접한 광고나 마케팅 활동으로 인해</t>
        </is>
      </c>
      <c r="E37" s="9" t="n">
        <v>0.027</v>
      </c>
      <c r="F37" s="10" t="inlineStr">
        <is>
          <t>Trend</t>
        </is>
      </c>
      <c r="G37" s="11" t="inlineStr">
        <is>
          <t>F&amp;B 마케팅</t>
        </is>
      </c>
      <c r="H37" s="9" t="n">
        <v>0.0385</v>
      </c>
      <c r="I37" s="10" t="inlineStr">
        <is>
          <t>About</t>
        </is>
      </c>
      <c r="J37" s="11" t="n"/>
      <c r="K37" s="13" t="n"/>
      <c r="L37" s="10" t="n"/>
      <c r="M37" s="11" t="inlineStr">
        <is>
          <t>sns 비교</t>
        </is>
      </c>
      <c r="N37" s="9" t="n">
        <v>0.0476</v>
      </c>
      <c r="O37" s="10" t="inlineStr">
        <is>
          <t>About</t>
        </is>
      </c>
      <c r="P37" s="8" t="inlineStr">
        <is>
          <t>엠넷플러스 광고상품소개서</t>
        </is>
      </c>
      <c r="Q37" s="9" t="n">
        <v>0.0238</v>
      </c>
      <c r="R37" s="10" t="inlineStr">
        <is>
          <t>Media</t>
        </is>
      </c>
      <c r="S37" s="11" t="inlineStr">
        <is>
          <t>D.saio</t>
        </is>
      </c>
      <c r="T37" s="9" t="n">
        <v>0.0078</v>
      </c>
      <c r="U37" s="10" t="inlineStr">
        <is>
          <t>About</t>
        </is>
      </c>
    </row>
    <row r="38" ht="15.75" customHeight="1" s="1">
      <c r="A38" s="11" t="inlineStr">
        <is>
          <t>20~40대는 AI를 가장 적극적으로 활용하는 동시에 높은 신뢰를 보이는 세대로, AI 생성물에 대한 비판적 검증 없이 수용하는 경향이 나타난다.</t>
        </is>
      </c>
      <c r="B38" s="9" t="n">
        <v>0.027</v>
      </c>
      <c r="C38" s="10" t="inlineStr">
        <is>
          <t>Trend</t>
        </is>
      </c>
      <c r="D38" s="8" t="inlineStr">
        <is>
          <t>카카오 모밀리티 매체 광고 건</t>
        </is>
      </c>
      <c r="E38" s="9" t="n">
        <v>0.027</v>
      </c>
      <c r="F38" s="10" t="inlineStr">
        <is>
          <t>About</t>
        </is>
      </c>
      <c r="G38" s="8" t="inlineStr">
        <is>
          <t>디엠씨미디어 후기</t>
        </is>
      </c>
      <c r="H38" s="9" t="n">
        <v>0.0385</v>
      </c>
      <c r="I38" s="10" t="inlineStr">
        <is>
          <t>About</t>
        </is>
      </c>
      <c r="J38" s="11" t="n"/>
      <c r="K38" s="13" t="n"/>
      <c r="L38" s="10" t="n"/>
      <c r="M38" s="11" t="n"/>
      <c r="N38" s="13" t="n"/>
      <c r="O38" s="10" t="n"/>
      <c r="P38" s="8" t="inlineStr">
        <is>
          <t>디엠씨미디어</t>
        </is>
      </c>
      <c r="Q38" s="9" t="n">
        <v>0.0238</v>
      </c>
      <c r="R38" s="10" t="inlineStr">
        <is>
          <t>About</t>
        </is>
      </c>
      <c r="S38" s="11" t="inlineStr">
        <is>
          <t>dmc미디어</t>
        </is>
      </c>
      <c r="T38" s="9" t="n">
        <v>0.0078</v>
      </c>
      <c r="U38" s="10" t="inlineStr">
        <is>
          <t>About</t>
        </is>
      </c>
    </row>
    <row r="39" ht="15.75" customHeight="1" s="1">
      <c r="A39" s="11" t="inlineStr">
        <is>
          <t>DMC미디어 디지털 광고 성과 보고</t>
        </is>
      </c>
      <c r="B39" s="9" t="n">
        <v>0.027</v>
      </c>
      <c r="C39" s="10" t="inlineStr">
        <is>
          <t>About</t>
        </is>
      </c>
      <c r="D39" s="8" t="inlineStr">
        <is>
          <t>카카오모먼트 카플친</t>
        </is>
      </c>
      <c r="E39" s="9" t="n">
        <v>0.027</v>
      </c>
      <c r="F39" s="10" t="inlineStr">
        <is>
          <t>Media</t>
        </is>
      </c>
      <c r="G39" s="8" t="inlineStr">
        <is>
          <t>소비자 구매 여정</t>
        </is>
      </c>
      <c r="H39" s="9" t="n">
        <v>0.0385</v>
      </c>
      <c r="I39" s="10" t="inlineStr">
        <is>
          <t>About</t>
        </is>
      </c>
      <c r="J39" s="11" t="n"/>
      <c r="K39" s="13" t="n"/>
      <c r="L39" s="10" t="n"/>
      <c r="M39" s="11" t="n"/>
      <c r="N39" s="13" t="n"/>
      <c r="O39" s="10" t="n"/>
      <c r="P39" s="8" t="inlineStr">
        <is>
          <t>토스애즈 광고 방법</t>
        </is>
      </c>
      <c r="Q39" s="9" t="n">
        <v>0.0238</v>
      </c>
      <c r="R39" s="10" t="inlineStr">
        <is>
          <t>Media</t>
        </is>
      </c>
      <c r="S39" s="8" t="inlineStr">
        <is>
          <t>네이버 ADVoost쇼핑 광고 노출 위치</t>
        </is>
      </c>
      <c r="T39" s="9" t="n">
        <v>0.0078</v>
      </c>
      <c r="U39" s="10" t="inlineStr">
        <is>
          <t>Media</t>
        </is>
      </c>
    </row>
    <row r="40" ht="15.75" customHeight="1" s="1">
      <c r="A40" s="8" t="inlineStr">
        <is>
          <t>디엠씨미디어 블로그</t>
        </is>
      </c>
      <c r="B40" s="9" t="n">
        <v>0.027</v>
      </c>
      <c r="C40" s="10" t="inlineStr">
        <is>
          <t>People</t>
        </is>
      </c>
      <c r="D40" s="8" t="inlineStr">
        <is>
          <t>핀터레스트 색상 검색</t>
        </is>
      </c>
      <c r="E40" s="9" t="n">
        <v>0.027</v>
      </c>
      <c r="F40" s="10" t="inlineStr">
        <is>
          <t>Trend</t>
        </is>
      </c>
      <c r="G40" s="11" t="n"/>
      <c r="H40" s="13" t="n"/>
      <c r="I40" s="10" t="n"/>
      <c r="J40" s="11" t="n"/>
      <c r="K40" s="13" t="n"/>
      <c r="L40" s="10" t="n"/>
      <c r="M40" s="11" t="n"/>
      <c r="N40" s="13" t="n"/>
      <c r="O40" s="10" t="n"/>
      <c r="P40" s="11" t="n"/>
      <c r="Q40" s="13" t="n"/>
      <c r="R40" s="10" t="n"/>
      <c r="S40" s="8" t="inlineStr">
        <is>
          <t>디타겟팅 뜻</t>
        </is>
      </c>
      <c r="T40" s="9" t="n">
        <v>0.0078</v>
      </c>
      <c r="U40" s="10" t="inlineStr">
        <is>
          <t>Media</t>
        </is>
      </c>
    </row>
    <row r="41" ht="15.75" customHeight="1" s="1">
      <c r="A41" s="8" t="inlineStr">
        <is>
          <t>유동인구분석</t>
        </is>
      </c>
      <c r="B41" s="9" t="n">
        <v>0.027</v>
      </c>
      <c r="C41" s="10" t="inlineStr">
        <is>
          <t>Trend</t>
        </is>
      </c>
      <c r="D41" s="11" t="inlineStr">
        <is>
          <t>GEO-D</t>
        </is>
      </c>
      <c r="E41" s="9" t="n">
        <v>0.027</v>
      </c>
      <c r="F41" s="10" t="inlineStr">
        <is>
          <t>About</t>
        </is>
      </c>
      <c r="G41" s="11" t="n"/>
      <c r="H41" s="13" t="n"/>
      <c r="I41" s="10" t="n"/>
      <c r="J41" s="11" t="n"/>
      <c r="K41" s="13" t="n"/>
      <c r="L41" s="10" t="n"/>
      <c r="M41" s="11" t="n"/>
      <c r="N41" s="13" t="n"/>
      <c r="O41" s="10" t="n"/>
      <c r="P41" s="11" t="n"/>
      <c r="Q41" s="13" t="n"/>
      <c r="R41" s="10" t="n"/>
      <c r="S41" s="8" t="inlineStr">
        <is>
          <t>로켓 위젯</t>
        </is>
      </c>
      <c r="T41" s="9" t="n">
        <v>0.0078</v>
      </c>
      <c r="U41" s="10" t="inlineStr">
        <is>
          <t>Trend</t>
        </is>
      </c>
    </row>
    <row r="42" ht="15.75" customHeight="1" s="1">
      <c r="A42" s="8" t="inlineStr">
        <is>
          <t>의류 플랫폼</t>
        </is>
      </c>
      <c r="B42" s="9" t="n">
        <v>0.027</v>
      </c>
      <c r="C42" s="10" t="inlineStr">
        <is>
          <t>Trend</t>
        </is>
      </c>
      <c r="D42" s="11" t="inlineStr">
        <is>
          <t>dooh</t>
        </is>
      </c>
      <c r="E42" s="9" t="n">
        <v>0.027</v>
      </c>
      <c r="F42" s="10" t="inlineStr">
        <is>
          <t>Trend</t>
        </is>
      </c>
      <c r="G42" s="11" t="n"/>
      <c r="H42" s="13" t="n"/>
      <c r="I42" s="10" t="n"/>
      <c r="J42" s="11" t="n"/>
      <c r="K42" s="13" t="n"/>
      <c r="L42" s="10" t="n"/>
      <c r="M42" s="11" t="n"/>
      <c r="N42" s="13" t="n"/>
      <c r="O42" s="10" t="n"/>
      <c r="P42" s="11" t="n"/>
      <c r="Q42" s="13" t="n"/>
      <c r="R42" s="10" t="n"/>
      <c r="S42" s="8" t="inlineStr">
        <is>
          <t>미디어믹스</t>
        </is>
      </c>
      <c r="T42" s="9" t="n">
        <v>0.0078</v>
      </c>
      <c r="U42" s="10" t="inlineStr">
        <is>
          <t>Media</t>
        </is>
      </c>
    </row>
    <row r="43" ht="15.75" customHeight="1" s="1">
      <c r="A43" s="8" t="inlineStr">
        <is>
          <t>촬영 실록</t>
        </is>
      </c>
      <c r="B43" s="9" t="n">
        <v>0.027</v>
      </c>
      <c r="C43" s="10" t="inlineStr">
        <is>
          <t>Trend</t>
        </is>
      </c>
      <c r="D43" s="8" t="inlineStr">
        <is>
          <t>디엠씨 비엔나</t>
        </is>
      </c>
      <c r="E43" s="9" t="n">
        <v>0.027</v>
      </c>
      <c r="F43" s="10" t="inlineStr">
        <is>
          <t>About</t>
        </is>
      </c>
      <c r="G43" s="11" t="n"/>
      <c r="H43" s="13" t="n"/>
      <c r="I43" s="10" t="n"/>
      <c r="J43" s="11" t="n"/>
      <c r="K43" s="13" t="n"/>
      <c r="L43" s="10" t="n"/>
      <c r="M43" s="11" t="n"/>
      <c r="N43" s="13" t="n"/>
      <c r="O43" s="10" t="n"/>
      <c r="P43" s="11" t="n"/>
      <c r="Q43" s="13" t="n"/>
      <c r="R43" s="10" t="n"/>
      <c r="S43" s="8" t="inlineStr">
        <is>
          <t>쇼박스 촬영실록</t>
        </is>
      </c>
      <c r="T43" s="9" t="n">
        <v>0.0078</v>
      </c>
      <c r="U43" s="10" t="inlineStr">
        <is>
          <t>Trend</t>
        </is>
      </c>
    </row>
    <row r="44" ht="15.75" customHeight="1" s="1">
      <c r="A44" s="8" t="inlineStr">
        <is>
          <t>태풍상사 한컴타자</t>
        </is>
      </c>
      <c r="B44" s="9" t="n">
        <v>0.027</v>
      </c>
      <c r="C44" s="10" t="inlineStr">
        <is>
          <t>Trend</t>
        </is>
      </c>
      <c r="D44" s="8" t="inlineStr">
        <is>
          <t>모비엠 광고</t>
        </is>
      </c>
      <c r="E44" s="9" t="n">
        <v>0.027</v>
      </c>
      <c r="F44" s="10" t="inlineStr">
        <is>
          <t>About</t>
        </is>
      </c>
      <c r="G44" s="11" t="n"/>
      <c r="H44" s="13" t="n"/>
      <c r="I44" s="10" t="n"/>
      <c r="J44" s="11" t="n"/>
      <c r="K44" s="13" t="n"/>
      <c r="L44" s="10" t="n"/>
      <c r="M44" s="11" t="n"/>
      <c r="N44" s="13" t="n"/>
      <c r="O44" s="10" t="n"/>
      <c r="P44" s="11" t="n"/>
      <c r="Q44" s="13" t="n"/>
      <c r="R44" s="10" t="n"/>
      <c r="S44" s="8" t="inlineStr">
        <is>
          <t>엔하이픈 세계관 헌혈</t>
        </is>
      </c>
      <c r="T44" s="9" t="n">
        <v>0.0078</v>
      </c>
      <c r="U44" s="10" t="inlineStr">
        <is>
          <t>Trend</t>
        </is>
      </c>
    </row>
    <row r="45" ht="15.75" customHeight="1" s="1">
      <c r="A45" s="8" t="inlineStr">
        <is>
          <t>디엠씨미디어 이준희</t>
        </is>
      </c>
      <c r="B45" s="9" t="n">
        <v>0.0541</v>
      </c>
      <c r="C45" s="10" t="inlineStr">
        <is>
          <t>About</t>
        </is>
      </c>
      <c r="D45" s="8" t="inlineStr">
        <is>
          <t>중가여성의류</t>
        </is>
      </c>
      <c r="E45" s="9" t="n">
        <v>0.027</v>
      </c>
      <c r="F45" s="10" t="inlineStr">
        <is>
          <t>Trend</t>
        </is>
      </c>
      <c r="G45" s="11" t="n"/>
      <c r="H45" s="13" t="n"/>
      <c r="I45" s="10" t="n"/>
      <c r="J45" s="11" t="n"/>
      <c r="K45" s="13" t="n"/>
      <c r="L45" s="10" t="n"/>
      <c r="M45" s="11" t="n"/>
      <c r="N45" s="13" t="n"/>
      <c r="O45" s="10" t="n"/>
      <c r="P45" s="11" t="n"/>
      <c r="Q45" s="13" t="n"/>
      <c r="R45" s="10" t="n"/>
      <c r="S45" s="8" t="inlineStr">
        <is>
          <t>온드미디어</t>
        </is>
      </c>
      <c r="T45" s="9" t="n">
        <v>0.0078</v>
      </c>
      <c r="U45" s="10" t="inlineStr">
        <is>
          <t>Media</t>
        </is>
      </c>
    </row>
    <row r="46" ht="15.75" customHeight="1" s="1">
      <c r="A46" s="11" t="inlineStr">
        <is>
          <t>2025 건강기능식품 프리미엄시장</t>
        </is>
      </c>
      <c r="B46" s="9" t="n">
        <v>0.027</v>
      </c>
      <c r="C46" s="10" t="inlineStr">
        <is>
          <t>Trend</t>
        </is>
      </c>
      <c r="D46" s="8" t="inlineStr">
        <is>
          <t>카카오채널 메시지 이미지</t>
        </is>
      </c>
      <c r="E46" s="9" t="n">
        <v>0.027</v>
      </c>
      <c r="F46" s="10" t="inlineStr">
        <is>
          <t>Media</t>
        </is>
      </c>
      <c r="G46" s="11" t="n"/>
      <c r="H46" s="13" t="n"/>
      <c r="I46" s="10" t="n"/>
      <c r="J46" s="11" t="n"/>
      <c r="K46" s="13" t="n"/>
      <c r="L46" s="10" t="n"/>
      <c r="M46" s="11" t="n"/>
      <c r="N46" s="13" t="n"/>
      <c r="O46" s="10" t="n"/>
      <c r="P46" s="11" t="n"/>
      <c r="Q46" s="13" t="n"/>
      <c r="R46" s="10" t="n"/>
      <c r="S46" s="8" t="inlineStr">
        <is>
          <t>왕사남 노션</t>
        </is>
      </c>
      <c r="T46" s="9" t="n">
        <v>0.0078</v>
      </c>
      <c r="U46" s="10" t="inlineStr">
        <is>
          <t>Trend</t>
        </is>
      </c>
    </row>
    <row r="47" ht="15.75" customHeight="1" s="1">
      <c r="A47" s="8" t="inlineStr">
        <is>
          <t>토스 성과 페이지</t>
        </is>
      </c>
      <c r="B47" s="9" t="n">
        <v>0.027</v>
      </c>
      <c r="C47" s="10" t="inlineStr">
        <is>
          <t>Media</t>
        </is>
      </c>
      <c r="D47" s="11" t="n"/>
      <c r="E47" s="9" t="n"/>
      <c r="F47" s="10" t="n"/>
      <c r="G47" s="11" t="n"/>
      <c r="H47" s="13" t="n"/>
      <c r="I47" s="10" t="n"/>
      <c r="J47" s="11" t="n"/>
      <c r="K47" s="13" t="n"/>
      <c r="L47" s="10" t="n"/>
      <c r="M47" s="11" t="n"/>
      <c r="N47" s="13" t="n"/>
      <c r="O47" s="10" t="n"/>
      <c r="P47" s="11" t="n"/>
      <c r="Q47" s="13" t="n"/>
      <c r="R47" s="10" t="n"/>
      <c r="S47" s="8" t="inlineStr">
        <is>
          <t>패션 소비자는 제품보다 착용 스타일 탐색 선호</t>
        </is>
      </c>
      <c r="T47" s="9" t="n">
        <v>0.0078</v>
      </c>
      <c r="U47" s="10" t="inlineStr">
        <is>
          <t>Trend</t>
        </is>
      </c>
    </row>
    <row r="48" ht="15.75" customHeight="1" s="1">
      <c r="A48" s="8" t="inlineStr">
        <is>
          <t>앰플리튜드 경로분석</t>
        </is>
      </c>
      <c r="B48" s="9" t="n">
        <v>0.0541</v>
      </c>
      <c r="C48" s="10" t="inlineStr">
        <is>
          <t>Data</t>
        </is>
      </c>
      <c r="D48" s="11" t="n"/>
      <c r="E48" s="9" t="n"/>
      <c r="F48" s="10" t="n"/>
      <c r="G48" s="11" t="n"/>
      <c r="H48" s="13" t="n"/>
      <c r="I48" s="10" t="n"/>
      <c r="J48" s="11" t="n"/>
      <c r="K48" s="13" t="n"/>
      <c r="L48" s="10" t="n"/>
      <c r="M48" s="11" t="n"/>
      <c r="N48" s="13" t="n"/>
      <c r="O48" s="10" t="n"/>
      <c r="P48" s="11" t="n"/>
      <c r="Q48" s="13" t="n"/>
      <c r="R48" s="10" t="n"/>
      <c r="S48" s="8" t="inlineStr">
        <is>
          <t>카카오 플친톡 카탈로그 광고</t>
        </is>
      </c>
      <c r="T48" s="9" t="n">
        <v>0.0078</v>
      </c>
      <c r="U48" s="10" t="inlineStr">
        <is>
          <t>Media</t>
        </is>
      </c>
    </row>
    <row r="49" ht="15.75" customHeight="1" s="1">
      <c r="A49" s="54" t="inlineStr">
        <is>
          <t>디엠씨미디어</t>
        </is>
      </c>
      <c r="B49" s="89" t="n">
        <v>0.0541</v>
      </c>
      <c r="C49" s="16" t="inlineStr">
        <is>
          <t>About</t>
        </is>
      </c>
      <c r="D49" s="14" t="n"/>
      <c r="E49" s="89" t="n"/>
      <c r="F49" s="16" t="n"/>
      <c r="G49" s="14" t="n"/>
      <c r="H49" s="15" t="n"/>
      <c r="I49" s="16" t="n"/>
      <c r="J49" s="14" t="n"/>
      <c r="K49" s="15" t="n"/>
      <c r="L49" s="16" t="n"/>
      <c r="M49" s="14" t="n"/>
      <c r="N49" s="15" t="n"/>
      <c r="O49" s="16" t="n"/>
      <c r="P49" s="14" t="n"/>
      <c r="Q49" s="15" t="n"/>
      <c r="R49" s="16" t="n"/>
      <c r="S49" s="14" t="n"/>
      <c r="T49" s="15" t="n"/>
      <c r="U49" s="16" t="n"/>
    </row>
    <row r="50" ht="15.75" customHeight="1" s="1">
      <c r="A50" s="5" t="inlineStr">
        <is>
          <t>4월 15일</t>
        </is>
      </c>
      <c r="B50" s="6" t="n"/>
      <c r="C50" s="7" t="n"/>
      <c r="D50" s="5" t="inlineStr">
        <is>
          <t>4월 16일</t>
        </is>
      </c>
      <c r="E50" s="6" t="n"/>
      <c r="F50" s="7" t="n"/>
      <c r="G50" s="5" t="inlineStr">
        <is>
          <t>4월 17일</t>
        </is>
      </c>
      <c r="H50" s="6" t="n"/>
      <c r="I50" s="7" t="n"/>
      <c r="J50" s="5" t="inlineStr">
        <is>
          <t>4월 18일</t>
        </is>
      </c>
      <c r="K50" s="6" t="n"/>
      <c r="L50" s="7" t="n"/>
      <c r="M50" s="5" t="inlineStr">
        <is>
          <t>4월 19일</t>
        </is>
      </c>
      <c r="N50" s="6" t="n"/>
      <c r="O50" s="7" t="n"/>
      <c r="P50" s="5" t="inlineStr">
        <is>
          <t>4월 20일</t>
        </is>
      </c>
      <c r="Q50" s="6" t="n"/>
      <c r="R50" s="7" t="n"/>
      <c r="S50" s="5" t="inlineStr">
        <is>
          <t>4월 21일</t>
        </is>
      </c>
      <c r="T50" s="6" t="n"/>
      <c r="U50" s="7" t="n"/>
    </row>
    <row r="51" ht="15.75" customHeight="1" s="1">
      <c r="A51" s="11" t="inlineStr">
        <is>
          <t>Samsung Ads "Performance TV"</t>
        </is>
      </c>
      <c r="B51" s="9" t="n">
        <v>0.008699999999999999</v>
      </c>
      <c r="C51" s="10" t="inlineStr">
        <is>
          <t>About</t>
        </is>
      </c>
      <c r="D51" s="8" t="inlineStr">
        <is>
          <t>디엠씨미디어 공채</t>
        </is>
      </c>
      <c r="E51" s="9" t="n">
        <v>0.0455</v>
      </c>
      <c r="F51" s="10" t="inlineStr">
        <is>
          <t>About</t>
        </is>
      </c>
      <c r="G51" s="8" t="inlineStr">
        <is>
          <t>헌혈 캠페인</t>
        </is>
      </c>
      <c r="H51" s="9" t="n">
        <v>0.0351</v>
      </c>
      <c r="I51" s="10" t="inlineStr">
        <is>
          <t>Trend</t>
        </is>
      </c>
      <c r="J51" s="8" t="inlineStr">
        <is>
          <t>로켓 위젯</t>
        </is>
      </c>
      <c r="K51" s="9" t="n">
        <v>0.1111</v>
      </c>
      <c r="L51" s="10" t="inlineStr">
        <is>
          <t>Trend</t>
        </is>
      </c>
      <c r="M51" s="11" t="inlineStr">
        <is>
          <t>dmc공식몰</t>
        </is>
      </c>
      <c r="N51" s="9" t="n">
        <v>0.0556</v>
      </c>
      <c r="O51" s="10" t="inlineStr">
        <is>
          <t>About</t>
        </is>
      </c>
      <c r="P51" s="11" t="inlineStr">
        <is>
          <t>2025 의류 구매 사용 채널 통계</t>
        </is>
      </c>
      <c r="Q51" s="9" t="n">
        <v>0.0333</v>
      </c>
      <c r="R51" s="10" t="inlineStr">
        <is>
          <t>Trend</t>
        </is>
      </c>
      <c r="S51" s="11" t="inlineStr">
        <is>
          <t>50대 이상 여성 → 화장품 구매금액 및 비중 지속 증가 방문판매 채널 → 중장년층 소비 증가로 회복세</t>
        </is>
      </c>
      <c r="T51" s="9" t="n">
        <v>0.0204</v>
      </c>
      <c r="U51" s="10" t="inlineStr">
        <is>
          <t>Trend</t>
        </is>
      </c>
    </row>
    <row r="52" ht="15.75" customHeight="1" s="1">
      <c r="A52" s="11" t="inlineStr">
        <is>
          <t>dmc미디어</t>
        </is>
      </c>
      <c r="B52" s="9" t="n">
        <v>0.008699999999999999</v>
      </c>
      <c r="C52" s="10" t="inlineStr">
        <is>
          <t>About</t>
        </is>
      </c>
      <c r="D52" s="8" t="inlineStr">
        <is>
          <t>응원에 사자성어</t>
        </is>
      </c>
      <c r="E52" s="9" t="n">
        <v>0.0455</v>
      </c>
      <c r="F52" s="10" t="inlineStr">
        <is>
          <t>Trend</t>
        </is>
      </c>
      <c r="G52" s="11" t="inlineStr">
        <is>
          <t>10년 장기근속 수상 소감 짧은 예시 알려주세요</t>
        </is>
      </c>
      <c r="H52" s="9" t="n">
        <v>0.0175</v>
      </c>
      <c r="I52" s="10" t="inlineStr">
        <is>
          <t>About</t>
        </is>
      </c>
      <c r="J52" s="8" t="inlineStr">
        <is>
          <t>바나나우유 프로모션 굿즈</t>
        </is>
      </c>
      <c r="K52" s="9" t="n">
        <v>0.1111</v>
      </c>
      <c r="L52" s="10" t="inlineStr">
        <is>
          <t>Trend</t>
        </is>
      </c>
      <c r="M52" s="8" t="inlineStr">
        <is>
          <t>다이소 뷰티 업계</t>
        </is>
      </c>
      <c r="N52" s="9" t="n">
        <v>0.0556</v>
      </c>
      <c r="O52" s="10" t="inlineStr">
        <is>
          <t>Trend</t>
        </is>
      </c>
      <c r="P52" s="11" t="inlineStr">
        <is>
          <t>2025 의류 구매 채널 통계</t>
        </is>
      </c>
      <c r="Q52" s="9" t="n">
        <v>0.0333</v>
      </c>
      <c r="R52" s="10" t="inlineStr">
        <is>
          <t>Trend</t>
        </is>
      </c>
      <c r="S52" s="11" t="inlineStr">
        <is>
          <t>Lavidge &amp; Steiner 효과의 위계</t>
        </is>
      </c>
      <c r="T52" s="9" t="n">
        <v>0.0204</v>
      </c>
      <c r="U52" s="10" t="inlineStr">
        <is>
          <t>Data</t>
        </is>
      </c>
    </row>
    <row r="53" ht="15.75" customHeight="1" s="1">
      <c r="A53" s="8" t="inlineStr">
        <is>
          <t>다이소 뷰티 브랜드</t>
        </is>
      </c>
      <c r="B53" s="9" t="n">
        <v>0.008699999999999999</v>
      </c>
      <c r="C53" s="10" t="inlineStr">
        <is>
          <t>Trend</t>
        </is>
      </c>
      <c r="D53" s="8" t="inlineStr">
        <is>
          <t>크리테오</t>
        </is>
      </c>
      <c r="E53" s="9" t="n">
        <v>0.0455</v>
      </c>
      <c r="F53" s="10" t="inlineStr">
        <is>
          <t>Media</t>
        </is>
      </c>
      <c r="G53" s="11" t="inlineStr">
        <is>
          <t>DMC미디어</t>
        </is>
      </c>
      <c r="H53" s="9" t="n">
        <v>0.0175</v>
      </c>
      <c r="I53" s="10" t="inlineStr">
        <is>
          <t>About</t>
        </is>
      </c>
      <c r="J53" s="8" t="inlineStr">
        <is>
          <t>의류 플랫폼</t>
        </is>
      </c>
      <c r="K53" s="9" t="n">
        <v>0.1111</v>
      </c>
      <c r="L53" s="10" t="inlineStr">
        <is>
          <t>Trend</t>
        </is>
      </c>
      <c r="M53" s="8" t="inlineStr">
        <is>
          <t>로켓 위젯</t>
        </is>
      </c>
      <c r="N53" s="9" t="n">
        <v>0.0556</v>
      </c>
      <c r="O53" s="10" t="inlineStr">
        <is>
          <t>Trend</t>
        </is>
      </c>
      <c r="P53" s="11" t="inlineStr">
        <is>
          <t>GA4 권한부여</t>
        </is>
      </c>
      <c r="Q53" s="9" t="n">
        <v>0.0333</v>
      </c>
      <c r="R53" s="10" t="inlineStr">
        <is>
          <t>Data</t>
        </is>
      </c>
      <c r="S53" s="8" t="inlineStr">
        <is>
          <t>굿즈 소비 연령</t>
        </is>
      </c>
      <c r="T53" s="9" t="n">
        <v>0.0204</v>
      </c>
      <c r="U53" s="10" t="inlineStr">
        <is>
          <t>Trend</t>
        </is>
      </c>
    </row>
    <row r="54" ht="15.75" customHeight="1" s="1">
      <c r="A54" s="8" t="inlineStr">
        <is>
          <t>당근 전문가모드 하는법</t>
        </is>
      </c>
      <c r="B54" s="9" t="n">
        <v>0.008699999999999999</v>
      </c>
      <c r="C54" s="10" t="inlineStr">
        <is>
          <t>Media</t>
        </is>
      </c>
      <c r="D54" s="8" t="inlineStr">
        <is>
          <t>당근 전문가모드광고방법</t>
        </is>
      </c>
      <c r="E54" s="9" t="n">
        <v>0.0227</v>
      </c>
      <c r="F54" s="10" t="inlineStr">
        <is>
          <t>Media</t>
        </is>
      </c>
      <c r="G54" s="11" t="inlineStr">
        <is>
          <t>kb da 배너광고</t>
        </is>
      </c>
      <c r="H54" s="9" t="n">
        <v>0.0175</v>
      </c>
      <c r="I54" s="10" t="inlineStr">
        <is>
          <t>About</t>
        </is>
      </c>
      <c r="J54" s="8" t="inlineStr">
        <is>
          <t>토스애즈</t>
        </is>
      </c>
      <c r="K54" s="9" t="n">
        <v>0.1111</v>
      </c>
      <c r="L54" s="10" t="inlineStr">
        <is>
          <t>Media</t>
        </is>
      </c>
      <c r="M54" s="8" t="inlineStr">
        <is>
          <t>바이콧 2030 영향</t>
        </is>
      </c>
      <c r="N54" s="9" t="n">
        <v>0.0556</v>
      </c>
      <c r="O54" s="10" t="inlineStr">
        <is>
          <t>Trend</t>
        </is>
      </c>
      <c r="P54" s="8" t="inlineStr">
        <is>
          <t>당근마켓 광고 전문가모드</t>
        </is>
      </c>
      <c r="Q54" s="9" t="n">
        <v>0.0333</v>
      </c>
      <c r="R54" s="10" t="inlineStr">
        <is>
          <t>Media</t>
        </is>
      </c>
      <c r="S54" s="8" t="inlineStr">
        <is>
          <t>왕과사는남자 실록 노션</t>
        </is>
      </c>
      <c r="T54" s="9" t="n">
        <v>0.0204</v>
      </c>
      <c r="U54" s="10" t="inlineStr">
        <is>
          <t>Trend</t>
        </is>
      </c>
    </row>
    <row r="55" ht="15.75" customHeight="1" s="1">
      <c r="A55" s="8" t="inlineStr">
        <is>
          <t>미디어월 매체 구매</t>
        </is>
      </c>
      <c r="B55" s="9" t="n">
        <v>0.008699999999999999</v>
      </c>
      <c r="C55" s="10" t="inlineStr">
        <is>
          <t>About</t>
        </is>
      </c>
      <c r="D55" s="8" t="inlineStr">
        <is>
          <t>당근마켓광고전문가모드사업자</t>
        </is>
      </c>
      <c r="E55" s="9" t="n">
        <v>0.0227</v>
      </c>
      <c r="F55" s="10" t="inlineStr">
        <is>
          <t>Media</t>
        </is>
      </c>
      <c r="G55" s="8" t="inlineStr">
        <is>
          <t>네이버나 구글 온라인광고에 도움을 줄 수 있는 AI</t>
        </is>
      </c>
      <c r="H55" s="9" t="n">
        <v>0.0175</v>
      </c>
      <c r="I55" s="10" t="inlineStr">
        <is>
          <t>About</t>
        </is>
      </c>
      <c r="J55" s="8" t="inlineStr">
        <is>
          <t>하림odd 택배사</t>
        </is>
      </c>
      <c r="K55" s="9" t="n">
        <v>0.1111</v>
      </c>
      <c r="L55" s="10" t="inlineStr">
        <is>
          <t>Trend</t>
        </is>
      </c>
      <c r="M55" s="8" t="inlineStr">
        <is>
          <t>의류 플랫폼</t>
        </is>
      </c>
      <c r="N55" s="9" t="n">
        <v>0.0556</v>
      </c>
      <c r="O55" s="10" t="inlineStr">
        <is>
          <t>Trend</t>
        </is>
      </c>
      <c r="P55" s="8" t="inlineStr">
        <is>
          <t>디엠씨미디어 이준희</t>
        </is>
      </c>
      <c r="Q55" s="9" t="n">
        <v>0.0333</v>
      </c>
      <c r="R55" s="10" t="inlineStr">
        <is>
          <t>About</t>
        </is>
      </c>
      <c r="S55" s="8" t="inlineStr">
        <is>
          <t>중저가의류브랜드</t>
        </is>
      </c>
      <c r="T55" s="9" t="n">
        <v>0.0204</v>
      </c>
      <c r="U55" s="10" t="inlineStr">
        <is>
          <t>Trend</t>
        </is>
      </c>
    </row>
    <row r="56" ht="15.75" customHeight="1" s="1">
      <c r="A56" s="8" t="inlineStr">
        <is>
          <t>아이돌 세계관</t>
        </is>
      </c>
      <c r="B56" s="9" t="n">
        <v>0.008699999999999999</v>
      </c>
      <c r="C56" s="10" t="inlineStr">
        <is>
          <t>Trend</t>
        </is>
      </c>
      <c r="D56" s="8" t="inlineStr">
        <is>
          <t>로켓위젯</t>
        </is>
      </c>
      <c r="E56" s="9" t="n">
        <v>0.0227</v>
      </c>
      <c r="F56" s="10" t="inlineStr">
        <is>
          <t>Trend</t>
        </is>
      </c>
      <c r="G56" s="8" t="inlineStr">
        <is>
          <t>세정티슈 니즈 물자국</t>
        </is>
      </c>
      <c r="H56" s="9" t="n">
        <v>0.0175</v>
      </c>
      <c r="I56" s="10" t="inlineStr">
        <is>
          <t>About</t>
        </is>
      </c>
      <c r="J56" s="8" t="inlineStr">
        <is>
          <t>헌혈캠페인뜻</t>
        </is>
      </c>
      <c r="K56" s="9" t="n">
        <v>0.1111</v>
      </c>
      <c r="L56" s="10" t="inlineStr">
        <is>
          <t>Trend</t>
        </is>
      </c>
      <c r="M56" s="8" t="inlineStr">
        <is>
          <t>크리테오</t>
        </is>
      </c>
      <c r="N56" s="9" t="n">
        <v>0.0556</v>
      </c>
      <c r="O56" s="10" t="inlineStr">
        <is>
          <t>Media</t>
        </is>
      </c>
      <c r="P56" s="8" t="inlineStr">
        <is>
          <t>앰플리튜드 유저 아이디</t>
        </is>
      </c>
      <c r="Q56" s="9" t="n">
        <v>0.0333</v>
      </c>
      <c r="R56" s="10" t="inlineStr">
        <is>
          <t>Data</t>
        </is>
      </c>
      <c r="S56" s="8" t="inlineStr">
        <is>
          <t>쿠팡플레이 광고</t>
        </is>
      </c>
      <c r="T56" s="9" t="n">
        <v>0.0204</v>
      </c>
      <c r="U56" s="10" t="inlineStr">
        <is>
          <t>About</t>
        </is>
      </c>
    </row>
    <row r="57" ht="15.75" customHeight="1" s="1">
      <c r="A57" s="8" t="inlineStr">
        <is>
          <t>위버스 vod 썸네일</t>
        </is>
      </c>
      <c r="B57" s="9" t="n">
        <v>0.008699999999999999</v>
      </c>
      <c r="C57" s="10" t="inlineStr">
        <is>
          <t>People</t>
        </is>
      </c>
      <c r="D57" s="8" t="inlineStr">
        <is>
          <t>생수시장</t>
        </is>
      </c>
      <c r="E57" s="9" t="n">
        <v>0.0227</v>
      </c>
      <c r="F57" s="10" t="inlineStr">
        <is>
          <t>Trend</t>
        </is>
      </c>
      <c r="G57" s="11" t="inlineStr">
        <is>
          <t>ai 패션진단</t>
        </is>
      </c>
      <c r="H57" s="9" t="n">
        <v>0.0175</v>
      </c>
      <c r="I57" s="10" t="inlineStr">
        <is>
          <t>Trend</t>
        </is>
      </c>
      <c r="J57" s="11" t="inlineStr">
        <is>
          <t>ai 기반 소비자 구매 여정 모델</t>
        </is>
      </c>
      <c r="K57" s="9" t="n">
        <v>0.1111</v>
      </c>
      <c r="L57" s="10" t="inlineStr">
        <is>
          <t>Media</t>
        </is>
      </c>
      <c r="M57" s="11" t="n"/>
      <c r="N57" s="13" t="n"/>
      <c r="O57" s="10" t="n"/>
      <c r="P57" s="8" t="inlineStr">
        <is>
          <t>이벤트 프로퍼티</t>
        </is>
      </c>
      <c r="Q57" s="9" t="n">
        <v>0.0333</v>
      </c>
      <c r="R57" s="10" t="inlineStr">
        <is>
          <t>Data</t>
        </is>
      </c>
      <c r="S57" s="8" t="inlineStr">
        <is>
          <t>의류 플랫폼</t>
        </is>
      </c>
      <c r="T57" s="9" t="n">
        <v>0.0408</v>
      </c>
      <c r="U57" s="10" t="inlineStr">
        <is>
          <t>Trend</t>
        </is>
      </c>
    </row>
    <row r="58" ht="15.75" customHeight="1" s="1">
      <c r="A58" s="8" t="inlineStr">
        <is>
          <t>의류 플렛폼</t>
        </is>
      </c>
      <c r="B58" s="9" t="n">
        <v>0.008699999999999999</v>
      </c>
      <c r="C58" s="10" t="inlineStr">
        <is>
          <t>Media</t>
        </is>
      </c>
      <c r="D58" s="8" t="inlineStr">
        <is>
          <t>카톡 업데이트 프로필 광고</t>
        </is>
      </c>
      <c r="E58" s="9" t="n">
        <v>0.0227</v>
      </c>
      <c r="F58" s="10" t="inlineStr">
        <is>
          <t>Media</t>
        </is>
      </c>
      <c r="G58" s="8" t="inlineStr">
        <is>
          <t>당근 전문가모드 제휴마케팅</t>
        </is>
      </c>
      <c r="H58" s="9" t="n">
        <v>0.0175</v>
      </c>
      <c r="I58" s="10" t="inlineStr">
        <is>
          <t>About</t>
        </is>
      </c>
      <c r="J58" s="8" t="inlineStr">
        <is>
          <t>가정용 ai 로봇</t>
        </is>
      </c>
      <c r="K58" s="9" t="n">
        <v>0.1111</v>
      </c>
      <c r="L58" s="10" t="inlineStr">
        <is>
          <t>Trend</t>
        </is>
      </c>
      <c r="M58" s="11" t="n"/>
      <c r="N58" s="13" t="n"/>
      <c r="O58" s="10" t="n"/>
      <c r="P58" s="8" t="inlineStr">
        <is>
          <t>중고나라 배너 가이드</t>
        </is>
      </c>
      <c r="Q58" s="9" t="n">
        <v>0.0333</v>
      </c>
      <c r="R58" s="10" t="inlineStr">
        <is>
          <t>About</t>
        </is>
      </c>
      <c r="S58" s="11" t="inlineStr">
        <is>
          <t>amplitude ga 차이</t>
        </is>
      </c>
      <c r="T58" s="9" t="n">
        <v>0.0204</v>
      </c>
      <c r="U58" s="10" t="inlineStr">
        <is>
          <t>Data</t>
        </is>
      </c>
    </row>
    <row r="59" ht="15.75" customHeight="1" s="1">
      <c r="A59" s="8" t="inlineStr">
        <is>
          <t>카톡 업데이트 프로필 누루면 광고가 나와요</t>
        </is>
      </c>
      <c r="B59" s="9" t="n">
        <v>0.008699999999999999</v>
      </c>
      <c r="C59" s="10" t="inlineStr">
        <is>
          <t>Media</t>
        </is>
      </c>
      <c r="D59" s="11" t="inlineStr">
        <is>
          <t>locket 광고</t>
        </is>
      </c>
      <c r="E59" s="9" t="n">
        <v>0.0227</v>
      </c>
      <c r="F59" s="10" t="inlineStr">
        <is>
          <t>Trend</t>
        </is>
      </c>
      <c r="G59" s="8" t="inlineStr">
        <is>
          <t>로켓위젯</t>
        </is>
      </c>
      <c r="H59" s="9" t="n">
        <v>0.0175</v>
      </c>
      <c r="I59" s="10" t="inlineStr">
        <is>
          <t>Trend</t>
        </is>
      </c>
      <c r="J59" s="8" t="inlineStr">
        <is>
          <t>네이버 AI광고 학습제한</t>
        </is>
      </c>
      <c r="K59" s="9" t="n">
        <v>0.1111</v>
      </c>
      <c r="L59" s="10" t="inlineStr">
        <is>
          <t>Trend</t>
        </is>
      </c>
      <c r="M59" s="11" t="n"/>
      <c r="N59" s="13" t="n"/>
      <c r="O59" s="10" t="n"/>
      <c r="P59" s="8" t="inlineStr">
        <is>
          <t>핀터레스트 신곡홍보</t>
        </is>
      </c>
      <c r="Q59" s="9" t="n">
        <v>0.0333</v>
      </c>
      <c r="R59" s="10" t="inlineStr">
        <is>
          <t>Trend</t>
        </is>
      </c>
      <c r="S59" s="8" t="inlineStr">
        <is>
          <t>팬덤 헌혈 캠페인</t>
        </is>
      </c>
      <c r="T59" s="9" t="n">
        <v>0.0204</v>
      </c>
      <c r="U59" s="10" t="inlineStr">
        <is>
          <t>Trend</t>
        </is>
      </c>
    </row>
    <row r="60" ht="15.75" customHeight="1" s="1">
      <c r="A60" s="8" t="inlineStr">
        <is>
          <t>쿠팡플레이 광고</t>
        </is>
      </c>
      <c r="B60" s="9" t="n">
        <v>0.008699999999999999</v>
      </c>
      <c r="C60" s="10" t="inlineStr">
        <is>
          <t>About</t>
        </is>
      </c>
      <c r="D60" s="8" t="inlineStr">
        <is>
          <t>로켓 위젯</t>
        </is>
      </c>
      <c r="E60" s="9" t="n">
        <v>0.0227</v>
      </c>
      <c r="F60" s="10" t="inlineStr">
        <is>
          <t>Trend</t>
        </is>
      </c>
      <c r="G60" s="8" t="inlineStr">
        <is>
          <t>디엠씨미디어</t>
        </is>
      </c>
      <c r="H60" s="9" t="n">
        <v>0.0175</v>
      </c>
      <c r="I60" s="10" t="inlineStr">
        <is>
          <t>About</t>
        </is>
      </c>
      <c r="J60" s="11" t="n"/>
      <c r="K60" s="13" t="n"/>
      <c r="L60" s="10" t="n"/>
      <c r="M60" s="11" t="n"/>
      <c r="N60" s="13" t="n"/>
      <c r="O60" s="10" t="n"/>
      <c r="P60" s="8" t="inlineStr">
        <is>
          <t>헌혈 캠페인</t>
        </is>
      </c>
      <c r="Q60" s="9" t="n">
        <v>0.0333</v>
      </c>
      <c r="R60" s="10" t="inlineStr">
        <is>
          <t>Trend</t>
        </is>
      </c>
      <c r="S60" s="8" t="inlineStr">
        <is>
          <t>헌혈 캠페인</t>
        </is>
      </c>
      <c r="T60" s="9" t="n">
        <v>0.0204</v>
      </c>
      <c r="U60" s="10" t="inlineStr">
        <is>
          <t>Trend</t>
        </is>
      </c>
    </row>
    <row r="61" ht="15.75" customHeight="1" s="1">
      <c r="A61" s="8" t="inlineStr">
        <is>
          <t>헌혈 인식 팝업</t>
        </is>
      </c>
      <c r="B61" s="9" t="n">
        <v>0.008699999999999999</v>
      </c>
      <c r="C61" s="10" t="inlineStr">
        <is>
          <t>Trend</t>
        </is>
      </c>
      <c r="D61" s="8" t="inlineStr">
        <is>
          <t>리스닝마인드 2025 건강기능식품 시장 인텐트 데이터 리포트</t>
        </is>
      </c>
      <c r="E61" s="9" t="n">
        <v>0.0227</v>
      </c>
      <c r="F61" s="10" t="inlineStr">
        <is>
          <t>Data</t>
        </is>
      </c>
      <c r="G61" s="8" t="inlineStr">
        <is>
          <t>디엠씨미디어</t>
        </is>
      </c>
      <c r="H61" s="9" t="n">
        <v>0.0175</v>
      </c>
      <c r="I61" s="10" t="inlineStr">
        <is>
          <t>About</t>
        </is>
      </c>
      <c r="J61" s="11" t="n"/>
      <c r="K61" s="13" t="n"/>
      <c r="L61" s="10" t="n"/>
      <c r="M61" s="11" t="n"/>
      <c r="N61" s="13" t="n"/>
      <c r="O61" s="10" t="n"/>
      <c r="P61" s="8" t="inlineStr">
        <is>
          <t>당근 전문가모드광고방법</t>
        </is>
      </c>
      <c r="Q61" s="9" t="n">
        <v>0.0333</v>
      </c>
      <c r="R61" s="10" t="inlineStr">
        <is>
          <t>Media</t>
        </is>
      </c>
      <c r="S61" s="11" t="inlineStr">
        <is>
          <t>dmc미디어</t>
        </is>
      </c>
      <c r="T61" s="9" t="n">
        <v>0.0408</v>
      </c>
      <c r="U61" s="10" t="inlineStr">
        <is>
          <t>About</t>
        </is>
      </c>
    </row>
    <row r="62" ht="15.75" customHeight="1" s="1">
      <c r="A62" s="8" t="inlineStr">
        <is>
          <t>카톡 업데이트 프로필 광고</t>
        </is>
      </c>
      <c r="B62" s="9" t="n">
        <v>0.0261</v>
      </c>
      <c r="C62" s="10" t="inlineStr">
        <is>
          <t>Media</t>
        </is>
      </c>
      <c r="D62" s="8" t="inlineStr">
        <is>
          <t>삼신가전</t>
        </is>
      </c>
      <c r="E62" s="9" t="n">
        <v>0.0227</v>
      </c>
      <c r="F62" s="10" t="inlineStr">
        <is>
          <t>Trend</t>
        </is>
      </c>
      <c r="G62" s="11" t="n"/>
      <c r="H62" s="13" t="n"/>
      <c r="I62" s="10" t="n"/>
      <c r="J62" s="11" t="n"/>
      <c r="K62" s="13" t="n"/>
      <c r="L62" s="10" t="n"/>
      <c r="M62" s="11" t="n"/>
      <c r="N62" s="13" t="n"/>
      <c r="O62" s="10" t="n"/>
      <c r="P62" s="8" t="inlineStr">
        <is>
          <t>렙사 디엠씨</t>
        </is>
      </c>
      <c r="Q62" s="9" t="n">
        <v>0.0333</v>
      </c>
      <c r="R62" s="10" t="inlineStr">
        <is>
          <t>People</t>
        </is>
      </c>
      <c r="S62" s="8" t="inlineStr">
        <is>
          <t>디엠씨미디어</t>
        </is>
      </c>
      <c r="T62" s="9" t="n">
        <v>0.0204</v>
      </c>
      <c r="U62" s="10" t="inlineStr">
        <is>
          <t>About</t>
        </is>
      </c>
    </row>
    <row r="63" ht="15.75" customHeight="1" s="1">
      <c r="A63" s="8" t="inlineStr">
        <is>
          <t>카톡 업데이트프로필 광고</t>
        </is>
      </c>
      <c r="B63" s="9" t="n">
        <v>0.0174</v>
      </c>
      <c r="C63" s="10" t="inlineStr">
        <is>
          <t>Media</t>
        </is>
      </c>
      <c r="D63" s="8" t="inlineStr">
        <is>
          <t>의류플랫폼</t>
        </is>
      </c>
      <c r="E63" s="9" t="n">
        <v>0.0227</v>
      </c>
      <c r="F63" s="10" t="inlineStr">
        <is>
          <t>Media</t>
        </is>
      </c>
      <c r="G63" s="11" t="n"/>
      <c r="H63" s="13" t="n"/>
      <c r="I63" s="10" t="n"/>
      <c r="J63" s="11" t="n"/>
      <c r="K63" s="13" t="n"/>
      <c r="L63" s="10" t="n"/>
      <c r="M63" s="11" t="n"/>
      <c r="N63" s="13" t="n"/>
      <c r="O63" s="10" t="n"/>
      <c r="P63" s="8" t="inlineStr">
        <is>
          <t>명품화장품과 중저가화장품 품질비교</t>
        </is>
      </c>
      <c r="Q63" s="9" t="n">
        <v>0.0333</v>
      </c>
      <c r="R63" s="10" t="inlineStr">
        <is>
          <t>Trend</t>
        </is>
      </c>
      <c r="S63" s="11" t="inlineStr">
        <is>
          <t>amplitude</t>
        </is>
      </c>
      <c r="T63" s="9" t="n">
        <v>0.0204</v>
      </c>
      <c r="U63" s="10" t="inlineStr">
        <is>
          <t>Data</t>
        </is>
      </c>
    </row>
    <row r="64" ht="15.75" customHeight="1" s="1">
      <c r="A64" s="11" t="inlineStr">
        <is>
          <t>ga 세션수 뜻</t>
        </is>
      </c>
      <c r="B64" s="9" t="n">
        <v>0.008699999999999999</v>
      </c>
      <c r="C64" s="10" t="inlineStr">
        <is>
          <t>Data</t>
        </is>
      </c>
      <c r="D64" s="8" t="inlineStr">
        <is>
          <t>전문가모드에서 카탈로그 광고는 어떻게 운영하나요?</t>
        </is>
      </c>
      <c r="E64" s="9" t="n">
        <v>0.0227</v>
      </c>
      <c r="F64" s="10" t="inlineStr">
        <is>
          <t>Media</t>
        </is>
      </c>
      <c r="G64" s="11" t="n"/>
      <c r="H64" s="13" t="n"/>
      <c r="I64" s="10" t="n"/>
      <c r="J64" s="11" t="n"/>
      <c r="K64" s="13" t="n"/>
      <c r="L64" s="10" t="n"/>
      <c r="M64" s="11" t="n"/>
      <c r="N64" s="13" t="n"/>
      <c r="O64" s="10" t="n"/>
      <c r="P64" s="8" t="inlineStr">
        <is>
          <t>모비엠</t>
        </is>
      </c>
      <c r="Q64" s="9" t="n">
        <v>0.0333</v>
      </c>
      <c r="R64" s="10" t="inlineStr">
        <is>
          <t>About</t>
        </is>
      </c>
      <c r="S64" s="8" t="inlineStr">
        <is>
          <t>앰플리튜드 퍼널 바 차트</t>
        </is>
      </c>
      <c r="T64" s="9" t="n">
        <v>0.0204</v>
      </c>
      <c r="U64" s="10" t="inlineStr">
        <is>
          <t>Data</t>
        </is>
      </c>
    </row>
    <row r="65" ht="15.75" customHeight="1" s="1">
      <c r="A65" s="8" t="inlineStr">
        <is>
          <t>디엠씨미디어 당근</t>
        </is>
      </c>
      <c r="B65" s="9" t="n">
        <v>0.008699999999999999</v>
      </c>
      <c r="C65" s="10" t="inlineStr">
        <is>
          <t>Media</t>
        </is>
      </c>
      <c r="D65" s="8" t="inlineStr">
        <is>
          <t>토스 데이터 수집</t>
        </is>
      </c>
      <c r="E65" s="9" t="n">
        <v>0.0227</v>
      </c>
      <c r="F65" s="10" t="inlineStr">
        <is>
          <t>Media</t>
        </is>
      </c>
      <c r="G65" s="11" t="n"/>
      <c r="H65" s="13" t="n"/>
      <c r="I65" s="10" t="n"/>
      <c r="J65" s="11" t="n"/>
      <c r="K65" s="13" t="n"/>
      <c r="L65" s="10" t="n"/>
      <c r="M65" s="11" t="n"/>
      <c r="N65" s="13" t="n"/>
      <c r="O65" s="10" t="n"/>
      <c r="P65" s="8" t="inlineStr">
        <is>
          <t>스페셜 da 어포던스 영상</t>
        </is>
      </c>
      <c r="Q65" s="9" t="n">
        <v>0.0333</v>
      </c>
      <c r="R65" s="10" t="inlineStr">
        <is>
          <t>About</t>
        </is>
      </c>
      <c r="S65" s="11" t="n"/>
      <c r="T65" s="13" t="n"/>
      <c r="U65" s="10" t="n"/>
    </row>
    <row r="66" ht="15.75" customHeight="1" s="1">
      <c r="A66" s="8" t="inlineStr">
        <is>
          <t>로켓위젯</t>
        </is>
      </c>
      <c r="B66" s="9" t="n">
        <v>0.008699999999999999</v>
      </c>
      <c r="C66" s="10" t="inlineStr">
        <is>
          <t>Trend</t>
        </is>
      </c>
      <c r="D66" s="8" t="inlineStr">
        <is>
          <t>토스애즈 광고 입찰</t>
        </is>
      </c>
      <c r="E66" s="9" t="n">
        <v>0.0227</v>
      </c>
      <c r="F66" s="10" t="inlineStr">
        <is>
          <t>Media</t>
        </is>
      </c>
      <c r="G66" s="11" t="n"/>
      <c r="H66" s="13" t="n"/>
      <c r="I66" s="10" t="n"/>
      <c r="J66" s="11" t="n"/>
      <c r="K66" s="13" t="n"/>
      <c r="L66" s="10" t="n"/>
      <c r="M66" s="11" t="n"/>
      <c r="N66" s="13" t="n"/>
      <c r="O66" s="10" t="n"/>
      <c r="P66" s="8" t="inlineStr">
        <is>
          <t>오늘의 집 - 라이프스타일 슈퍼앱</t>
        </is>
      </c>
      <c r="Q66" s="9" t="n">
        <v>0.0333</v>
      </c>
      <c r="R66" s="10" t="inlineStr">
        <is>
          <t>Media</t>
        </is>
      </c>
      <c r="S66" s="11" t="n"/>
      <c r="T66" s="13" t="n"/>
      <c r="U66" s="10" t="n"/>
    </row>
    <row r="67" ht="15.75" customHeight="1" s="1">
      <c r="A67" s="8" t="inlineStr">
        <is>
          <t>스트림플레이션 뜻</t>
        </is>
      </c>
      <c r="B67" s="9" t="n">
        <v>0.008699999999999999</v>
      </c>
      <c r="C67" s="10" t="inlineStr">
        <is>
          <t>Trend</t>
        </is>
      </c>
      <c r="D67" s="11" t="n"/>
      <c r="E67" s="13" t="n"/>
      <c r="F67" s="10" t="n"/>
      <c r="G67" s="11" t="n"/>
      <c r="H67" s="13" t="n"/>
      <c r="I67" s="10" t="n"/>
      <c r="J67" s="11" t="n"/>
      <c r="K67" s="13" t="n"/>
      <c r="L67" s="10" t="n"/>
      <c r="M67" s="11" t="n"/>
      <c r="N67" s="13" t="n"/>
      <c r="O67" s="10" t="n"/>
      <c r="P67" s="8" t="inlineStr">
        <is>
          <t>터치애드</t>
        </is>
      </c>
      <c r="Q67" s="9" t="n">
        <v>0.0333</v>
      </c>
      <c r="R67" s="10" t="inlineStr">
        <is>
          <t>About</t>
        </is>
      </c>
      <c r="S67" s="11" t="n"/>
      <c r="T67" s="13" t="n"/>
      <c r="U67" s="10" t="n"/>
    </row>
    <row r="68" ht="15.75" customHeight="1" s="1">
      <c r="A68" s="8" t="inlineStr">
        <is>
          <t>의류 플랫폼</t>
        </is>
      </c>
      <c r="B68" s="9" t="n">
        <v>0.008699999999999999</v>
      </c>
      <c r="C68" s="10" t="inlineStr">
        <is>
          <t>Trend</t>
        </is>
      </c>
      <c r="D68" s="11" t="n"/>
      <c r="E68" s="13" t="n"/>
      <c r="F68" s="10" t="n"/>
      <c r="G68" s="11" t="n"/>
      <c r="H68" s="13" t="n"/>
      <c r="I68" s="10" t="n"/>
      <c r="J68" s="11" t="n"/>
      <c r="K68" s="13" t="n"/>
      <c r="L68" s="10" t="n"/>
      <c r="M68" s="11" t="n"/>
      <c r="N68" s="13" t="n"/>
      <c r="O68" s="10" t="n"/>
      <c r="P68" s="8" t="inlineStr">
        <is>
          <t>패션커머스</t>
        </is>
      </c>
      <c r="Q68" s="9" t="n">
        <v>0.0333</v>
      </c>
      <c r="R68" s="10" t="inlineStr">
        <is>
          <t>Trend</t>
        </is>
      </c>
      <c r="S68" s="11" t="n"/>
      <c r="T68" s="13" t="n"/>
      <c r="U68" s="10" t="n"/>
    </row>
    <row r="69" ht="15.75" customHeight="1" s="1">
      <c r="A69" s="8" t="inlineStr">
        <is>
          <t>카카오톡 소식 조회수</t>
        </is>
      </c>
      <c r="B69" s="9" t="n">
        <v>0.008699999999999999</v>
      </c>
      <c r="C69" s="10" t="inlineStr">
        <is>
          <t>About</t>
        </is>
      </c>
      <c r="D69" s="11" t="n"/>
      <c r="E69" s="13" t="n"/>
      <c r="F69" s="10" t="n"/>
      <c r="G69" s="11" t="n"/>
      <c r="H69" s="13" t="n"/>
      <c r="I69" s="10" t="n"/>
      <c r="J69" s="11" t="n"/>
      <c r="K69" s="13" t="n"/>
      <c r="L69" s="10" t="n"/>
      <c r="M69" s="11" t="n"/>
      <c r="N69" s="13" t="n"/>
      <c r="O69" s="10" t="n"/>
      <c r="P69" s="8" t="inlineStr">
        <is>
          <t>네이버 쇼핑 선물하기</t>
        </is>
      </c>
      <c r="Q69" s="9" t="n">
        <v>0.0333</v>
      </c>
      <c r="R69" s="10" t="inlineStr">
        <is>
          <t>Media</t>
        </is>
      </c>
      <c r="S69" s="11" t="n"/>
      <c r="T69" s="13" t="n"/>
      <c r="U69" s="10" t="n"/>
    </row>
    <row r="70" ht="15.75" customHeight="1" s="1">
      <c r="A70" s="11" t="inlineStr">
        <is>
          <t>2025년 나스미디어 화장품 트렌드 보고서 소비자는 SNS</t>
        </is>
      </c>
      <c r="B70" s="9" t="n">
        <v>0.008699999999999999</v>
      </c>
      <c r="C70" s="10" t="inlineStr">
        <is>
          <t>Media</t>
        </is>
      </c>
      <c r="D70" s="11" t="n"/>
      <c r="E70" s="13" t="n"/>
      <c r="F70" s="10" t="n"/>
      <c r="G70" s="11" t="n"/>
      <c r="H70" s="13" t="n"/>
      <c r="I70" s="10" t="n"/>
      <c r="J70" s="11" t="n"/>
      <c r="K70" s="13" t="n"/>
      <c r="L70" s="10" t="n"/>
      <c r="M70" s="11" t="n"/>
      <c r="N70" s="13" t="n"/>
      <c r="O70" s="10" t="n"/>
      <c r="P70" s="8" t="inlineStr">
        <is>
          <t>디엠씨미디어</t>
        </is>
      </c>
      <c r="Q70" s="9" t="n">
        <v>0.0333</v>
      </c>
      <c r="R70" s="10" t="inlineStr">
        <is>
          <t>About</t>
        </is>
      </c>
      <c r="S70" s="11" t="n"/>
      <c r="T70" s="13" t="n"/>
      <c r="U70" s="10" t="n"/>
    </row>
    <row r="71" ht="15.75" customHeight="1" s="1">
      <c r="A71" s="11" t="inlineStr">
        <is>
          <t>sns비교</t>
        </is>
      </c>
      <c r="B71" s="9" t="n">
        <v>0.008699999999999999</v>
      </c>
      <c r="C71" s="10" t="inlineStr">
        <is>
          <t>Trend</t>
        </is>
      </c>
      <c r="D71" s="11" t="n"/>
      <c r="E71" s="13" t="n"/>
      <c r="F71" s="10" t="n"/>
      <c r="G71" s="11" t="n"/>
      <c r="H71" s="13" t="n"/>
      <c r="I71" s="10" t="n"/>
      <c r="J71" s="11" t="n"/>
      <c r="K71" s="13" t="n"/>
      <c r="L71" s="10" t="n"/>
      <c r="M71" s="11" t="n"/>
      <c r="N71" s="13" t="n"/>
      <c r="O71" s="10" t="n"/>
      <c r="P71" s="8" t="inlineStr">
        <is>
          <t>설 명절 간편식 소비 증가</t>
        </is>
      </c>
      <c r="Q71" s="9" t="n">
        <v>0.0333</v>
      </c>
      <c r="R71" s="10" t="inlineStr">
        <is>
          <t>Trend</t>
        </is>
      </c>
      <c r="S71" s="11" t="n"/>
      <c r="T71" s="13" t="n"/>
      <c r="U71" s="10" t="n"/>
    </row>
    <row r="72" ht="15.75" customHeight="1" s="1">
      <c r="A72" s="32" t="inlineStr">
        <is>
          <t>디엠씨미디어</t>
        </is>
      </c>
      <c r="B72" s="20" t="n">
        <v>0.008699999999999999</v>
      </c>
      <c r="C72" s="19" t="inlineStr">
        <is>
          <t>About</t>
        </is>
      </c>
      <c r="D72" s="17" t="n"/>
      <c r="E72" s="18" t="n"/>
      <c r="F72" s="19" t="n"/>
      <c r="G72" s="17" t="n"/>
      <c r="H72" s="18" t="n"/>
      <c r="I72" s="19" t="n"/>
      <c r="J72" s="17" t="n"/>
      <c r="K72" s="18" t="n"/>
      <c r="L72" s="19" t="n"/>
      <c r="M72" s="17" t="n"/>
      <c r="N72" s="18" t="n"/>
      <c r="O72" s="19" t="n"/>
      <c r="P72" s="17" t="n"/>
      <c r="Q72" s="18" t="n"/>
      <c r="R72" s="19" t="n"/>
      <c r="S72" s="17" t="n"/>
      <c r="T72" s="18" t="n"/>
      <c r="U72" s="19" t="n"/>
    </row>
    <row r="73" ht="15.75" customFormat="1" customHeight="1" s="94">
      <c r="A73" s="90" t="n"/>
      <c r="B73" s="91" t="n"/>
      <c r="C73" s="92" t="n"/>
      <c r="D73" s="90" t="n"/>
      <c r="E73" s="93" t="n"/>
      <c r="F73" s="92" t="n"/>
      <c r="G73" s="90" t="n"/>
      <c r="H73" s="93" t="n"/>
      <c r="I73" s="92" t="n"/>
      <c r="J73" s="90" t="n"/>
      <c r="K73" s="93" t="n"/>
      <c r="L73" s="92" t="n"/>
      <c r="M73" s="90" t="n"/>
      <c r="N73" s="93" t="n"/>
      <c r="O73" s="92" t="n"/>
      <c r="P73" s="90" t="n"/>
      <c r="Q73" s="93" t="n"/>
      <c r="R73" s="92" t="n"/>
      <c r="S73" s="90" t="n"/>
      <c r="T73" s="93" t="n"/>
      <c r="U73" s="92" t="n"/>
    </row>
    <row r="74" ht="15.75" customHeight="1" s="1">
      <c r="A74" s="5">
        <f>IF(22&lt;=DAY(EOMONTH(DATE(2026,$B$1,1),0)),$B$1&amp;"월 22일","")</f>
        <v/>
      </c>
      <c r="B74" s="6" t="n"/>
      <c r="C74" s="7" t="n"/>
      <c r="D74" s="5">
        <f>IF(23&lt;=DAY(EOMONTH(DATE(2026,$B$1,1),0)),$B$1&amp;"월 23일","")</f>
        <v/>
      </c>
      <c r="E74" s="6" t="n"/>
      <c r="F74" s="7" t="n"/>
      <c r="G74" s="5">
        <f>IF(24&lt;=DAY(EOMONTH(DATE(2026,$B$1,1),0)),$B$1&amp;"월 24일","")</f>
        <v/>
      </c>
      <c r="H74" s="6" t="n"/>
      <c r="I74" s="7" t="n"/>
      <c r="J74" s="5">
        <f>IF(25&lt;=DAY(EOMONTH(DATE(2026,$B$1,1),0)),$B$1&amp;"월 25일","")</f>
        <v/>
      </c>
      <c r="K74" s="6" t="n"/>
      <c r="L74" s="7" t="n"/>
      <c r="M74" s="5">
        <f>IF(26&lt;=DAY(EOMONTH(DATE(2026,$B$1,1),0)),$B$1&amp;"월 26일","")</f>
        <v/>
      </c>
      <c r="N74" s="6" t="n"/>
      <c r="O74" s="7" t="n"/>
      <c r="P74" s="5">
        <f>IF(27&lt;=DAY(EOMONTH(DATE(2026,$B$1,1),0)),$B$1&amp;"월 27일","")</f>
        <v/>
      </c>
      <c r="Q74" s="6" t="n"/>
      <c r="R74" s="7" t="n"/>
      <c r="S74" s="5">
        <f>IF(28&lt;=DAY(EOMONTH(DATE(2026,$B$1,1),0)),$B$1&amp;"월 28일","")</f>
        <v/>
      </c>
      <c r="T74" s="6" t="n"/>
      <c r="U74" s="7" t="n"/>
    </row>
    <row r="75" ht="15.75" customHeight="1" s="1">
      <c r="A75" s="8" t="inlineStr">
        <is>
          <t>매료 화장품</t>
        </is>
      </c>
      <c r="B75" s="9" t="n">
        <v>0.037</v>
      </c>
      <c r="C75" s="10" t="inlineStr">
        <is>
          <t>Trend</t>
        </is>
      </c>
      <c r="D75" s="8" t="inlineStr">
        <is>
          <t>디엠씨미디어 블로그</t>
        </is>
      </c>
      <c r="E75" s="9" t="n">
        <v>0.0886</v>
      </c>
      <c r="F75" s="10" t="inlineStr">
        <is>
          <t>People</t>
        </is>
      </c>
      <c r="G75" s="8" t="inlineStr">
        <is>
          <t>네이버 AI광고 노출 올리는법</t>
        </is>
      </c>
      <c r="H75" s="9" t="n">
        <v>0.0238</v>
      </c>
      <c r="I75" s="10" t="inlineStr">
        <is>
          <t>Media</t>
        </is>
      </c>
      <c r="J75" s="11" t="inlineStr">
        <is>
          <t>nosp 치지직 lck</t>
        </is>
      </c>
      <c r="K75" s="9" t="n">
        <v>0.1</v>
      </c>
      <c r="L75" s="10" t="inlineStr">
        <is>
          <t>About</t>
        </is>
      </c>
      <c r="M75" s="11" t="inlineStr">
        <is>
          <t>tving 광고대행사</t>
        </is>
      </c>
      <c r="N75" s="9" t="n">
        <v>0.0625</v>
      </c>
      <c r="O75" s="10" t="inlineStr">
        <is>
          <t>About</t>
        </is>
      </c>
      <c r="P75" s="11" t="inlineStr">
        <is>
          <t>2025 의류 업종 보고서 dmc</t>
        </is>
      </c>
      <c r="Q75" s="9" t="n">
        <v>0.0172</v>
      </c>
      <c r="R75" s="10" t="inlineStr">
        <is>
          <t>Trend</t>
        </is>
      </c>
      <c r="S75" s="8" t="inlineStr">
        <is>
          <t>디엠씨미디어 블로그</t>
        </is>
      </c>
      <c r="T75" s="9" t="n">
        <v>0.058</v>
      </c>
      <c r="U75" s="10" t="inlineStr">
        <is>
          <t>People</t>
        </is>
      </c>
    </row>
    <row r="76" ht="15.75" customHeight="1" s="1">
      <c r="A76" s="8" t="inlineStr">
        <is>
          <t>삼신기 가전</t>
        </is>
      </c>
      <c r="B76" s="9" t="n">
        <v>0.037</v>
      </c>
      <c r="C76" s="10" t="inlineStr">
        <is>
          <t>Trend</t>
        </is>
      </c>
      <c r="D76" s="11" t="inlineStr">
        <is>
          <t>uv유입용 토스</t>
        </is>
      </c>
      <c r="E76" s="9" t="n">
        <v>0.0127</v>
      </c>
      <c r="F76" s="10" t="inlineStr">
        <is>
          <t>Media</t>
        </is>
      </c>
      <c r="G76" s="8" t="inlineStr">
        <is>
          <t>대학내일20대연구소, Z세대 소셜 미디어 이용 행태 조사 (2025)</t>
        </is>
      </c>
      <c r="H76" s="9" t="n">
        <v>0.0238</v>
      </c>
      <c r="I76" s="10" t="inlineStr">
        <is>
          <t>Media</t>
        </is>
      </c>
      <c r="J76" s="8" t="inlineStr">
        <is>
          <t>디엠씨 건강관리</t>
        </is>
      </c>
      <c r="K76" s="9" t="n">
        <v>0.1</v>
      </c>
      <c r="L76" s="10" t="inlineStr">
        <is>
          <t>Trend</t>
        </is>
      </c>
      <c r="M76" s="8" t="inlineStr">
        <is>
          <t>온드 미디어 배경</t>
        </is>
      </c>
      <c r="N76" s="9" t="n">
        <v>0.0625</v>
      </c>
      <c r="O76" s="10" t="inlineStr">
        <is>
          <t>Media</t>
        </is>
      </c>
      <c r="P76" s="11" t="inlineStr">
        <is>
          <t>DMC미디어</t>
        </is>
      </c>
      <c r="Q76" s="9" t="n">
        <v>0.0172</v>
      </c>
      <c r="R76" s="10" t="inlineStr">
        <is>
          <t>About</t>
        </is>
      </c>
      <c r="S76" s="8" t="inlineStr">
        <is>
          <t>쿠팡플레이 광고</t>
        </is>
      </c>
      <c r="T76" s="9" t="n">
        <v>0.029</v>
      </c>
      <c r="U76" s="10" t="inlineStr">
        <is>
          <t>About</t>
        </is>
      </c>
    </row>
    <row r="77" ht="15.75" customHeight="1" s="1">
      <c r="A77" s="8" t="inlineStr">
        <is>
          <t>세계 광고 기업 몰락 it 광고 성장중</t>
        </is>
      </c>
      <c r="B77" s="9" t="n">
        <v>0.037</v>
      </c>
      <c r="C77" s="10" t="inlineStr">
        <is>
          <t>Trend</t>
        </is>
      </c>
      <c r="D77" s="8" t="inlineStr">
        <is>
          <t>중저가 의류 브랜드</t>
        </is>
      </c>
      <c r="E77" s="9" t="n">
        <v>0.0127</v>
      </c>
      <c r="F77" s="10" t="inlineStr">
        <is>
          <t>Trend</t>
        </is>
      </c>
      <c r="G77" s="8" t="inlineStr">
        <is>
          <t>엔하이픈 헌혈</t>
        </is>
      </c>
      <c r="H77" s="9" t="n">
        <v>0.0238</v>
      </c>
      <c r="I77" s="10" t="inlineStr">
        <is>
          <t>Trend</t>
        </is>
      </c>
      <c r="J77" s="8" t="inlineStr">
        <is>
          <t>쿠팡플레이 광고</t>
        </is>
      </c>
      <c r="K77" s="9" t="n">
        <v>0.1</v>
      </c>
      <c r="L77" s="10" t="inlineStr">
        <is>
          <t>About</t>
        </is>
      </c>
      <c r="M77" s="8" t="inlineStr">
        <is>
          <t>의류플랫폼</t>
        </is>
      </c>
      <c r="N77" s="9" t="n">
        <v>0.0625</v>
      </c>
      <c r="O77" s="10" t="inlineStr">
        <is>
          <t>Media</t>
        </is>
      </c>
      <c r="P77" s="11" t="inlineStr">
        <is>
          <t>dooh 제안서</t>
        </is>
      </c>
      <c r="Q77" s="9" t="n">
        <v>0.0172</v>
      </c>
      <c r="R77" s="10" t="inlineStr">
        <is>
          <t>About</t>
        </is>
      </c>
      <c r="S77" s="11" t="inlineStr">
        <is>
          <t>dmc패션몰</t>
        </is>
      </c>
      <c r="T77" s="9" t="n">
        <v>0.0145</v>
      </c>
      <c r="U77" s="10" t="inlineStr">
        <is>
          <t>Trend</t>
        </is>
      </c>
    </row>
    <row r="78" ht="15.75" customHeight="1" s="1">
      <c r="A78" s="8" t="inlineStr">
        <is>
          <t>쇼박스 마케팅</t>
        </is>
      </c>
      <c r="B78" s="9" t="n">
        <v>0.037</v>
      </c>
      <c r="C78" s="10" t="inlineStr">
        <is>
          <t>Trend</t>
        </is>
      </c>
      <c r="D78" s="8" t="inlineStr">
        <is>
          <t>촬영실록</t>
        </is>
      </c>
      <c r="E78" s="9" t="n">
        <v>0.0127</v>
      </c>
      <c r="F78" s="10" t="inlineStr">
        <is>
          <t>Trend</t>
        </is>
      </c>
      <c r="G78" s="8" t="inlineStr">
        <is>
          <t>옷플랫폼</t>
        </is>
      </c>
      <c r="H78" s="9" t="n">
        <v>0.0238</v>
      </c>
      <c r="I78" s="10" t="inlineStr">
        <is>
          <t>Trend</t>
        </is>
      </c>
      <c r="J78" s="8" t="inlineStr">
        <is>
          <t>토스애즈</t>
        </is>
      </c>
      <c r="K78" s="9" t="n">
        <v>0.1</v>
      </c>
      <c r="L78" s="10" t="inlineStr">
        <is>
          <t>Media</t>
        </is>
      </c>
      <c r="M78" s="8" t="inlineStr">
        <is>
          <t>쿠팡플레이 광고</t>
        </is>
      </c>
      <c r="N78" s="9" t="n">
        <v>0.0625</v>
      </c>
      <c r="O78" s="10" t="inlineStr">
        <is>
          <t>About</t>
        </is>
      </c>
      <c r="P78" s="8" t="inlineStr">
        <is>
          <t>네이버 스플래시 지도 광고</t>
        </is>
      </c>
      <c r="Q78" s="9" t="n">
        <v>0.0172</v>
      </c>
      <c r="R78" s="10" t="inlineStr">
        <is>
          <t>About</t>
        </is>
      </c>
      <c r="S78" s="8" t="inlineStr">
        <is>
          <t>하림장보기</t>
        </is>
      </c>
      <c r="T78" s="9" t="n">
        <v>0.0145</v>
      </c>
      <c r="U78" s="10" t="inlineStr">
        <is>
          <t>Trend</t>
        </is>
      </c>
    </row>
    <row r="79" ht="15.75" customHeight="1" s="1">
      <c r="A79" s="8" t="inlineStr">
        <is>
          <t>의류플랫폼</t>
        </is>
      </c>
      <c r="B79" s="9" t="n">
        <v>0.037</v>
      </c>
      <c r="C79" s="10" t="inlineStr">
        <is>
          <t>Media</t>
        </is>
      </c>
      <c r="D79" s="8" t="inlineStr">
        <is>
          <t>쿠팡플레이 광고</t>
        </is>
      </c>
      <c r="E79" s="9" t="n">
        <v>0.0253</v>
      </c>
      <c r="F79" s="10" t="inlineStr">
        <is>
          <t>About</t>
        </is>
      </c>
      <c r="G79" s="8" t="inlineStr">
        <is>
          <t>왕과 사는 남자 촬영실록 노션 페이지 접속 방법 알려주세요</t>
        </is>
      </c>
      <c r="H79" s="9" t="n">
        <v>0.0238</v>
      </c>
      <c r="I79" s="10" t="inlineStr">
        <is>
          <t>Trend</t>
        </is>
      </c>
      <c r="J79" s="8" t="inlineStr">
        <is>
          <t>디엠씨미디어</t>
        </is>
      </c>
      <c r="K79" s="9" t="n">
        <v>0.1</v>
      </c>
      <c r="L79" s="10" t="inlineStr">
        <is>
          <t>About</t>
        </is>
      </c>
      <c r="M79" s="8" t="inlineStr">
        <is>
          <t>태풍상사 광고</t>
        </is>
      </c>
      <c r="N79" s="9" t="n">
        <v>0.0625</v>
      </c>
      <c r="O79" s="10" t="inlineStr">
        <is>
          <t>Trend</t>
        </is>
      </c>
      <c r="P79" s="8" t="inlineStr">
        <is>
          <t>디엠씨미디어 이준희</t>
        </is>
      </c>
      <c r="Q79" s="9" t="n">
        <v>0.0172</v>
      </c>
      <c r="R79" s="10" t="inlineStr">
        <is>
          <t>About</t>
        </is>
      </c>
      <c r="S79" s="8" t="inlineStr">
        <is>
          <t>디엠씨미디어</t>
        </is>
      </c>
      <c r="T79" s="9" t="n">
        <v>0.029</v>
      </c>
      <c r="U79" s="10" t="inlineStr">
        <is>
          <t>About</t>
        </is>
      </c>
    </row>
    <row r="80" ht="15.75" customHeight="1" s="1">
      <c r="A80" s="8" t="inlineStr">
        <is>
          <t>네이버 월드컵 방송 구좌</t>
        </is>
      </c>
      <c r="B80" s="9" t="n">
        <v>0.0741</v>
      </c>
      <c r="C80" s="10" t="inlineStr">
        <is>
          <t>About</t>
        </is>
      </c>
      <c r="D80" s="8" t="inlineStr">
        <is>
          <t>크리테오 최신 트렌드 리포트</t>
        </is>
      </c>
      <c r="E80" s="9" t="n">
        <v>0.0253</v>
      </c>
      <c r="F80" s="10" t="inlineStr">
        <is>
          <t>About</t>
        </is>
      </c>
      <c r="G80" s="8" t="inlineStr">
        <is>
          <t>의류 플랫폼</t>
        </is>
      </c>
      <c r="H80" s="9" t="n">
        <v>0.0238</v>
      </c>
      <c r="I80" s="10" t="inlineStr">
        <is>
          <t>Trend</t>
        </is>
      </c>
      <c r="J80" s="8" t="inlineStr">
        <is>
          <t>왕과사는 남자 쇼박스 노션</t>
        </is>
      </c>
      <c r="K80" s="9" t="n">
        <v>0.1</v>
      </c>
      <c r="L80" s="10" t="inlineStr">
        <is>
          <t>Trend</t>
        </is>
      </c>
      <c r="M80" s="8" t="inlineStr">
        <is>
          <t>핀터레스트 검색 팁</t>
        </is>
      </c>
      <c r="N80" s="9" t="n">
        <v>0.0625</v>
      </c>
      <c r="O80" s="10" t="inlineStr">
        <is>
          <t>Trend</t>
        </is>
      </c>
      <c r="P80" s="8" t="inlineStr">
        <is>
          <t>미디어믹스</t>
        </is>
      </c>
      <c r="Q80" s="9" t="n">
        <v>0.0172</v>
      </c>
      <c r="R80" s="10" t="inlineStr">
        <is>
          <t>Media</t>
        </is>
      </c>
      <c r="S80" s="11" t="inlineStr">
        <is>
          <t>ip 챌린지</t>
        </is>
      </c>
      <c r="T80" s="9" t="n">
        <v>0.0145</v>
      </c>
      <c r="U80" s="10" t="inlineStr">
        <is>
          <t>Trend</t>
        </is>
      </c>
    </row>
    <row r="81" ht="15.75" customHeight="1" s="1">
      <c r="A81" s="8" t="inlineStr">
        <is>
          <t>디엠씨미디어</t>
        </is>
      </c>
      <c r="B81" s="9" t="n">
        <v>0.037</v>
      </c>
      <c r="C81" s="10" t="inlineStr">
        <is>
          <t>About</t>
        </is>
      </c>
      <c r="D81" s="11" t="inlineStr">
        <is>
          <t>ADVoost 쇼핑 자사몰</t>
        </is>
      </c>
      <c r="E81" s="9" t="n">
        <v>0.0127</v>
      </c>
      <c r="F81" s="10" t="inlineStr">
        <is>
          <t>About</t>
        </is>
      </c>
      <c r="G81" s="8" t="inlineStr">
        <is>
          <t>카카오톡 체널 메세지 카카오모먼트 차이</t>
        </is>
      </c>
      <c r="H81" s="9" t="n">
        <v>0.0238</v>
      </c>
      <c r="I81" s="10" t="inlineStr">
        <is>
          <t>Media</t>
        </is>
      </c>
      <c r="J81" s="11" t="n"/>
      <c r="K81" s="13" t="n"/>
      <c r="L81" s="10" t="n"/>
      <c r="M81" s="8" t="inlineStr">
        <is>
          <t>효돌이 돌봄로봇</t>
        </is>
      </c>
      <c r="N81" s="9" t="n">
        <v>0.0625</v>
      </c>
      <c r="O81" s="10" t="inlineStr">
        <is>
          <t>Trend</t>
        </is>
      </c>
      <c r="P81" s="8" t="inlineStr">
        <is>
          <t>열품타 mau</t>
        </is>
      </c>
      <c r="Q81" s="9" t="n">
        <v>0.0172</v>
      </c>
      <c r="R81" s="10" t="inlineStr">
        <is>
          <t>About</t>
        </is>
      </c>
      <c r="S81" s="8" t="inlineStr">
        <is>
          <t>가전 매장 구매 데이터</t>
        </is>
      </c>
      <c r="T81" s="9" t="n">
        <v>0.0145</v>
      </c>
      <c r="U81" s="10" t="inlineStr">
        <is>
          <t>Trend</t>
        </is>
      </c>
    </row>
    <row r="82" ht="15.75" customHeight="1" s="1">
      <c r="A82" s="8" t="inlineStr">
        <is>
          <t>압구정백야</t>
        </is>
      </c>
      <c r="B82" s="9" t="n">
        <v>0.037</v>
      </c>
      <c r="C82" s="10" t="inlineStr">
        <is>
          <t>Trend</t>
        </is>
      </c>
      <c r="D82" s="8" t="inlineStr">
        <is>
          <t>네이버AI광고 어디에 어떻게 노출되나요?</t>
        </is>
      </c>
      <c r="E82" s="9" t="n">
        <v>0.0127</v>
      </c>
      <c r="F82" s="10" t="inlineStr">
        <is>
          <t>Media</t>
        </is>
      </c>
      <c r="G82" s="8" t="inlineStr">
        <is>
          <t>쿠팡플레이 광고</t>
        </is>
      </c>
      <c r="H82" s="9" t="n">
        <v>0.0476</v>
      </c>
      <c r="I82" s="10" t="inlineStr">
        <is>
          <t>About</t>
        </is>
      </c>
      <c r="J82" s="11" t="n"/>
      <c r="K82" s="13" t="n"/>
      <c r="L82" s="10" t="n"/>
      <c r="M82" s="11" t="inlineStr">
        <is>
          <t>DMC레포트</t>
        </is>
      </c>
      <c r="N82" s="9" t="n">
        <v>0.0625</v>
      </c>
      <c r="O82" s="10" t="inlineStr">
        <is>
          <t>Trend</t>
        </is>
      </c>
      <c r="P82" s="8" t="inlineStr">
        <is>
          <t>쿠팡플레이 광고</t>
        </is>
      </c>
      <c r="Q82" s="9" t="n">
        <v>0.0172</v>
      </c>
      <c r="R82" s="10" t="inlineStr">
        <is>
          <t>About</t>
        </is>
      </c>
      <c r="S82" s="8" t="inlineStr">
        <is>
          <t>디엠씨미디어</t>
        </is>
      </c>
      <c r="T82" s="9" t="n">
        <v>0.0145</v>
      </c>
      <c r="U82" s="10" t="inlineStr">
        <is>
          <t>About</t>
        </is>
      </c>
    </row>
    <row r="83" ht="15.75" customHeight="1" s="1">
      <c r="A83" s="8" t="inlineStr">
        <is>
          <t>여기어때 mnet</t>
        </is>
      </c>
      <c r="B83" s="9" t="n">
        <v>0.037</v>
      </c>
      <c r="C83" s="10" t="inlineStr">
        <is>
          <t>Trend</t>
        </is>
      </c>
      <c r="D83" s="8" t="inlineStr">
        <is>
          <t>디엠씨미디어 실무자를 위한 데이터 기반 마케팅</t>
        </is>
      </c>
      <c r="E83" s="9" t="n">
        <v>0.0127</v>
      </c>
      <c r="F83" s="10" t="inlineStr">
        <is>
          <t>About</t>
        </is>
      </c>
      <c r="G83" s="8" t="inlineStr">
        <is>
          <t>당근에 동영상 광고</t>
        </is>
      </c>
      <c r="H83" s="9" t="n">
        <v>0.0238</v>
      </c>
      <c r="I83" s="10" t="inlineStr">
        <is>
          <t>About</t>
        </is>
      </c>
      <c r="J83" s="11" t="n"/>
      <c r="K83" s="13" t="n"/>
      <c r="L83" s="10" t="n"/>
      <c r="M83" s="8" t="inlineStr">
        <is>
          <t>타겟 소비자들의 온라인몰 의류 구매 성향</t>
        </is>
      </c>
      <c r="N83" s="9" t="n">
        <v>0.0625</v>
      </c>
      <c r="O83" s="10" t="inlineStr">
        <is>
          <t>Trend</t>
        </is>
      </c>
      <c r="P83" s="8" t="inlineStr">
        <is>
          <t>핀터레스트 에스파 계정</t>
        </is>
      </c>
      <c r="Q83" s="9" t="n">
        <v>0.0172</v>
      </c>
      <c r="R83" s="10" t="inlineStr">
        <is>
          <t>Trend</t>
        </is>
      </c>
      <c r="S83" s="8" t="inlineStr">
        <is>
          <t>가전 다품목 구매 높음 데이터</t>
        </is>
      </c>
      <c r="T83" s="9" t="n">
        <v>0.0145</v>
      </c>
      <c r="U83" s="10" t="inlineStr">
        <is>
          <t>Trend</t>
        </is>
      </c>
    </row>
    <row r="84" ht="15.75" customHeight="1" s="1">
      <c r="A84" s="11" t="inlineStr">
        <is>
          <t>d.metrics</t>
        </is>
      </c>
      <c r="B84" s="9" t="n">
        <v>0.037</v>
      </c>
      <c r="C84" s="10" t="inlineStr">
        <is>
          <t>About</t>
        </is>
      </c>
      <c r="D84" s="8" t="inlineStr">
        <is>
          <t>왕사남 노션</t>
        </is>
      </c>
      <c r="E84" s="9" t="n">
        <v>0.0127</v>
      </c>
      <c r="F84" s="10" t="inlineStr">
        <is>
          <t>Trend</t>
        </is>
      </c>
      <c r="G84" s="8" t="inlineStr">
        <is>
          <t>의류 플랫폼</t>
        </is>
      </c>
      <c r="H84" s="9" t="n">
        <v>0.0238</v>
      </c>
      <c r="I84" s="10" t="inlineStr">
        <is>
          <t>Trend</t>
        </is>
      </c>
      <c r="J84" s="11" t="n"/>
      <c r="K84" s="13" t="n"/>
      <c r="L84" s="10" t="n"/>
      <c r="M84" s="11" t="n"/>
      <c r="N84" s="13" t="n"/>
      <c r="O84" s="10" t="n"/>
      <c r="P84" s="11" t="inlineStr">
        <is>
          <t>dmc미디어 장기근속</t>
        </is>
      </c>
      <c r="Q84" s="9" t="n">
        <v>0.0345</v>
      </c>
      <c r="R84" s="10" t="inlineStr">
        <is>
          <t>About</t>
        </is>
      </c>
      <c r="S84" s="8" t="inlineStr">
        <is>
          <t>의류 플랫폼</t>
        </is>
      </c>
      <c r="T84" s="9" t="n">
        <v>0.0145</v>
      </c>
      <c r="U84" s="10" t="inlineStr">
        <is>
          <t>Trend</t>
        </is>
      </c>
    </row>
    <row r="85" ht="15.75" customHeight="1" s="1">
      <c r="A85" s="11" t="inlineStr">
        <is>
          <t>locket widget</t>
        </is>
      </c>
      <c r="B85" s="9" t="n">
        <v>0.037</v>
      </c>
      <c r="C85" s="10" t="inlineStr">
        <is>
          <t>Trend</t>
        </is>
      </c>
      <c r="D85" s="8" t="inlineStr">
        <is>
          <t>중저가 의류 브랜드</t>
        </is>
      </c>
      <c r="E85" s="9" t="n">
        <v>0.0127</v>
      </c>
      <c r="F85" s="10" t="inlineStr">
        <is>
          <t>Trend</t>
        </is>
      </c>
      <c r="G85" s="8" t="inlineStr">
        <is>
          <t>화장품 구매 경로</t>
        </is>
      </c>
      <c r="H85" s="9" t="n">
        <v>0.0238</v>
      </c>
      <c r="I85" s="10" t="inlineStr">
        <is>
          <t>Trend</t>
        </is>
      </c>
      <c r="J85" s="11" t="n"/>
      <c r="K85" s="13" t="n"/>
      <c r="L85" s="10" t="n"/>
      <c r="M85" s="11" t="n"/>
      <c r="N85" s="13" t="n"/>
      <c r="O85" s="10" t="n"/>
      <c r="P85" s="8" t="inlineStr">
        <is>
          <t>디지털 플랫폼 온라인거래</t>
        </is>
      </c>
      <c r="Q85" s="9" t="n">
        <v>0.0172</v>
      </c>
      <c r="R85" s="10" t="inlineStr">
        <is>
          <t>Trend</t>
        </is>
      </c>
      <c r="S85" s="8" t="inlineStr">
        <is>
          <t>토스 crm</t>
        </is>
      </c>
      <c r="T85" s="9" t="n">
        <v>0.0145</v>
      </c>
      <c r="U85" s="10" t="inlineStr">
        <is>
          <t>Media</t>
        </is>
      </c>
    </row>
    <row r="86" ht="15.75" customHeight="1" s="1">
      <c r="A86" s="8" t="inlineStr">
        <is>
          <t>네이버 브랜드 스토어 광고</t>
        </is>
      </c>
      <c r="B86" s="9" t="n">
        <v>0.037</v>
      </c>
      <c r="C86" s="10" t="inlineStr">
        <is>
          <t>Media</t>
        </is>
      </c>
      <c r="D86" s="8" t="inlineStr">
        <is>
          <t>중저가 패션</t>
        </is>
      </c>
      <c r="E86" s="9" t="n">
        <v>0.0127</v>
      </c>
      <c r="F86" s="10" t="inlineStr">
        <is>
          <t>Trend</t>
        </is>
      </c>
      <c r="G86" s="11" t="n"/>
      <c r="H86" s="13" t="n"/>
      <c r="I86" s="10" t="n"/>
      <c r="J86" s="11" t="n"/>
      <c r="K86" s="13" t="n"/>
      <c r="L86" s="10" t="n"/>
      <c r="M86" s="11" t="n"/>
      <c r="N86" s="13" t="n"/>
      <c r="O86" s="10" t="n"/>
      <c r="P86" s="8" t="inlineStr">
        <is>
          <t>쿠팡플레이 광고</t>
        </is>
      </c>
      <c r="Q86" s="9" t="n">
        <v>0.0172</v>
      </c>
      <c r="R86" s="10" t="inlineStr">
        <is>
          <t>About</t>
        </is>
      </c>
      <c r="S86" s="11" t="n"/>
      <c r="T86" s="13" t="n"/>
      <c r="U86" s="10" t="n"/>
    </row>
    <row r="87" ht="15.75" customHeight="1" s="1">
      <c r="A87" s="11" t="n"/>
      <c r="B87" s="13" t="n"/>
      <c r="C87" s="10" t="n"/>
      <c r="D87" s="8" t="inlineStr">
        <is>
          <t>중저가 의류 브랜드</t>
        </is>
      </c>
      <c r="E87" s="9" t="n">
        <v>0.0127</v>
      </c>
      <c r="F87" s="10" t="inlineStr">
        <is>
          <t>Trend</t>
        </is>
      </c>
      <c r="G87" s="11" t="n"/>
      <c r="H87" s="13" t="n"/>
      <c r="I87" s="10" t="n"/>
      <c r="J87" s="11" t="n"/>
      <c r="K87" s="13" t="n"/>
      <c r="L87" s="10" t="n"/>
      <c r="M87" s="11" t="n"/>
      <c r="N87" s="13" t="n"/>
      <c r="O87" s="10" t="n"/>
      <c r="P87" s="8" t="inlineStr">
        <is>
          <t>티빙 쿠팡</t>
        </is>
      </c>
      <c r="Q87" s="9" t="n">
        <v>0.0172</v>
      </c>
      <c r="R87" s="10" t="inlineStr">
        <is>
          <t>About</t>
        </is>
      </c>
      <c r="S87" s="11" t="n"/>
      <c r="T87" s="13" t="n"/>
      <c r="U87" s="10" t="n"/>
    </row>
    <row r="88" ht="15.75" customHeight="1" s="1">
      <c r="A88" s="11" t="n"/>
      <c r="B88" s="13" t="n"/>
      <c r="C88" s="10" t="n"/>
      <c r="D88" s="8" t="inlineStr">
        <is>
          <t>리테일미디어</t>
        </is>
      </c>
      <c r="E88" s="9" t="n">
        <v>0.0127</v>
      </c>
      <c r="F88" s="10" t="inlineStr">
        <is>
          <t>About</t>
        </is>
      </c>
      <c r="G88" s="11" t="n"/>
      <c r="H88" s="13" t="n"/>
      <c r="I88" s="10" t="n"/>
      <c r="J88" s="11" t="n"/>
      <c r="K88" s="13" t="n"/>
      <c r="L88" s="10" t="n"/>
      <c r="M88" s="11" t="n"/>
      <c r="N88" s="13" t="n"/>
      <c r="O88" s="10" t="n"/>
      <c r="P88" s="11" t="inlineStr">
        <is>
          <t>eldpaTl 미디어</t>
        </is>
      </c>
      <c r="Q88" s="9" t="n">
        <v>0.0172</v>
      </c>
      <c r="R88" s="10" t="inlineStr">
        <is>
          <t>About</t>
        </is>
      </c>
      <c r="S88" s="11" t="n"/>
      <c r="T88" s="13" t="n"/>
      <c r="U88" s="10" t="n"/>
    </row>
    <row r="89" ht="15.75" customHeight="1" s="1">
      <c r="A89" s="11" t="n"/>
      <c r="B89" s="13" t="n"/>
      <c r="C89" s="10" t="n"/>
      <c r="D89" s="11" t="n"/>
      <c r="E89" s="13" t="n"/>
      <c r="F89" s="10" t="n"/>
      <c r="G89" s="11" t="n"/>
      <c r="H89" s="13" t="n"/>
      <c r="I89" s="10" t="n"/>
      <c r="J89" s="11" t="n"/>
      <c r="K89" s="13" t="n"/>
      <c r="L89" s="10" t="n"/>
      <c r="M89" s="11" t="n"/>
      <c r="N89" s="13" t="n"/>
      <c r="O89" s="10" t="n"/>
      <c r="P89" s="8" t="inlineStr">
        <is>
          <t>디엠씨미디어 면접</t>
        </is>
      </c>
      <c r="Q89" s="9" t="n">
        <v>0.0172</v>
      </c>
      <c r="R89" s="10" t="inlineStr">
        <is>
          <t>People</t>
        </is>
      </c>
      <c r="S89" s="11" t="n"/>
      <c r="T89" s="13" t="n"/>
      <c r="U89" s="10" t="n"/>
    </row>
    <row r="90" ht="15.75" customHeight="1" s="1">
      <c r="A90" s="11" t="n"/>
      <c r="B90" s="13" t="n"/>
      <c r="C90" s="10" t="n"/>
      <c r="D90" s="11" t="n"/>
      <c r="E90" s="13" t="n"/>
      <c r="F90" s="10" t="n"/>
      <c r="G90" s="11" t="n"/>
      <c r="H90" s="13" t="n"/>
      <c r="I90" s="10" t="n"/>
      <c r="J90" s="11" t="n"/>
      <c r="K90" s="13" t="n"/>
      <c r="L90" s="10" t="n"/>
      <c r="M90" s="11" t="n"/>
      <c r="N90" s="13" t="n"/>
      <c r="O90" s="10" t="n"/>
      <c r="P90" s="8" t="inlineStr">
        <is>
          <t>디엠씨미디어 퍼포먼스</t>
        </is>
      </c>
      <c r="Q90" s="9" t="n">
        <v>0.0172</v>
      </c>
      <c r="R90" s="10" t="inlineStr">
        <is>
          <t>People</t>
        </is>
      </c>
      <c r="S90" s="11" t="n"/>
      <c r="T90" s="13" t="n"/>
      <c r="U90" s="10" t="n"/>
    </row>
    <row r="91" ht="15.75" customHeight="1" s="1">
      <c r="A91" s="11" t="n"/>
      <c r="B91" s="13" t="n"/>
      <c r="C91" s="10" t="n"/>
      <c r="D91" s="11" t="n"/>
      <c r="E91" s="13" t="n"/>
      <c r="F91" s="10" t="n"/>
      <c r="G91" s="11" t="n"/>
      <c r="H91" s="13" t="n"/>
      <c r="I91" s="10" t="n"/>
      <c r="J91" s="11" t="n"/>
      <c r="K91" s="13" t="n"/>
      <c r="L91" s="10" t="n"/>
      <c r="M91" s="11" t="n"/>
      <c r="N91" s="13" t="n"/>
      <c r="O91" s="10" t="n"/>
      <c r="P91" s="11" t="n"/>
      <c r="Q91" s="13" t="n"/>
      <c r="R91" s="10" t="n"/>
      <c r="S91" s="11" t="n"/>
      <c r="T91" s="13" t="n"/>
      <c r="U91" s="10" t="n"/>
    </row>
    <row r="92" ht="15.75" customHeight="1" s="1">
      <c r="A92" s="11" t="n"/>
      <c r="B92" s="13" t="n"/>
      <c r="C92" s="10" t="n"/>
      <c r="D92" s="11" t="n"/>
      <c r="E92" s="13" t="n"/>
      <c r="F92" s="10" t="n"/>
      <c r="G92" s="11" t="n"/>
      <c r="H92" s="13" t="n"/>
      <c r="I92" s="10" t="n"/>
      <c r="J92" s="11" t="n"/>
      <c r="K92" s="13" t="n"/>
      <c r="L92" s="10" t="n"/>
      <c r="M92" s="11" t="n"/>
      <c r="N92" s="13" t="n"/>
      <c r="O92" s="10" t="n"/>
      <c r="P92" s="11" t="n"/>
      <c r="Q92" s="13" t="n"/>
      <c r="R92" s="10" t="n"/>
      <c r="S92" s="11" t="n"/>
      <c r="T92" s="13" t="n"/>
      <c r="U92" s="10" t="n"/>
    </row>
    <row r="93" ht="15.75" customHeight="1" s="1">
      <c r="A93" s="11" t="n"/>
      <c r="B93" s="13" t="n"/>
      <c r="C93" s="10" t="n"/>
      <c r="D93" s="11" t="n"/>
      <c r="E93" s="13" t="n"/>
      <c r="F93" s="10" t="n"/>
      <c r="G93" s="11" t="n"/>
      <c r="H93" s="13" t="n"/>
      <c r="I93" s="10" t="n"/>
      <c r="J93" s="11" t="n"/>
      <c r="K93" s="13" t="n"/>
      <c r="L93" s="10" t="n"/>
      <c r="M93" s="11" t="n"/>
      <c r="N93" s="13" t="n"/>
      <c r="O93" s="10" t="n"/>
      <c r="P93" s="11" t="n"/>
      <c r="Q93" s="13" t="n"/>
      <c r="R93" s="10" t="n"/>
      <c r="S93" s="11" t="n"/>
      <c r="T93" s="13" t="n"/>
      <c r="U93" s="10" t="n"/>
    </row>
    <row r="94" ht="15.75" customHeight="1" s="1">
      <c r="A94" s="14" t="n"/>
      <c r="B94" s="15" t="n"/>
      <c r="C94" s="16" t="n"/>
      <c r="D94" s="14" t="n"/>
      <c r="E94" s="15" t="n"/>
      <c r="F94" s="16" t="n"/>
      <c r="G94" s="14" t="n"/>
      <c r="H94" s="15" t="n"/>
      <c r="I94" s="16" t="n"/>
      <c r="J94" s="14" t="n"/>
      <c r="K94" s="15" t="n"/>
      <c r="L94" s="16" t="n"/>
      <c r="M94" s="14" t="n"/>
      <c r="N94" s="15" t="n"/>
      <c r="O94" s="16" t="n"/>
      <c r="P94" s="14" t="n"/>
      <c r="Q94" s="15" t="n"/>
      <c r="R94" s="16" t="n"/>
      <c r="S94" s="14" t="n"/>
      <c r="T94" s="15" t="n"/>
      <c r="U94" s="16" t="n"/>
    </row>
    <row r="95" ht="15.75" customHeight="1" s="1">
      <c r="A95" s="5">
        <f>IF(29&lt;=DAY(EOMONTH(DATE(2026,$B$1,1),0)),$B$1&amp;"월 29일","")</f>
        <v/>
      </c>
      <c r="B95" s="6" t="n"/>
      <c r="C95" s="7" t="n"/>
      <c r="D95" s="5">
        <f>IF(30&lt;=DAY(EOMONTH(DATE(2026,$B$1,1),0)),$B$1&amp;"월 30일","")</f>
        <v/>
      </c>
      <c r="E95" s="6" t="n"/>
      <c r="F95" s="7" t="n"/>
      <c r="G95" s="5">
        <f>IF(31&lt;=DAY(EOMONTH(DATE(2026,$B$1,1),0)),$B$1&amp;"월 31일","")</f>
        <v/>
      </c>
      <c r="H95" s="6" t="n"/>
      <c r="I95" s="7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</row>
    <row r="96" ht="15.75" customHeight="1" s="1">
      <c r="A96" s="8" t="inlineStr">
        <is>
          <t>쿠팡플레이 광고</t>
        </is>
      </c>
      <c r="B96" s="9" t="n">
        <v>0.0526</v>
      </c>
      <c r="C96" s="10" t="inlineStr">
        <is>
          <t>About</t>
        </is>
      </c>
      <c r="D96" s="11" t="inlineStr">
        <is>
          <t>Admin night</t>
        </is>
      </c>
      <c r="E96" s="9" t="n">
        <v>0.0526</v>
      </c>
      <c r="F96" s="10" t="inlineStr">
        <is>
          <t>Trend</t>
        </is>
      </c>
      <c r="G96" s="11" t="n"/>
      <c r="H96" s="13" t="n"/>
      <c r="I96" s="10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</row>
    <row r="97" ht="15.75" customHeight="1" s="1">
      <c r="A97" s="8" t="inlineStr">
        <is>
          <t>디플로우 디엠씨미디어</t>
        </is>
      </c>
      <c r="B97" s="9" t="n">
        <v>0.0263</v>
      </c>
      <c r="C97" s="10" t="inlineStr">
        <is>
          <t>About</t>
        </is>
      </c>
      <c r="D97" s="8" t="inlineStr">
        <is>
          <t>국내의류 중저가 명품브랜드</t>
        </is>
      </c>
      <c r="E97" s="9" t="n">
        <v>0.0526</v>
      </c>
      <c r="F97" s="10" t="inlineStr">
        <is>
          <t>Trend</t>
        </is>
      </c>
      <c r="G97" s="11" t="n"/>
      <c r="H97" s="13" t="n"/>
      <c r="I97" s="10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5.75" customHeight="1" s="1">
      <c r="A98" s="8" t="inlineStr">
        <is>
          <t>엔하이픈 헌혈</t>
        </is>
      </c>
      <c r="B98" s="9" t="n">
        <v>0.0263</v>
      </c>
      <c r="C98" s="10" t="inlineStr">
        <is>
          <t>Trend</t>
        </is>
      </c>
      <c r="D98" s="8" t="inlineStr">
        <is>
          <t>에스파 핀터</t>
        </is>
      </c>
      <c r="E98" s="9" t="n">
        <v>0.0526</v>
      </c>
      <c r="F98" s="10" t="inlineStr">
        <is>
          <t>Trend</t>
        </is>
      </c>
      <c r="G98" s="11" t="n"/>
      <c r="H98" s="13" t="n"/>
      <c r="I98" s="10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</row>
    <row r="99" ht="15.75" customHeight="1" s="1">
      <c r="A99" s="8" t="inlineStr">
        <is>
          <t>온드</t>
        </is>
      </c>
      <c r="B99" s="9" t="n">
        <v>0.0263</v>
      </c>
      <c r="C99" s="10" t="inlineStr">
        <is>
          <t>People</t>
        </is>
      </c>
      <c r="D99" s="8" t="inlineStr">
        <is>
          <t>티빙 쿠팡플레이</t>
        </is>
      </c>
      <c r="E99" s="9" t="n">
        <v>0.0526</v>
      </c>
      <c r="F99" s="10" t="inlineStr">
        <is>
          <t>About</t>
        </is>
      </c>
      <c r="G99" s="11" t="n"/>
      <c r="H99" s="13" t="n"/>
      <c r="I99" s="10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</row>
    <row r="100" ht="15.75" customHeight="1" s="1">
      <c r="A100" s="8" t="inlineStr">
        <is>
          <t>왕과사는남자 촬영실록</t>
        </is>
      </c>
      <c r="B100" s="9" t="n">
        <v>0.0263</v>
      </c>
      <c r="C100" s="10" t="inlineStr">
        <is>
          <t>Trend</t>
        </is>
      </c>
      <c r="D100" s="11" t="inlineStr">
        <is>
          <t>D.saio</t>
        </is>
      </c>
      <c r="E100" s="9" t="n">
        <v>0.0526</v>
      </c>
      <c r="F100" s="10" t="inlineStr">
        <is>
          <t>About</t>
        </is>
      </c>
      <c r="G100" s="11" t="n"/>
      <c r="H100" s="13" t="n"/>
      <c r="I100" s="10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 ht="15.75" customHeight="1" s="1">
      <c r="A101" s="8" t="inlineStr">
        <is>
          <t>중저가의류브랜드</t>
        </is>
      </c>
      <c r="B101" s="9" t="n">
        <v>0.0263</v>
      </c>
      <c r="C101" s="10" t="inlineStr">
        <is>
          <t>Trend</t>
        </is>
      </c>
      <c r="D101" s="8" t="inlineStr">
        <is>
          <t>옷 플래폼</t>
        </is>
      </c>
      <c r="E101" s="9" t="n">
        <v>0.0526</v>
      </c>
      <c r="F101" s="10" t="inlineStr">
        <is>
          <t>Media</t>
        </is>
      </c>
      <c r="G101" s="11" t="n"/>
      <c r="H101" s="13" t="n"/>
      <c r="I101" s="10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 ht="15.75" customHeight="1" s="1">
      <c r="A102" s="8" t="inlineStr">
        <is>
          <t>카카오모빌리티 매체설명회</t>
        </is>
      </c>
      <c r="B102" s="9" t="n">
        <v>0.0263</v>
      </c>
      <c r="C102" s="10" t="inlineStr">
        <is>
          <t>Media</t>
        </is>
      </c>
      <c r="D102" s="8" t="inlineStr">
        <is>
          <t>트래블웰렛 광고 단가</t>
        </is>
      </c>
      <c r="E102" s="9" t="n">
        <v>0.0526</v>
      </c>
      <c r="F102" s="10" t="inlineStr">
        <is>
          <t>About</t>
        </is>
      </c>
      <c r="G102" s="11" t="n"/>
      <c r="H102" s="13" t="n"/>
      <c r="I102" s="10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</row>
    <row r="103" ht="15.75" customHeight="1" s="1">
      <c r="A103" s="8" t="inlineStr">
        <is>
          <t>네이버 선물 지면</t>
        </is>
      </c>
      <c r="B103" s="9" t="n">
        <v>0.0263</v>
      </c>
      <c r="C103" s="10" t="inlineStr">
        <is>
          <t>Media</t>
        </is>
      </c>
      <c r="D103" s="8" t="inlineStr">
        <is>
          <t>디엠씨미디어</t>
        </is>
      </c>
      <c r="E103" s="9" t="n">
        <v>0.1053</v>
      </c>
      <c r="F103" s="10" t="inlineStr">
        <is>
          <t>About</t>
        </is>
      </c>
      <c r="G103" s="11" t="n"/>
      <c r="H103" s="13" t="n"/>
      <c r="I103" s="10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</row>
    <row r="104" ht="15.75" customHeight="1" s="1">
      <c r="A104" s="8" t="inlineStr">
        <is>
          <t>디엠씨미디어 이준희</t>
        </is>
      </c>
      <c r="B104" s="9" t="n">
        <v>0.0263</v>
      </c>
      <c r="C104" s="10" t="inlineStr">
        <is>
          <t>About</t>
        </is>
      </c>
      <c r="D104" s="11" t="n"/>
      <c r="E104" s="13" t="n"/>
      <c r="F104" s="10" t="n"/>
      <c r="G104" s="11" t="n"/>
      <c r="H104" s="13" t="n"/>
      <c r="I104" s="10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</row>
    <row r="105" ht="15.75" customHeight="1" s="1">
      <c r="A105" s="8" t="inlineStr">
        <is>
          <t>엠넷플러스 mau</t>
        </is>
      </c>
      <c r="B105" s="9" t="n">
        <v>0.0263</v>
      </c>
      <c r="C105" s="10" t="inlineStr">
        <is>
          <t>Media</t>
        </is>
      </c>
      <c r="D105" s="11" t="n"/>
      <c r="E105" s="13" t="n"/>
      <c r="F105" s="10" t="n"/>
      <c r="G105" s="11" t="n"/>
      <c r="H105" s="13" t="n"/>
      <c r="I105" s="10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</row>
    <row r="106" ht="15.75" customHeight="1" s="1">
      <c r="A106" s="8" t="inlineStr">
        <is>
          <t>카카오톡 채널 기존 유형 번경</t>
        </is>
      </c>
      <c r="B106" s="9" t="n">
        <v>0.0263</v>
      </c>
      <c r="C106" s="10" t="inlineStr">
        <is>
          <t>Media</t>
        </is>
      </c>
      <c r="D106" s="11" t="n"/>
      <c r="E106" s="13" t="n"/>
      <c r="F106" s="10" t="n"/>
      <c r="G106" s="11" t="n"/>
      <c r="H106" s="13" t="n"/>
      <c r="I106" s="10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</row>
    <row r="107" ht="15.75" customHeight="1" s="1">
      <c r="A107" s="8" t="inlineStr">
        <is>
          <t>디엠씨미디어</t>
        </is>
      </c>
      <c r="B107" s="9" t="n">
        <v>0.0526</v>
      </c>
      <c r="C107" s="10" t="inlineStr">
        <is>
          <t>About</t>
        </is>
      </c>
      <c r="D107" s="11" t="n"/>
      <c r="E107" s="13" t="n"/>
      <c r="F107" s="10" t="n"/>
      <c r="G107" s="11" t="n"/>
      <c r="H107" s="13" t="n"/>
      <c r="I107" s="10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 ht="15.75" customHeight="1" s="1">
      <c r="A108" s="11" t="n"/>
      <c r="B108" s="13" t="n"/>
      <c r="C108" s="10" t="n"/>
      <c r="D108" s="11" t="n"/>
      <c r="E108" s="13" t="n"/>
      <c r="F108" s="10" t="n"/>
      <c r="G108" s="11" t="n"/>
      <c r="H108" s="13" t="n"/>
      <c r="I108" s="10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</row>
    <row r="109" ht="15.75" customHeight="1" s="1">
      <c r="A109" s="11" t="n"/>
      <c r="B109" s="13" t="n"/>
      <c r="C109" s="10" t="n"/>
      <c r="D109" s="11" t="n"/>
      <c r="E109" s="13" t="n"/>
      <c r="F109" s="10" t="n"/>
      <c r="G109" s="11" t="n"/>
      <c r="H109" s="13" t="n"/>
      <c r="I109" s="10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</row>
    <row r="110" ht="15.75" customHeight="1" s="1">
      <c r="A110" s="11" t="n"/>
      <c r="B110" s="13" t="n"/>
      <c r="C110" s="10" t="n"/>
      <c r="D110" s="11" t="n"/>
      <c r="E110" s="13" t="n"/>
      <c r="F110" s="10" t="n"/>
      <c r="G110" s="11" t="n"/>
      <c r="H110" s="13" t="n"/>
      <c r="I110" s="10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</row>
    <row r="111" ht="15.75" customHeight="1" s="1">
      <c r="A111" s="11" t="n"/>
      <c r="B111" s="13" t="n"/>
      <c r="C111" s="10" t="n"/>
      <c r="D111" s="11" t="n"/>
      <c r="E111" s="13" t="n"/>
      <c r="F111" s="10" t="n"/>
      <c r="G111" s="11" t="n"/>
      <c r="H111" s="13" t="n"/>
      <c r="I111" s="10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</row>
    <row r="112" ht="15.75" customHeight="1" s="1">
      <c r="A112" s="11" t="n"/>
      <c r="B112" s="13" t="n"/>
      <c r="C112" s="10" t="n"/>
      <c r="D112" s="11" t="n"/>
      <c r="E112" s="13" t="n"/>
      <c r="F112" s="10" t="n"/>
      <c r="G112" s="11" t="n"/>
      <c r="H112" s="13" t="n"/>
      <c r="I112" s="10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</row>
    <row r="113" ht="15.75" customHeight="1" s="1">
      <c r="A113" s="11" t="n"/>
      <c r="B113" s="13" t="n"/>
      <c r="C113" s="10" t="n"/>
      <c r="D113" s="11" t="n"/>
      <c r="E113" s="13" t="n"/>
      <c r="F113" s="10" t="n"/>
      <c r="G113" s="11" t="n"/>
      <c r="H113" s="13" t="n"/>
      <c r="I113" s="10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</row>
    <row r="114" ht="15.75" customHeight="1" s="1">
      <c r="A114" s="11" t="n"/>
      <c r="B114" s="13" t="n"/>
      <c r="C114" s="10" t="n"/>
      <c r="D114" s="11" t="n"/>
      <c r="E114" s="13" t="n"/>
      <c r="F114" s="10" t="n"/>
      <c r="G114" s="11" t="n"/>
      <c r="H114" s="13" t="n"/>
      <c r="I114" s="10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</row>
    <row r="115" ht="15.75" customHeight="1" s="1">
      <c r="A115" s="14" t="n"/>
      <c r="B115" s="15" t="n"/>
      <c r="C115" s="16" t="n"/>
      <c r="D115" s="14" t="n"/>
      <c r="E115" s="15" t="n"/>
      <c r="F115" s="16" t="n"/>
      <c r="G115" s="14" t="n"/>
      <c r="H115" s="15" t="n"/>
      <c r="I115" s="16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</row>
  </sheetData>
  <mergeCells count="1">
    <mergeCell ref="C1:U1"/>
  </mergeCells>
  <dataValidations count="3">
    <dataValidation sqref="B1" showDropDown="0" showInputMessage="0" showErrorMessage="0" allowBlank="0" type="list">
      <formula1>"1,2,3,4,5,6,7,8,9,10,11,12"</formula1>
      <formula2>0</formula2>
    </dataValidation>
    <dataValidation sqref="C3 C18:C135 F3:F135 I3:I135 L3:L135 O3:O135 R3:R135 U3:U135" showDropDown="0" showInputMessage="0" showErrorMessage="0" allowBlank="1" type="list">
      <formula1>"Trend,Media,About,Data,People"</formula1>
      <formula2>0</formula2>
    </dataValidation>
    <dataValidation sqref="C4:C17" showDropDown="0" showInputMessage="1" showErrorMessage="1" allowBlank="1" type="list">
      <formula1>"Trend,Media,About,Data,People"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27"/>
  <sheetViews>
    <sheetView showGridLines="0" zoomScaleNormal="100" workbookViewId="0">
      <selection activeCell="K26" sqref="K26"/>
    </sheetView>
  </sheetViews>
  <sheetFormatPr baseColWidth="8" defaultColWidth="8.6640625" defaultRowHeight="14.4"/>
  <cols>
    <col width="1.5546875" customWidth="1" style="1" min="1" max="1"/>
    <col width="16" customWidth="1" style="1" min="2" max="2"/>
    <col width="12" customWidth="1" style="1" min="3" max="3"/>
    <col width="2.44140625" customWidth="1" style="1" min="4" max="4"/>
    <col width="20" customWidth="1" style="1" min="5" max="5"/>
    <col width="10" customWidth="1" style="1" min="6" max="6"/>
    <col width="2" customWidth="1" style="1" min="7" max="8"/>
    <col width="6.21875" customWidth="1" style="1" min="9" max="9"/>
    <col width="8.6640625" customWidth="1" style="1" min="10" max="11"/>
    <col width="66.5546875" customWidth="1" style="1" min="12" max="12"/>
  </cols>
  <sheetData>
    <row r="1" ht="27.75" customHeight="1" s="1">
      <c r="B1" s="143" t="inlineStr">
        <is>
          <t>4월 데이터</t>
        </is>
      </c>
    </row>
    <row r="2" ht="6" customHeight="1" s="1"/>
    <row r="3" ht="19.5" customHeight="1" s="1">
      <c r="B3" s="127" t="inlineStr">
        <is>
          <t>월간 방문 분석</t>
        </is>
      </c>
      <c r="C3" s="151" t="n"/>
      <c r="E3" s="127" t="inlineStr">
        <is>
          <t>유입분석</t>
        </is>
      </c>
      <c r="F3" s="151" t="n"/>
      <c r="I3" s="144" t="inlineStr">
        <is>
          <t>순위</t>
        </is>
      </c>
      <c r="J3" s="144" t="inlineStr">
        <is>
          <t>인기게시물 Top 10</t>
        </is>
      </c>
      <c r="K3" s="152" t="n"/>
      <c r="L3" s="151" t="n"/>
    </row>
    <row r="4" ht="16.5" customHeight="1" s="1">
      <c r="B4" s="22" t="inlineStr">
        <is>
          <t>조회수</t>
        </is>
      </c>
      <c r="C4" s="23" t="n">
        <v>1835</v>
      </c>
      <c r="E4" s="22" t="inlineStr">
        <is>
          <t>네이버 블로그_PC</t>
        </is>
      </c>
      <c r="F4" s="23" t="inlineStr">
        <is>
          <t>30.14%</t>
        </is>
      </c>
      <c r="I4" s="30" t="n">
        <v>1</v>
      </c>
      <c r="J4" s="142" t="inlineStr">
        <is>
          <t>격주 DMCian l 디엠씨미디어가 라디오 프로그램이라면, 이 경력직 3인방은 고정 게스트일거야</t>
        </is>
      </c>
      <c r="K4" s="95" t="n"/>
      <c r="L4" s="96" t="n"/>
    </row>
    <row r="5" ht="16.5" customHeight="1" s="1">
      <c r="B5" s="8" t="inlineStr">
        <is>
          <t>순방문자수</t>
        </is>
      </c>
      <c r="C5" s="25" t="n">
        <v>1105</v>
      </c>
      <c r="E5" s="8" t="inlineStr">
        <is>
          <t>네이버 통합검색_모바일</t>
        </is>
      </c>
      <c r="F5" s="25" t="inlineStr">
        <is>
          <t>17.25%</t>
        </is>
      </c>
      <c r="I5" s="31" t="n">
        <v>2</v>
      </c>
      <c r="J5" s="141" t="inlineStr">
        <is>
          <t>패션 커머스 주요 3개 플랫폼의 광고상품 살펴보기</t>
        </is>
      </c>
      <c r="K5" s="97" t="n"/>
      <c r="L5" s="98" t="n"/>
    </row>
    <row r="6" ht="16.5" customHeight="1" s="1">
      <c r="B6" s="22" t="inlineStr">
        <is>
          <t>방문횟수</t>
        </is>
      </c>
      <c r="C6" s="23" t="n">
        <v>1246</v>
      </c>
      <c r="E6" s="22" t="inlineStr">
        <is>
          <t>네이버 통합검색_PC</t>
        </is>
      </c>
      <c r="F6" s="23" t="inlineStr">
        <is>
          <t>11.81%</t>
        </is>
      </c>
      <c r="I6" s="30" t="n">
        <v>3</v>
      </c>
      <c r="J6" s="142" t="inlineStr">
        <is>
          <t>디엠씨미디어, &lt;실무자를 위한 데이터 기반 마케팅 &amp; AI 검색 최적화&gt; 웨비나 개최</t>
        </is>
      </c>
      <c r="K6" s="95" t="n"/>
      <c r="L6" s="96" t="n"/>
    </row>
    <row r="7" ht="16.5" customHeight="1" s="1">
      <c r="B7" s="8" t="inlineStr">
        <is>
          <t>재방문율</t>
        </is>
      </c>
      <c r="C7" s="25" t="inlineStr">
        <is>
          <t>5.90%</t>
        </is>
      </c>
      <c r="E7" s="11" t="inlineStr">
        <is>
          <t>gw.dmcmedia.co.kr</t>
        </is>
      </c>
      <c r="F7" s="25" t="inlineStr">
        <is>
          <t>9.59%</t>
        </is>
      </c>
      <c r="I7" s="31" t="n">
        <v>4</v>
      </c>
      <c r="J7" s="141" t="inlineStr">
        <is>
          <t>격주 DMCian l 인터뷰 차례 지나간 줄 알았는데 하자고 해서 또 열심히 하고 온 디엠씨미디어 뉴페이스 세사람</t>
        </is>
      </c>
      <c r="K7" s="97" t="n"/>
      <c r="L7" s="98" t="n"/>
    </row>
    <row r="8" ht="16.5" customHeight="1" s="1">
      <c r="B8" s="26" t="inlineStr">
        <is>
          <t>평균사용시간</t>
        </is>
      </c>
      <c r="C8" s="27" t="inlineStr">
        <is>
          <t>4m 20s</t>
        </is>
      </c>
      <c r="E8" s="26" t="inlineStr">
        <is>
          <t>네이버 블로그_모바일</t>
        </is>
      </c>
      <c r="F8" s="27" t="inlineStr">
        <is>
          <t>9.51%</t>
        </is>
      </c>
      <c r="I8" s="30" t="n">
        <v>5</v>
      </c>
      <c r="J8" s="142" t="inlineStr">
        <is>
          <t>의류소비자 60% "중저가 브랜드 사" 패션시장 판도 흔드는 초저가 플랫폼 '쉬인'</t>
        </is>
      </c>
      <c r="K8" s="95" t="n"/>
      <c r="L8" s="96" t="n"/>
    </row>
    <row r="9" ht="15" customHeight="1" s="1">
      <c r="I9" s="31" t="n">
        <v>6</v>
      </c>
      <c r="J9" s="141" t="inlineStr">
        <is>
          <t>요리조리 살펴보는 카카오톡 전면형 광고</t>
        </is>
      </c>
      <c r="K9" s="97" t="n"/>
      <c r="L9" s="98" t="n"/>
    </row>
    <row r="10" ht="19.5" customHeight="1" s="1">
      <c r="B10" s="127" t="inlineStr">
        <is>
          <t>월간조회수 추이</t>
        </is>
      </c>
      <c r="C10" s="151" t="n"/>
      <c r="E10" s="127" t="inlineStr">
        <is>
          <t>기기별 분포</t>
        </is>
      </c>
      <c r="F10" s="151" t="n"/>
      <c r="I10" s="30" t="n">
        <v>7</v>
      </c>
      <c r="J10" s="142" t="inlineStr">
        <is>
          <t>영화 '왕과 사는 남자' 열풍의 숨은 공신 쇼박스, '촬영 실록' 콘텐츠를 흥행의 동력으로 전환</t>
        </is>
      </c>
      <c r="K10" s="95" t="n"/>
      <c r="L10" s="96" t="n"/>
    </row>
    <row r="11" ht="16.5" customHeight="1" s="1">
      <c r="B11" s="24" t="inlineStr">
        <is>
          <t>2025.12</t>
        </is>
      </c>
      <c r="C11" s="23" t="n">
        <v>1408</v>
      </c>
      <c r="E11" s="22" t="inlineStr">
        <is>
          <t>모바일</t>
        </is>
      </c>
      <c r="F11" s="23" t="inlineStr">
        <is>
          <t>25.00%</t>
        </is>
      </c>
      <c r="I11" s="31" t="n">
        <v>7</v>
      </c>
      <c r="J11" s="141" t="inlineStr">
        <is>
          <t>디엠씨미디어의 3월 모임, 월간 디톡스(D-talks) 현장 스케치</t>
        </is>
      </c>
      <c r="K11" s="97" t="n"/>
      <c r="L11" s="98" t="n"/>
    </row>
    <row r="12" ht="18" customHeight="1" s="1">
      <c r="B12" s="11" t="inlineStr">
        <is>
          <t>2026.01</t>
        </is>
      </c>
      <c r="C12" s="25" t="n">
        <v>1710</v>
      </c>
      <c r="E12" s="14" t="inlineStr">
        <is>
          <t>PC</t>
        </is>
      </c>
      <c r="F12" s="29" t="inlineStr">
        <is>
          <t>75.00%</t>
        </is>
      </c>
      <c r="I12" s="30" t="n">
        <v>9</v>
      </c>
      <c r="J12" s="142" t="inlineStr">
        <is>
          <t>알쏭달쏭한 카카오 채널 메시지 유형 구분해보기</t>
        </is>
      </c>
      <c r="K12" s="95" t="n"/>
      <c r="L12" s="96" t="n"/>
    </row>
    <row r="13" ht="18" customHeight="1" s="1" thickBot="1">
      <c r="B13" s="24" t="inlineStr">
        <is>
          <t>2026.02</t>
        </is>
      </c>
      <c r="C13" s="23" t="n">
        <v>1267</v>
      </c>
      <c r="I13" s="99" t="n">
        <v>9</v>
      </c>
      <c r="J13" s="122" t="inlineStr">
        <is>
          <t>디엠씨미디어, 넷플릭스·티빙·쿠팡플레이까지…OTT 광고시장의 'Key Player'</t>
        </is>
      </c>
      <c r="K13" s="100" t="n"/>
      <c r="L13" s="101" t="n"/>
    </row>
    <row r="14" ht="19.5" customHeight="1" s="1">
      <c r="B14" s="11" t="inlineStr">
        <is>
          <t>2026.03</t>
        </is>
      </c>
      <c r="C14" s="25" t="n">
        <v>2216</v>
      </c>
      <c r="E14" s="127" t="inlineStr">
        <is>
          <t>월간 순방문자 추이</t>
        </is>
      </c>
      <c r="F14" s="151" t="n"/>
    </row>
    <row r="15" ht="26.25" customHeight="1" s="1" thickBot="1">
      <c r="B15" s="28" t="inlineStr">
        <is>
          <t>2026.04</t>
        </is>
      </c>
      <c r="C15" s="27" t="n">
        <v>1835</v>
      </c>
      <c r="E15" s="24" t="inlineStr">
        <is>
          <t>2025.12</t>
        </is>
      </c>
      <c r="F15" s="23" t="n">
        <v>732</v>
      </c>
    </row>
    <row r="16" ht="16.5" customHeight="1" s="1" thickBot="1">
      <c r="E16" s="11" t="inlineStr">
        <is>
          <t>2026.01</t>
        </is>
      </c>
      <c r="F16" s="25" t="n">
        <v>669</v>
      </c>
    </row>
    <row r="17" ht="27" customHeight="1" s="1">
      <c r="B17" s="127" t="inlineStr">
        <is>
          <t>유입 검색어</t>
        </is>
      </c>
      <c r="C17" s="151" t="n"/>
      <c r="E17" s="24" t="inlineStr">
        <is>
          <t>2026.02</t>
        </is>
      </c>
      <c r="F17" s="23" t="n">
        <v>577</v>
      </c>
    </row>
    <row r="18" ht="15.75" customHeight="1" s="1">
      <c r="B18" s="22" t="inlineStr">
        <is>
          <t>디엠씨미디어</t>
        </is>
      </c>
      <c r="C18" s="23" t="inlineStr">
        <is>
          <t>2.07%</t>
        </is>
      </c>
      <c r="E18" s="11" t="inlineStr">
        <is>
          <t>2026.03</t>
        </is>
      </c>
      <c r="F18" s="25" t="n">
        <v>1448</v>
      </c>
    </row>
    <row r="19" ht="15.75" customHeight="1" s="1" thickBot="1">
      <c r="B19" s="8" t="inlineStr">
        <is>
          <t>디엠씨미디어 블로그</t>
        </is>
      </c>
      <c r="C19" s="25" t="inlineStr">
        <is>
          <t>1.46%</t>
        </is>
      </c>
      <c r="E19" s="28" t="inlineStr">
        <is>
          <t>2026.04</t>
        </is>
      </c>
      <c r="F19" s="27" t="n">
        <v>1105</v>
      </c>
    </row>
    <row r="20" ht="16.5" customHeight="1" s="1">
      <c r="B20" s="22" t="inlineStr">
        <is>
          <t>의류 플랫폼</t>
        </is>
      </c>
      <c r="C20" s="23" t="inlineStr">
        <is>
          <t>1.15%</t>
        </is>
      </c>
    </row>
    <row r="21" ht="16.5" customHeight="1" s="1">
      <c r="B21" s="8" t="inlineStr">
        <is>
          <t>쿠팡플레이 광고</t>
        </is>
      </c>
      <c r="C21" s="25" t="inlineStr">
        <is>
          <t>1.15%</t>
        </is>
      </c>
    </row>
    <row r="22" ht="16.5" customHeight="1" s="1">
      <c r="B22" s="22" t="inlineStr">
        <is>
          <t>카톡 업데이트 프로필 광고</t>
        </is>
      </c>
      <c r="C22" s="23" t="inlineStr">
        <is>
          <t>1.07%</t>
        </is>
      </c>
    </row>
    <row r="23" ht="16.5" customHeight="1" s="1">
      <c r="B23" s="8" t="inlineStr">
        <is>
          <t>컬리n마트</t>
        </is>
      </c>
      <c r="C23" s="25" t="inlineStr">
        <is>
          <t>1.07%</t>
        </is>
      </c>
    </row>
    <row r="24" ht="16.5" customHeight="1" s="1">
      <c r="B24" s="22" t="inlineStr">
        <is>
          <t>로켓 위젯</t>
        </is>
      </c>
      <c r="C24" s="23" t="inlineStr">
        <is>
          <t>0.61%</t>
        </is>
      </c>
    </row>
    <row r="25" ht="16.5" customHeight="1" s="1">
      <c r="B25" s="8" t="inlineStr">
        <is>
          <t>디엠씨미디어 이준희</t>
        </is>
      </c>
      <c r="C25" s="25" t="inlineStr">
        <is>
          <t>0.54%</t>
        </is>
      </c>
    </row>
    <row r="26" ht="16.5" customHeight="1" s="1">
      <c r="B26" s="22" t="inlineStr">
        <is>
          <t>로켓위젯</t>
        </is>
      </c>
      <c r="C26" s="23" t="inlineStr">
        <is>
          <t>0.46%</t>
        </is>
      </c>
    </row>
    <row r="27" ht="16.5" customHeight="1" s="1">
      <c r="B27" s="54" t="inlineStr">
        <is>
          <t>옷 플랫폼</t>
        </is>
      </c>
      <c r="C27" s="29" t="inlineStr">
        <is>
          <t>0.46%</t>
        </is>
      </c>
    </row>
  </sheetData>
  <mergeCells count="8">
    <mergeCell ref="E10:F10"/>
    <mergeCell ref="B3:C3"/>
    <mergeCell ref="B10:C10"/>
    <mergeCell ref="E14:F14"/>
    <mergeCell ref="B17:C17"/>
    <mergeCell ref="J3:L3"/>
    <mergeCell ref="E3:F3"/>
    <mergeCell ref="B1:L1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</hyperlink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9"/>
  <sheetViews>
    <sheetView zoomScaleNormal="100" workbookViewId="0">
      <pane ySplit="1" topLeftCell="A275" activePane="bottomLeft" state="frozen"/>
      <selection pane="bottomLeft" activeCell="C294" sqref="C294"/>
    </sheetView>
  </sheetViews>
  <sheetFormatPr baseColWidth="8" defaultColWidth="8.88671875" defaultRowHeight="17.4"/>
  <cols>
    <col width="24.33203125" customWidth="1" style="76" min="1" max="1"/>
    <col width="11.109375" customWidth="1" style="76" min="2" max="2"/>
    <col width="51.109375" customWidth="1" style="76" min="3" max="3"/>
    <col width="11.109375" customWidth="1" style="76" min="4" max="6"/>
    <col width="9.77734375" customWidth="1" style="76" min="7" max="7"/>
    <col width="8.88671875" customWidth="1" style="76" min="8" max="16384"/>
  </cols>
  <sheetData>
    <row r="1" ht="19.5" customHeight="1" s="1">
      <c r="A1" s="102" t="inlineStr">
        <is>
          <t>카테고리</t>
        </is>
      </c>
      <c r="B1" s="102" t="inlineStr">
        <is>
          <t>날짜</t>
        </is>
      </c>
      <c r="C1" s="102" t="inlineStr">
        <is>
          <t>키워드</t>
        </is>
      </c>
      <c r="D1" s="102" t="inlineStr">
        <is>
          <t>비중(%)</t>
        </is>
      </c>
      <c r="E1" s="102" t="inlineStr">
        <is>
          <t>환산 횟수</t>
        </is>
      </c>
      <c r="F1" s="102" t="inlineStr">
        <is>
          <t>섹션</t>
        </is>
      </c>
    </row>
    <row r="2" ht="15" customHeight="1" s="1">
      <c r="A2" s="103" t="inlineStr">
        <is>
          <t>디엠씨미디어</t>
        </is>
      </c>
      <c r="B2" s="103" t="inlineStr">
        <is>
          <t>4월 3일</t>
        </is>
      </c>
      <c r="C2" s="104" t="inlineStr">
        <is>
          <t>디엠씨미디어 블로그</t>
        </is>
      </c>
      <c r="D2" s="103" t="inlineStr">
        <is>
          <t>5.88%</t>
        </is>
      </c>
      <c r="E2" s="103" t="n">
        <v>2</v>
      </c>
      <c r="F2" s="105" t="inlineStr">
        <is>
          <t>About</t>
        </is>
      </c>
    </row>
    <row r="3" ht="15" customHeight="1" s="1">
      <c r="A3" s="106" t="inlineStr">
        <is>
          <t>디엠씨미디어</t>
        </is>
      </c>
      <c r="B3" s="106" t="inlineStr">
        <is>
          <t>4월 5일</t>
        </is>
      </c>
      <c r="C3" s="107" t="inlineStr">
        <is>
          <t>디엠씨미디어 블로그</t>
        </is>
      </c>
      <c r="D3" s="106" t="inlineStr">
        <is>
          <t>4.55%</t>
        </is>
      </c>
      <c r="E3" s="106" t="n">
        <v>2</v>
      </c>
      <c r="F3" s="108" t="inlineStr">
        <is>
          <t>About</t>
        </is>
      </c>
    </row>
    <row r="4" ht="15" customHeight="1" s="1">
      <c r="A4" s="106" t="inlineStr">
        <is>
          <t>디엠씨미디어</t>
        </is>
      </c>
      <c r="B4" s="106" t="inlineStr">
        <is>
          <t>4월 6일</t>
        </is>
      </c>
      <c r="C4" s="107" t="inlineStr">
        <is>
          <t>디엠씨미디어 블로그</t>
        </is>
      </c>
      <c r="D4" s="106" t="inlineStr">
        <is>
          <t>1.69%</t>
        </is>
      </c>
      <c r="E4" s="106" t="n">
        <v>1</v>
      </c>
      <c r="F4" s="108" t="inlineStr">
        <is>
          <t>About</t>
        </is>
      </c>
    </row>
    <row r="5" ht="15" customHeight="1" s="1">
      <c r="A5" s="106" t="inlineStr">
        <is>
          <t>디엠씨미디어</t>
        </is>
      </c>
      <c r="B5" s="106" t="inlineStr">
        <is>
          <t>4월 4일</t>
        </is>
      </c>
      <c r="C5" s="107" t="inlineStr">
        <is>
          <t>디엠씨미디어 이준희</t>
        </is>
      </c>
      <c r="D5" s="106" t="inlineStr">
        <is>
          <t>20.00%</t>
        </is>
      </c>
      <c r="E5" s="106" t="n">
        <v>1</v>
      </c>
      <c r="F5" s="108" t="inlineStr">
        <is>
          <t>About</t>
        </is>
      </c>
    </row>
    <row r="6" ht="15" customHeight="1" s="1">
      <c r="A6" s="106" t="inlineStr">
        <is>
          <t>디엠씨미디어</t>
        </is>
      </c>
      <c r="B6" s="106" t="inlineStr">
        <is>
          <t>4월 2일</t>
        </is>
      </c>
      <c r="C6" s="107" t="inlineStr">
        <is>
          <t>디엠씨미디어 이준희</t>
        </is>
      </c>
      <c r="D6" s="106" t="inlineStr">
        <is>
          <t>1.30%</t>
        </is>
      </c>
      <c r="E6" s="106" t="n">
        <v>1</v>
      </c>
      <c r="F6" s="108" t="inlineStr">
        <is>
          <t>About</t>
        </is>
      </c>
    </row>
    <row r="7" ht="15" customHeight="1" s="1">
      <c r="A7" s="106" t="inlineStr">
        <is>
          <t>디엠씨미디어</t>
        </is>
      </c>
      <c r="B7" s="106" t="inlineStr">
        <is>
          <t>4월 2일</t>
        </is>
      </c>
      <c r="C7" s="107" t="inlineStr">
        <is>
          <t>DMC미디어</t>
        </is>
      </c>
      <c r="D7" s="106" t="inlineStr">
        <is>
          <t>2.60%</t>
        </is>
      </c>
      <c r="E7" s="106" t="n">
        <v>2</v>
      </c>
      <c r="F7" s="108" t="inlineStr">
        <is>
          <t>About</t>
        </is>
      </c>
    </row>
    <row r="8" ht="15" customHeight="1" s="1">
      <c r="A8" s="106" t="inlineStr">
        <is>
          <t>디엠씨미디어</t>
        </is>
      </c>
      <c r="B8" s="106" t="inlineStr">
        <is>
          <t>4월 1일</t>
        </is>
      </c>
      <c r="C8" s="107" t="inlineStr">
        <is>
          <t>디엠씨미디어</t>
        </is>
      </c>
      <c r="D8" s="106" t="inlineStr">
        <is>
          <t>10.81%</t>
        </is>
      </c>
      <c r="E8" s="106" t="n">
        <v>4</v>
      </c>
      <c r="F8" s="108" t="inlineStr">
        <is>
          <t>About</t>
        </is>
      </c>
    </row>
    <row r="9" ht="15" customHeight="1" s="1">
      <c r="A9" s="106" t="inlineStr">
        <is>
          <t>디엠씨미디어</t>
        </is>
      </c>
      <c r="B9" s="106" t="inlineStr">
        <is>
          <t>4월 2일</t>
        </is>
      </c>
      <c r="C9" s="107" t="inlineStr">
        <is>
          <t>DMC미디어 이인성</t>
        </is>
      </c>
      <c r="D9" s="106" t="inlineStr">
        <is>
          <t>1.30%</t>
        </is>
      </c>
      <c r="E9" s="106" t="n">
        <v>1</v>
      </c>
      <c r="F9" s="108" t="inlineStr">
        <is>
          <t>About</t>
        </is>
      </c>
    </row>
    <row r="10" ht="15" customHeight="1" s="1">
      <c r="A10" s="106" t="inlineStr">
        <is>
          <t>디엠씨미디어</t>
        </is>
      </c>
      <c r="B10" s="106" t="inlineStr">
        <is>
          <t>4월 2일</t>
        </is>
      </c>
      <c r="C10" s="107" t="inlineStr">
        <is>
          <t>디엠씨미디어 D.SaiO</t>
        </is>
      </c>
      <c r="D10" s="106" t="inlineStr">
        <is>
          <t>1.30%</t>
        </is>
      </c>
      <c r="E10" s="106" t="n">
        <v>1</v>
      </c>
      <c r="F10" s="108" t="inlineStr">
        <is>
          <t>About</t>
        </is>
      </c>
    </row>
    <row r="11" ht="15" customHeight="1" s="1">
      <c r="A11" s="106" t="inlineStr">
        <is>
          <t>디엠씨미디어</t>
        </is>
      </c>
      <c r="B11" s="106" t="inlineStr">
        <is>
          <t>4월 1일</t>
        </is>
      </c>
      <c r="C11" s="107" t="inlineStr">
        <is>
          <t>디엠씨미디어</t>
        </is>
      </c>
      <c r="D11" s="106" t="inlineStr">
        <is>
          <t>8.11%</t>
        </is>
      </c>
      <c r="E11" s="106" t="n">
        <v>3</v>
      </c>
      <c r="F11" s="108" t="inlineStr">
        <is>
          <t>About</t>
        </is>
      </c>
    </row>
    <row r="12" ht="15" customHeight="1" s="1">
      <c r="A12" s="106" t="inlineStr">
        <is>
          <t>디엠씨미디어</t>
        </is>
      </c>
      <c r="B12" s="106" t="inlineStr">
        <is>
          <t>4월 2일</t>
        </is>
      </c>
      <c r="C12" s="107" t="inlineStr">
        <is>
          <t>디엠씨미디어 솔루션</t>
        </is>
      </c>
      <c r="D12" s="106" t="inlineStr">
        <is>
          <t>1.30%</t>
        </is>
      </c>
      <c r="E12" s="106" t="n">
        <v>1</v>
      </c>
      <c r="F12" s="108" t="inlineStr">
        <is>
          <t>About</t>
        </is>
      </c>
    </row>
    <row r="13" ht="15" customHeight="1" s="1">
      <c r="A13" s="106" t="inlineStr">
        <is>
          <t>디엠씨미디어</t>
        </is>
      </c>
      <c r="B13" s="106" t="inlineStr">
        <is>
          <t>4월 7일</t>
        </is>
      </c>
      <c r="C13" s="107" t="inlineStr">
        <is>
          <t>DMC미디어 무료 광고 리포트 종류와 열람 방법 그래프</t>
        </is>
      </c>
      <c r="D13" s="106" t="inlineStr">
        <is>
          <t>1.59%</t>
        </is>
      </c>
      <c r="E13" s="106" t="n">
        <v>1</v>
      </c>
      <c r="F13" s="108" t="inlineStr">
        <is>
          <t>About</t>
        </is>
      </c>
    </row>
    <row r="14" ht="15" customHeight="1" s="1">
      <c r="A14" s="106" t="inlineStr">
        <is>
          <t>디엠씨미디어</t>
        </is>
      </c>
      <c r="B14" s="106" t="inlineStr">
        <is>
          <t>4월 5일</t>
        </is>
      </c>
      <c r="C14" s="107" t="inlineStr">
        <is>
          <t>DMC리포트</t>
        </is>
      </c>
      <c r="D14" s="106" t="inlineStr">
        <is>
          <t>2.27%</t>
        </is>
      </c>
      <c r="E14" s="106" t="n">
        <v>1</v>
      </c>
      <c r="F14" s="109" t="inlineStr">
        <is>
          <t>Trend</t>
        </is>
      </c>
    </row>
    <row r="15" ht="15" customHeight="1" s="1">
      <c r="A15" s="106" t="inlineStr">
        <is>
          <t>디엠씨미디어</t>
        </is>
      </c>
      <c r="B15" s="106" t="inlineStr">
        <is>
          <t>4월 2일</t>
        </is>
      </c>
      <c r="C15" s="107" t="inlineStr">
        <is>
          <t>디엠씨미디어</t>
        </is>
      </c>
      <c r="D15" s="106" t="inlineStr">
        <is>
          <t>1.30%</t>
        </is>
      </c>
      <c r="E15" s="106" t="n">
        <v>1</v>
      </c>
      <c r="F15" s="108" t="inlineStr">
        <is>
          <t>About</t>
        </is>
      </c>
    </row>
    <row r="16" ht="15" customHeight="1" s="1">
      <c r="A16" s="106" t="inlineStr">
        <is>
          <t>디엠씨미디어</t>
        </is>
      </c>
      <c r="B16" s="106" t="inlineStr">
        <is>
          <t>4월 7일</t>
        </is>
      </c>
      <c r="C16" s="107" t="inlineStr">
        <is>
          <t>디엠씨미디어</t>
        </is>
      </c>
      <c r="D16" s="106" t="inlineStr">
        <is>
          <t>1.59%</t>
        </is>
      </c>
      <c r="E16" s="106" t="n">
        <v>1</v>
      </c>
      <c r="F16" s="108" t="inlineStr">
        <is>
          <t>About</t>
        </is>
      </c>
    </row>
    <row r="17" ht="15" customHeight="1" s="1">
      <c r="A17" s="106" t="inlineStr">
        <is>
          <t>디엠씨미디어</t>
        </is>
      </c>
      <c r="B17" s="106" t="inlineStr">
        <is>
          <t>4월 9일</t>
        </is>
      </c>
      <c r="C17" s="107" t="inlineStr">
        <is>
          <t>디엠씨미디어 블로그</t>
        </is>
      </c>
      <c r="D17" s="106" t="inlineStr">
        <is>
          <t>5.41%</t>
        </is>
      </c>
      <c r="E17" s="106" t="n">
        <v>2</v>
      </c>
      <c r="F17" s="108" t="inlineStr">
        <is>
          <t>About</t>
        </is>
      </c>
    </row>
    <row r="18" ht="15" customHeight="1" s="1">
      <c r="A18" s="106" t="inlineStr">
        <is>
          <t>디엠씨미디어</t>
        </is>
      </c>
      <c r="B18" s="106" t="inlineStr">
        <is>
          <t>4월 11일</t>
        </is>
      </c>
      <c r="C18" s="107" t="inlineStr">
        <is>
          <t>DMC미디어 생일복지</t>
        </is>
      </c>
      <c r="D18" s="106" t="inlineStr">
        <is>
          <t>7.69%</t>
        </is>
      </c>
      <c r="E18" s="106" t="n">
        <v>1</v>
      </c>
      <c r="F18" s="110" t="inlineStr">
        <is>
          <t>People</t>
        </is>
      </c>
    </row>
    <row r="19" ht="15" customHeight="1" s="1">
      <c r="A19" s="106" t="inlineStr">
        <is>
          <t>디엠씨미디어</t>
        </is>
      </c>
      <c r="B19" s="106" t="inlineStr">
        <is>
          <t>4월 10일</t>
        </is>
      </c>
      <c r="C19" s="107" t="inlineStr">
        <is>
          <t>D SAIO</t>
        </is>
      </c>
      <c r="D19" s="106" t="inlineStr">
        <is>
          <t>3.85%</t>
        </is>
      </c>
      <c r="E19" s="106" t="n">
        <v>1</v>
      </c>
      <c r="F19" s="108" t="inlineStr">
        <is>
          <t>About</t>
        </is>
      </c>
    </row>
    <row r="20" ht="15" customHeight="1" s="1">
      <c r="A20" s="106" t="inlineStr">
        <is>
          <t>디엠씨미디어</t>
        </is>
      </c>
      <c r="B20" s="106" t="inlineStr">
        <is>
          <t>4월 11일</t>
        </is>
      </c>
      <c r="C20" s="107" t="inlineStr">
        <is>
          <t>디엠씨미디어</t>
        </is>
      </c>
      <c r="D20" s="106" t="inlineStr">
        <is>
          <t>7.69%</t>
        </is>
      </c>
      <c r="E20" s="106" t="n">
        <v>1</v>
      </c>
      <c r="F20" s="108" t="inlineStr">
        <is>
          <t>About</t>
        </is>
      </c>
    </row>
    <row r="21" ht="15" customHeight="1" s="1">
      <c r="A21" s="106" t="inlineStr">
        <is>
          <t>디엠씨미디어</t>
        </is>
      </c>
      <c r="B21" s="106" t="inlineStr">
        <is>
          <t>4월 12일</t>
        </is>
      </c>
      <c r="C21" s="107" t="inlineStr">
        <is>
          <t>DMC 리포트 의류 소셜미디어</t>
        </is>
      </c>
      <c r="D21" s="106" t="inlineStr">
        <is>
          <t>4.76%</t>
        </is>
      </c>
      <c r="E21" s="106" t="n">
        <v>1</v>
      </c>
      <c r="F21" s="109" t="inlineStr">
        <is>
          <t>Trend</t>
        </is>
      </c>
    </row>
    <row r="22" ht="15" customHeight="1" s="1">
      <c r="A22" s="106" t="inlineStr">
        <is>
          <t>디엠씨미디어</t>
        </is>
      </c>
      <c r="B22" s="106" t="inlineStr">
        <is>
          <t>4월 10일</t>
        </is>
      </c>
      <c r="C22" s="107" t="inlineStr">
        <is>
          <t>DMC 블로그</t>
        </is>
      </c>
      <c r="D22" s="106" t="inlineStr">
        <is>
          <t>3.85%</t>
        </is>
      </c>
      <c r="E22" s="106" t="n">
        <v>1</v>
      </c>
      <c r="F22" s="108" t="inlineStr">
        <is>
          <t>About</t>
        </is>
      </c>
    </row>
    <row r="23" ht="15" customHeight="1" s="1">
      <c r="A23" s="106" t="inlineStr">
        <is>
          <t>디엠씨미디어</t>
        </is>
      </c>
      <c r="B23" s="106" t="inlineStr">
        <is>
          <t>4월 12일</t>
        </is>
      </c>
      <c r="C23" s="107" t="inlineStr">
        <is>
          <t>디엠씨미디어 SEO 솔루션</t>
        </is>
      </c>
      <c r="D23" s="106" t="inlineStr">
        <is>
          <t>4.76%</t>
        </is>
      </c>
      <c r="E23" s="106" t="n">
        <v>1</v>
      </c>
      <c r="F23" s="108" t="inlineStr">
        <is>
          <t>About</t>
        </is>
      </c>
    </row>
    <row r="24" ht="15" customHeight="1" s="1">
      <c r="A24" s="106" t="inlineStr">
        <is>
          <t>디엠씨미디어</t>
        </is>
      </c>
      <c r="B24" s="106" t="inlineStr">
        <is>
          <t>4월 13일</t>
        </is>
      </c>
      <c r="C24" s="107" t="inlineStr">
        <is>
          <t>디엠씨미디어 해운대</t>
        </is>
      </c>
      <c r="D24" s="106" t="inlineStr">
        <is>
          <t>2.38%</t>
        </is>
      </c>
      <c r="E24" s="106" t="n">
        <v>1</v>
      </c>
      <c r="F24" s="108" t="inlineStr">
        <is>
          <t>About</t>
        </is>
      </c>
    </row>
    <row r="25" ht="15" customHeight="1" s="1">
      <c r="A25" s="106" t="inlineStr">
        <is>
          <t>디엠씨미디어</t>
        </is>
      </c>
      <c r="B25" s="106" t="inlineStr">
        <is>
          <t>4월 14일</t>
        </is>
      </c>
      <c r="C25" s="107" t="inlineStr">
        <is>
          <t>D.saio</t>
        </is>
      </c>
      <c r="D25" s="106" t="inlineStr">
        <is>
          <t>0.78%</t>
        </is>
      </c>
      <c r="E25" s="106" t="n">
        <v>1</v>
      </c>
      <c r="F25" s="108" t="inlineStr">
        <is>
          <t>About</t>
        </is>
      </c>
    </row>
    <row r="26" ht="15" customHeight="1" s="1">
      <c r="A26" s="106" t="inlineStr">
        <is>
          <t>디엠씨미디어</t>
        </is>
      </c>
      <c r="B26" s="106" t="inlineStr">
        <is>
          <t>4월 10일</t>
        </is>
      </c>
      <c r="C26" s="107" t="inlineStr">
        <is>
          <t>디엠씨미디어 후기</t>
        </is>
      </c>
      <c r="D26" s="106" t="inlineStr">
        <is>
          <t>3.85%</t>
        </is>
      </c>
      <c r="E26" s="106" t="n">
        <v>1</v>
      </c>
      <c r="F26" s="108" t="inlineStr">
        <is>
          <t>About</t>
        </is>
      </c>
    </row>
    <row r="27" ht="15" customHeight="1" s="1">
      <c r="A27" s="106" t="inlineStr">
        <is>
          <t>디엠씨미디어</t>
        </is>
      </c>
      <c r="B27" s="106" t="inlineStr">
        <is>
          <t>4월 13일</t>
        </is>
      </c>
      <c r="C27" s="107" t="inlineStr">
        <is>
          <t>디엠씨미디어</t>
        </is>
      </c>
      <c r="D27" s="106" t="inlineStr">
        <is>
          <t>2.38%</t>
        </is>
      </c>
      <c r="E27" s="106" t="n">
        <v>1</v>
      </c>
      <c r="F27" s="108" t="inlineStr">
        <is>
          <t>About</t>
        </is>
      </c>
    </row>
    <row r="28" ht="15" customHeight="1" s="1">
      <c r="A28" s="106" t="inlineStr">
        <is>
          <t>디엠씨미디어</t>
        </is>
      </c>
      <c r="B28" s="106" t="inlineStr">
        <is>
          <t>4월 14일</t>
        </is>
      </c>
      <c r="C28" s="107" t="inlineStr">
        <is>
          <t>dmc미디어</t>
        </is>
      </c>
      <c r="D28" s="106" t="inlineStr">
        <is>
          <t>0.78%</t>
        </is>
      </c>
      <c r="E28" s="106" t="n">
        <v>1</v>
      </c>
      <c r="F28" s="108" t="inlineStr">
        <is>
          <t>About</t>
        </is>
      </c>
    </row>
    <row r="29" ht="15" customHeight="1" s="1">
      <c r="A29" s="106" t="inlineStr">
        <is>
          <t>디엠씨미디어</t>
        </is>
      </c>
      <c r="B29" s="106" t="inlineStr">
        <is>
          <t>4월 8일</t>
        </is>
      </c>
      <c r="C29" s="107" t="inlineStr">
        <is>
          <t>DMC미디어 디지털 광고 성과 보고</t>
        </is>
      </c>
      <c r="D29" s="106" t="inlineStr">
        <is>
          <t>2.70%</t>
        </is>
      </c>
      <c r="E29" s="106" t="n">
        <v>1</v>
      </c>
      <c r="F29" s="108" t="inlineStr">
        <is>
          <t>About</t>
        </is>
      </c>
    </row>
    <row r="30" ht="15" customHeight="1" s="1">
      <c r="A30" s="106" t="inlineStr">
        <is>
          <t>디엠씨미디어</t>
        </is>
      </c>
      <c r="B30" s="106" t="inlineStr">
        <is>
          <t>4월 8일</t>
        </is>
      </c>
      <c r="C30" s="107" t="inlineStr">
        <is>
          <t>디엠씨미디어 블로그</t>
        </is>
      </c>
      <c r="D30" s="106" t="inlineStr">
        <is>
          <t>2.70%</t>
        </is>
      </c>
      <c r="E30" s="106" t="n">
        <v>1</v>
      </c>
      <c r="F30" s="108" t="inlineStr">
        <is>
          <t>About</t>
        </is>
      </c>
    </row>
    <row r="31" ht="15" customHeight="1" s="1">
      <c r="A31" s="106" t="inlineStr">
        <is>
          <t>디엠씨미디어</t>
        </is>
      </c>
      <c r="B31" s="106" t="inlineStr">
        <is>
          <t>4월 9일</t>
        </is>
      </c>
      <c r="C31" s="107" t="inlineStr">
        <is>
          <t>디엠씨 비엔나</t>
        </is>
      </c>
      <c r="D31" s="106" t="inlineStr">
        <is>
          <t>2.70%</t>
        </is>
      </c>
      <c r="E31" s="106" t="n">
        <v>1</v>
      </c>
      <c r="F31" s="108" t="inlineStr">
        <is>
          <t>About</t>
        </is>
      </c>
    </row>
    <row r="32" ht="15" customHeight="1" s="1">
      <c r="A32" s="106" t="inlineStr">
        <is>
          <t>디엠씨미디어</t>
        </is>
      </c>
      <c r="B32" s="106" t="inlineStr">
        <is>
          <t>4월 8일</t>
        </is>
      </c>
      <c r="C32" s="107" t="inlineStr">
        <is>
          <t>디엠씨미디어 이준희</t>
        </is>
      </c>
      <c r="D32" s="106" t="inlineStr">
        <is>
          <t>5.41%</t>
        </is>
      </c>
      <c r="E32" s="106" t="n">
        <v>2</v>
      </c>
      <c r="F32" s="108" t="inlineStr">
        <is>
          <t>About</t>
        </is>
      </c>
    </row>
    <row r="33" ht="15" customHeight="1" s="1">
      <c r="A33" s="106" t="inlineStr">
        <is>
          <t>디엠씨미디어</t>
        </is>
      </c>
      <c r="B33" s="106" t="inlineStr">
        <is>
          <t>4월 8일</t>
        </is>
      </c>
      <c r="C33" s="107" t="inlineStr">
        <is>
          <t>디엠씨미디어</t>
        </is>
      </c>
      <c r="D33" s="106" t="inlineStr">
        <is>
          <t>5.41%</t>
        </is>
      </c>
      <c r="E33" s="106" t="n">
        <v>2</v>
      </c>
      <c r="F33" s="108" t="inlineStr">
        <is>
          <t>About</t>
        </is>
      </c>
    </row>
    <row r="34" ht="15" customHeight="1" s="1">
      <c r="A34" s="106" t="inlineStr">
        <is>
          <t>디엠씨미디어</t>
        </is>
      </c>
      <c r="B34" s="106" t="inlineStr">
        <is>
          <t>4월 16일</t>
        </is>
      </c>
      <c r="C34" s="107" t="inlineStr">
        <is>
          <t>디엠씨미디어 공채</t>
        </is>
      </c>
      <c r="D34" s="106" t="inlineStr">
        <is>
          <t>4.55%</t>
        </is>
      </c>
      <c r="E34" s="106" t="n">
        <v>2</v>
      </c>
      <c r="F34" s="108" t="inlineStr">
        <is>
          <t>About</t>
        </is>
      </c>
    </row>
    <row r="35" ht="15" customHeight="1" s="1">
      <c r="A35" s="106" t="inlineStr">
        <is>
          <t>디엠씨미디어</t>
        </is>
      </c>
      <c r="B35" s="106" t="inlineStr">
        <is>
          <t>4월 19일</t>
        </is>
      </c>
      <c r="C35" s="107" t="inlineStr">
        <is>
          <t>dmc공식몰</t>
        </is>
      </c>
      <c r="D35" s="106" t="inlineStr">
        <is>
          <t>5.56%</t>
        </is>
      </c>
      <c r="E35" s="106" t="n">
        <v>1</v>
      </c>
      <c r="F35" s="108" t="inlineStr">
        <is>
          <t>About</t>
        </is>
      </c>
    </row>
    <row r="36" ht="15" customHeight="1" s="1">
      <c r="A36" s="106" t="inlineStr">
        <is>
          <t>디엠씨미디어</t>
        </is>
      </c>
      <c r="B36" s="106" t="inlineStr">
        <is>
          <t>4월 15일</t>
        </is>
      </c>
      <c r="C36" s="107" t="inlineStr">
        <is>
          <t>dmc미디어</t>
        </is>
      </c>
      <c r="D36" s="106" t="inlineStr">
        <is>
          <t>0.87%</t>
        </is>
      </c>
      <c r="E36" s="106" t="n">
        <v>1</v>
      </c>
      <c r="F36" s="108" t="inlineStr">
        <is>
          <t>About</t>
        </is>
      </c>
    </row>
    <row r="37" ht="15" customHeight="1" s="1">
      <c r="A37" s="106" t="inlineStr">
        <is>
          <t>디엠씨미디어</t>
        </is>
      </c>
      <c r="B37" s="106" t="inlineStr">
        <is>
          <t>4월 17일</t>
        </is>
      </c>
      <c r="C37" s="107" t="inlineStr">
        <is>
          <t>DMC미디어</t>
        </is>
      </c>
      <c r="D37" s="106" t="inlineStr">
        <is>
          <t>1.75%</t>
        </is>
      </c>
      <c r="E37" s="106" t="n">
        <v>1</v>
      </c>
      <c r="F37" s="108" t="inlineStr">
        <is>
          <t>About</t>
        </is>
      </c>
    </row>
    <row r="38" ht="15" customHeight="1" s="1">
      <c r="A38" s="106" t="inlineStr">
        <is>
          <t>디엠씨미디어</t>
        </is>
      </c>
      <c r="B38" s="106" t="inlineStr">
        <is>
          <t>4월 20일</t>
        </is>
      </c>
      <c r="C38" s="107" t="inlineStr">
        <is>
          <t>디엠씨미디어 이준희</t>
        </is>
      </c>
      <c r="D38" s="106" t="inlineStr">
        <is>
          <t>3.33%</t>
        </is>
      </c>
      <c r="E38" s="106" t="n">
        <v>1</v>
      </c>
      <c r="F38" s="108" t="inlineStr">
        <is>
          <t>About</t>
        </is>
      </c>
    </row>
    <row r="39" ht="15" customHeight="1" s="1">
      <c r="A39" s="106" t="inlineStr">
        <is>
          <t>디엠씨미디어</t>
        </is>
      </c>
      <c r="B39" s="106" t="inlineStr">
        <is>
          <t>4월 17일</t>
        </is>
      </c>
      <c r="C39" s="107" t="inlineStr">
        <is>
          <t>디엠씨미디어</t>
        </is>
      </c>
      <c r="D39" s="106" t="inlineStr">
        <is>
          <t>1.75%</t>
        </is>
      </c>
      <c r="E39" s="106" t="n">
        <v>1</v>
      </c>
      <c r="F39" s="108" t="inlineStr">
        <is>
          <t>About</t>
        </is>
      </c>
    </row>
    <row r="40" ht="15" customHeight="1" s="1">
      <c r="A40" s="106" t="inlineStr">
        <is>
          <t>디엠씨미디어</t>
        </is>
      </c>
      <c r="B40" s="106" t="inlineStr">
        <is>
          <t>4월 17일</t>
        </is>
      </c>
      <c r="C40" s="107" t="inlineStr">
        <is>
          <t>디엠씨미디어</t>
        </is>
      </c>
      <c r="D40" s="106" t="inlineStr">
        <is>
          <t>1.75%</t>
        </is>
      </c>
      <c r="E40" s="106" t="n">
        <v>1</v>
      </c>
      <c r="F40" s="108" t="inlineStr">
        <is>
          <t>About</t>
        </is>
      </c>
    </row>
    <row r="41" ht="15" customHeight="1" s="1">
      <c r="A41" s="106" t="inlineStr">
        <is>
          <t>디엠씨미디어</t>
        </is>
      </c>
      <c r="B41" s="106" t="inlineStr">
        <is>
          <t>4월 21일</t>
        </is>
      </c>
      <c r="C41" s="107" t="inlineStr">
        <is>
          <t>dmc미디어</t>
        </is>
      </c>
      <c r="D41" s="106" t="inlineStr">
        <is>
          <t>4.08%</t>
        </is>
      </c>
      <c r="E41" s="106" t="n">
        <v>2</v>
      </c>
      <c r="F41" s="108" t="inlineStr">
        <is>
          <t>About</t>
        </is>
      </c>
    </row>
    <row r="42" ht="15" customHeight="1" s="1">
      <c r="A42" s="106" t="inlineStr">
        <is>
          <t>디엠씨미디어</t>
        </is>
      </c>
      <c r="B42" s="106" t="inlineStr">
        <is>
          <t>4월 20일</t>
        </is>
      </c>
      <c r="C42" s="107" t="inlineStr">
        <is>
          <t>렙사 디엠씨</t>
        </is>
      </c>
      <c r="D42" s="106" t="inlineStr">
        <is>
          <t>3.33%</t>
        </is>
      </c>
      <c r="E42" s="106" t="n">
        <v>1</v>
      </c>
      <c r="F42" s="110" t="inlineStr">
        <is>
          <t>People</t>
        </is>
      </c>
    </row>
    <row r="43" ht="15" customHeight="1" s="1">
      <c r="A43" s="106" t="inlineStr">
        <is>
          <t>디엠씨미디어</t>
        </is>
      </c>
      <c r="B43" s="106" t="inlineStr">
        <is>
          <t>4월 21일</t>
        </is>
      </c>
      <c r="C43" s="107" t="inlineStr">
        <is>
          <t>디엠씨미디어</t>
        </is>
      </c>
      <c r="D43" s="106" t="inlineStr">
        <is>
          <t>2.04%</t>
        </is>
      </c>
      <c r="E43" s="106" t="n">
        <v>1</v>
      </c>
      <c r="F43" s="108" t="inlineStr">
        <is>
          <t>About</t>
        </is>
      </c>
    </row>
    <row r="44" ht="15" customHeight="1" s="1">
      <c r="A44" s="106" t="inlineStr">
        <is>
          <t>디엠씨미디어</t>
        </is>
      </c>
      <c r="B44" s="106" t="inlineStr">
        <is>
          <t>4월 15일</t>
        </is>
      </c>
      <c r="C44" s="107" t="inlineStr">
        <is>
          <t>디엠씨미디어 당근</t>
        </is>
      </c>
      <c r="D44" s="106" t="inlineStr">
        <is>
          <t>0.87%</t>
        </is>
      </c>
      <c r="E44" s="106" t="n">
        <v>1</v>
      </c>
      <c r="F44" s="111" t="inlineStr">
        <is>
          <t>Media</t>
        </is>
      </c>
    </row>
    <row r="45" ht="15" customHeight="1" s="1">
      <c r="A45" s="106" t="inlineStr">
        <is>
          <t>디엠씨미디어</t>
        </is>
      </c>
      <c r="B45" s="106" t="inlineStr">
        <is>
          <t>4월 20일</t>
        </is>
      </c>
      <c r="C45" s="107" t="inlineStr">
        <is>
          <t>디엠씨미디어</t>
        </is>
      </c>
      <c r="D45" s="106" t="inlineStr">
        <is>
          <t>3.33%</t>
        </is>
      </c>
      <c r="E45" s="106" t="n">
        <v>1</v>
      </c>
      <c r="F45" s="108" t="inlineStr">
        <is>
          <t>About</t>
        </is>
      </c>
    </row>
    <row r="46" ht="15" customHeight="1" s="1">
      <c r="A46" s="106" t="inlineStr">
        <is>
          <t>디엠씨미디어</t>
        </is>
      </c>
      <c r="B46" s="106" t="inlineStr">
        <is>
          <t>4월 15일</t>
        </is>
      </c>
      <c r="C46" s="107" t="inlineStr">
        <is>
          <t>디엠씨미디어</t>
        </is>
      </c>
      <c r="D46" s="106" t="inlineStr">
        <is>
          <t>0.87%</t>
        </is>
      </c>
      <c r="E46" s="106" t="n">
        <v>1</v>
      </c>
      <c r="F46" s="108" t="inlineStr">
        <is>
          <t>About</t>
        </is>
      </c>
    </row>
    <row r="47" ht="15" customHeight="1" s="1">
      <c r="A47" s="106" t="inlineStr">
        <is>
          <t>디엠씨미디어</t>
        </is>
      </c>
      <c r="B47" s="106" t="inlineStr">
        <is>
          <t>4월 23일</t>
        </is>
      </c>
      <c r="C47" s="107" t="inlineStr">
        <is>
          <t>디엠씨미디어 블로그</t>
        </is>
      </c>
      <c r="D47" s="106" t="inlineStr">
        <is>
          <t>8.86%</t>
        </is>
      </c>
      <c r="E47" s="106" t="n">
        <v>7</v>
      </c>
      <c r="F47" s="108" t="inlineStr">
        <is>
          <t>About</t>
        </is>
      </c>
    </row>
    <row r="48" ht="15" customHeight="1" s="1">
      <c r="A48" s="106" t="inlineStr">
        <is>
          <t>디엠씨미디어</t>
        </is>
      </c>
      <c r="B48" s="106" t="inlineStr">
        <is>
          <t>4월 28일</t>
        </is>
      </c>
      <c r="C48" s="107" t="inlineStr">
        <is>
          <t>디엠씨미디어 블로그</t>
        </is>
      </c>
      <c r="D48" s="106" t="inlineStr">
        <is>
          <t>5.80%</t>
        </is>
      </c>
      <c r="E48" s="106" t="n">
        <v>4</v>
      </c>
      <c r="F48" s="110" t="inlineStr">
        <is>
          <t>People</t>
        </is>
      </c>
    </row>
    <row r="49" ht="15" customHeight="1" s="1">
      <c r="A49" s="106" t="inlineStr">
        <is>
          <t>디엠씨미디어</t>
        </is>
      </c>
      <c r="B49" s="106" t="inlineStr">
        <is>
          <t>4월 27일</t>
        </is>
      </c>
      <c r="C49" s="107" t="inlineStr">
        <is>
          <t>DMC미디어</t>
        </is>
      </c>
      <c r="D49" s="106" t="inlineStr">
        <is>
          <t>1.72%</t>
        </is>
      </c>
      <c r="E49" s="106" t="n">
        <v>1</v>
      </c>
      <c r="F49" s="108" t="inlineStr">
        <is>
          <t>About</t>
        </is>
      </c>
    </row>
    <row r="50" ht="15" customHeight="1" s="1">
      <c r="A50" s="106" t="inlineStr">
        <is>
          <t>디엠씨미디어</t>
        </is>
      </c>
      <c r="B50" s="106" t="inlineStr">
        <is>
          <t>4월 28일</t>
        </is>
      </c>
      <c r="C50" s="107" t="inlineStr">
        <is>
          <t>dmc패션몰</t>
        </is>
      </c>
      <c r="D50" s="106" t="inlineStr">
        <is>
          <t>1.45%</t>
        </is>
      </c>
      <c r="E50" s="106" t="n">
        <v>1</v>
      </c>
      <c r="F50" s="109" t="inlineStr">
        <is>
          <t>Trend</t>
        </is>
      </c>
    </row>
    <row r="51" ht="15" customHeight="1" s="1">
      <c r="A51" s="106" t="inlineStr">
        <is>
          <t>디엠씨미디어</t>
        </is>
      </c>
      <c r="B51" s="106" t="inlineStr">
        <is>
          <t>4월 25일</t>
        </is>
      </c>
      <c r="C51" s="107" t="inlineStr">
        <is>
          <t>디엠씨미디어</t>
        </is>
      </c>
      <c r="D51" s="106" t="inlineStr">
        <is>
          <t>10.00%</t>
        </is>
      </c>
      <c r="E51" s="106" t="n">
        <v>1</v>
      </c>
      <c r="F51" s="108" t="inlineStr">
        <is>
          <t>About</t>
        </is>
      </c>
    </row>
    <row r="52" ht="15" customHeight="1" s="1">
      <c r="A52" s="106" t="inlineStr">
        <is>
          <t>디엠씨미디어</t>
        </is>
      </c>
      <c r="B52" s="106" t="inlineStr">
        <is>
          <t>4월 27일</t>
        </is>
      </c>
      <c r="C52" s="107" t="inlineStr">
        <is>
          <t>디엠씨미디어 이준희</t>
        </is>
      </c>
      <c r="D52" s="106" t="inlineStr">
        <is>
          <t>1.72%</t>
        </is>
      </c>
      <c r="E52" s="106" t="n">
        <v>1</v>
      </c>
      <c r="F52" s="108" t="inlineStr">
        <is>
          <t>About</t>
        </is>
      </c>
    </row>
    <row r="53" ht="15" customHeight="1" s="1">
      <c r="A53" s="106" t="inlineStr">
        <is>
          <t>디엠씨미디어</t>
        </is>
      </c>
      <c r="B53" s="106" t="inlineStr">
        <is>
          <t>4월 28일</t>
        </is>
      </c>
      <c r="C53" s="107" t="inlineStr">
        <is>
          <t>디엠씨미디어</t>
        </is>
      </c>
      <c r="D53" s="106" t="inlineStr">
        <is>
          <t>2.90%</t>
        </is>
      </c>
      <c r="E53" s="106" t="n">
        <v>2</v>
      </c>
      <c r="F53" s="108" t="inlineStr">
        <is>
          <t>About</t>
        </is>
      </c>
    </row>
    <row r="54" ht="15" customHeight="1" s="1">
      <c r="A54" s="106" t="inlineStr">
        <is>
          <t>디엠씨미디어</t>
        </is>
      </c>
      <c r="B54" s="106" t="inlineStr">
        <is>
          <t>4월 22일</t>
        </is>
      </c>
      <c r="C54" s="107" t="inlineStr">
        <is>
          <t>디엠씨미디어</t>
        </is>
      </c>
      <c r="D54" s="106" t="inlineStr">
        <is>
          <t>3.70%</t>
        </is>
      </c>
      <c r="E54" s="106" t="n">
        <v>1</v>
      </c>
      <c r="F54" s="108" t="inlineStr">
        <is>
          <t>About</t>
        </is>
      </c>
    </row>
    <row r="55" ht="15" customHeight="1" s="1">
      <c r="A55" s="106" t="inlineStr">
        <is>
          <t>디엠씨미디어</t>
        </is>
      </c>
      <c r="B55" s="106" t="inlineStr">
        <is>
          <t>4월 26일</t>
        </is>
      </c>
      <c r="C55" s="107" t="inlineStr">
        <is>
          <t>DMC레포트</t>
        </is>
      </c>
      <c r="D55" s="106" t="inlineStr">
        <is>
          <t>6.25%</t>
        </is>
      </c>
      <c r="E55" s="106" t="n">
        <v>1</v>
      </c>
      <c r="F55" s="109" t="inlineStr">
        <is>
          <t>Trend</t>
        </is>
      </c>
    </row>
    <row r="56" ht="15" customHeight="1" s="1">
      <c r="A56" s="106" t="inlineStr">
        <is>
          <t>디엠씨미디어</t>
        </is>
      </c>
      <c r="B56" s="106" t="inlineStr">
        <is>
          <t>4월 28일</t>
        </is>
      </c>
      <c r="C56" s="107" t="inlineStr">
        <is>
          <t>디엠씨미디어</t>
        </is>
      </c>
      <c r="D56" s="106" t="inlineStr">
        <is>
          <t>1.45%</t>
        </is>
      </c>
      <c r="E56" s="106" t="n">
        <v>1</v>
      </c>
      <c r="F56" s="108" t="inlineStr">
        <is>
          <t>About</t>
        </is>
      </c>
    </row>
    <row r="57" ht="15" customHeight="1" s="1">
      <c r="A57" s="106" t="inlineStr">
        <is>
          <t>디엠씨미디어</t>
        </is>
      </c>
      <c r="B57" s="106" t="inlineStr">
        <is>
          <t>4월 23일</t>
        </is>
      </c>
      <c r="C57" s="107" t="inlineStr">
        <is>
          <t>디엠씨미디어 실무자를 위한 데이터 기반 마케팅</t>
        </is>
      </c>
      <c r="D57" s="106" t="inlineStr">
        <is>
          <t>1.27%</t>
        </is>
      </c>
      <c r="E57" s="106" t="n">
        <v>1</v>
      </c>
      <c r="F57" s="108" t="inlineStr">
        <is>
          <t>About</t>
        </is>
      </c>
    </row>
    <row r="58" ht="15" customHeight="1" s="1">
      <c r="A58" s="106" t="inlineStr">
        <is>
          <t>디엠씨미디어</t>
        </is>
      </c>
      <c r="B58" s="106" t="inlineStr">
        <is>
          <t>4월 22일</t>
        </is>
      </c>
      <c r="C58" s="107" t="inlineStr">
        <is>
          <t>d.metrics</t>
        </is>
      </c>
      <c r="D58" s="106" t="inlineStr">
        <is>
          <t>3.70%</t>
        </is>
      </c>
      <c r="E58" s="106" t="n">
        <v>1</v>
      </c>
      <c r="F58" s="108" t="inlineStr">
        <is>
          <t>About</t>
        </is>
      </c>
    </row>
    <row r="59" ht="15" customHeight="1" s="1">
      <c r="A59" s="106" t="inlineStr">
        <is>
          <t>디엠씨미디어</t>
        </is>
      </c>
      <c r="B59" s="106" t="inlineStr">
        <is>
          <t>4월 27일</t>
        </is>
      </c>
      <c r="C59" s="107" t="inlineStr">
        <is>
          <t>dmc미디어 장기근속</t>
        </is>
      </c>
      <c r="D59" s="106" t="inlineStr">
        <is>
          <t>3.45%</t>
        </is>
      </c>
      <c r="E59" s="106" t="n">
        <v>2</v>
      </c>
      <c r="F59" s="108" t="inlineStr">
        <is>
          <t>About</t>
        </is>
      </c>
    </row>
    <row r="60" ht="15" customHeight="1" s="1">
      <c r="A60" s="106" t="inlineStr">
        <is>
          <t>디엠씨미디어</t>
        </is>
      </c>
      <c r="B60" s="106" t="inlineStr">
        <is>
          <t>4월 27일</t>
        </is>
      </c>
      <c r="C60" s="107" t="inlineStr">
        <is>
          <t>디엠씨미디어 면접</t>
        </is>
      </c>
      <c r="D60" s="106" t="inlineStr">
        <is>
          <t>1.72%</t>
        </is>
      </c>
      <c r="E60" s="106" t="n">
        <v>1</v>
      </c>
      <c r="F60" s="110" t="inlineStr">
        <is>
          <t>People</t>
        </is>
      </c>
    </row>
    <row r="61" ht="15" customHeight="1" s="1">
      <c r="A61" s="106" t="inlineStr">
        <is>
          <t>디엠씨미디어</t>
        </is>
      </c>
      <c r="B61" s="106" t="inlineStr">
        <is>
          <t>4월 27일</t>
        </is>
      </c>
      <c r="C61" s="107" t="inlineStr">
        <is>
          <t>디엠씨미디어 퍼포먼스</t>
        </is>
      </c>
      <c r="D61" s="106" t="inlineStr">
        <is>
          <t>1.72%</t>
        </is>
      </c>
      <c r="E61" s="106" t="n">
        <v>1</v>
      </c>
      <c r="F61" s="110" t="inlineStr">
        <is>
          <t>People</t>
        </is>
      </c>
    </row>
    <row r="62" ht="15" customHeight="1" s="1">
      <c r="A62" s="106" t="inlineStr">
        <is>
          <t>디엠씨미디어</t>
        </is>
      </c>
      <c r="B62" s="106" t="inlineStr">
        <is>
          <t>4월 29일</t>
        </is>
      </c>
      <c r="C62" s="107" t="inlineStr">
        <is>
          <t>디플로우 디엠씨미디어</t>
        </is>
      </c>
      <c r="D62" s="106" t="inlineStr">
        <is>
          <t>2.63%</t>
        </is>
      </c>
      <c r="E62" s="106" t="n">
        <v>1</v>
      </c>
      <c r="F62" s="108" t="inlineStr">
        <is>
          <t>About</t>
        </is>
      </c>
    </row>
    <row r="63" ht="15" customHeight="1" s="1">
      <c r="A63" s="106" t="inlineStr">
        <is>
          <t>디엠씨미디어</t>
        </is>
      </c>
      <c r="B63" s="106" t="inlineStr">
        <is>
          <t>4월 30일</t>
        </is>
      </c>
      <c r="C63" s="107" t="inlineStr">
        <is>
          <t>D.saio</t>
        </is>
      </c>
      <c r="D63" s="106" t="inlineStr">
        <is>
          <t>5.26%</t>
        </is>
      </c>
      <c r="E63" s="106" t="n">
        <v>1</v>
      </c>
      <c r="F63" s="108" t="inlineStr">
        <is>
          <t>About</t>
        </is>
      </c>
    </row>
    <row r="64" ht="15" customHeight="1" s="1">
      <c r="A64" s="106" t="inlineStr">
        <is>
          <t>디엠씨미디어</t>
        </is>
      </c>
      <c r="B64" s="106" t="inlineStr">
        <is>
          <t>4월 30일</t>
        </is>
      </c>
      <c r="C64" s="107" t="inlineStr">
        <is>
          <t>디엠씨미디어</t>
        </is>
      </c>
      <c r="D64" s="106" t="inlineStr">
        <is>
          <t>10.53%</t>
        </is>
      </c>
      <c r="E64" s="106" t="n">
        <v>2</v>
      </c>
      <c r="F64" s="108" t="inlineStr">
        <is>
          <t>About</t>
        </is>
      </c>
    </row>
    <row r="65" ht="15" customHeight="1" s="1">
      <c r="A65" s="106" t="inlineStr">
        <is>
          <t>디엠씨미디어</t>
        </is>
      </c>
      <c r="B65" s="106" t="inlineStr">
        <is>
          <t>4월 29일</t>
        </is>
      </c>
      <c r="C65" s="107" t="inlineStr">
        <is>
          <t>디엠씨미디어 이준희</t>
        </is>
      </c>
      <c r="D65" s="106" t="inlineStr">
        <is>
          <t>2.63%</t>
        </is>
      </c>
      <c r="E65" s="106" t="n">
        <v>1</v>
      </c>
      <c r="F65" s="108" t="inlineStr">
        <is>
          <t>About</t>
        </is>
      </c>
    </row>
    <row r="66" ht="15" customHeight="1" s="1">
      <c r="A66" s="106" t="inlineStr">
        <is>
          <t>디엠씨미디어</t>
        </is>
      </c>
      <c r="B66" s="106" t="inlineStr">
        <is>
          <t>4월 29일</t>
        </is>
      </c>
      <c r="C66" s="107" t="inlineStr">
        <is>
          <t>디엠씨미디어</t>
        </is>
      </c>
      <c r="D66" s="106" t="inlineStr">
        <is>
          <t>5.26%</t>
        </is>
      </c>
      <c r="E66" s="106" t="n">
        <v>2</v>
      </c>
      <c r="F66" s="108" t="inlineStr">
        <is>
          <t>About</t>
        </is>
      </c>
    </row>
    <row r="67" ht="15" customHeight="1" s="1">
      <c r="A67" s="103" t="inlineStr">
        <is>
          <t>의류 플랫폼</t>
        </is>
      </c>
      <c r="B67" s="103" t="inlineStr">
        <is>
          <t>4월 5일</t>
        </is>
      </c>
      <c r="C67" s="104" t="inlineStr">
        <is>
          <t>의류 플랫폼</t>
        </is>
      </c>
      <c r="D67" s="103" t="inlineStr">
        <is>
          <t>4.55%</t>
        </is>
      </c>
      <c r="E67" s="103" t="n">
        <v>2</v>
      </c>
      <c r="F67" s="112" t="inlineStr">
        <is>
          <t>Media</t>
        </is>
      </c>
    </row>
    <row r="68" ht="15" customHeight="1" s="1">
      <c r="A68" s="106" t="inlineStr">
        <is>
          <t>의류 플랫폼</t>
        </is>
      </c>
      <c r="B68" s="106" t="inlineStr">
        <is>
          <t>4월 6일</t>
        </is>
      </c>
      <c r="C68" s="107" t="inlineStr">
        <is>
          <t>옷 플랫폼</t>
        </is>
      </c>
      <c r="D68" s="106" t="inlineStr">
        <is>
          <t>1.69%</t>
        </is>
      </c>
      <c r="E68" s="106" t="n">
        <v>1</v>
      </c>
      <c r="F68" s="109" t="inlineStr">
        <is>
          <t>Trend</t>
        </is>
      </c>
    </row>
    <row r="69" ht="15" customHeight="1" s="1">
      <c r="A69" s="106" t="inlineStr">
        <is>
          <t>의류 플랫폼</t>
        </is>
      </c>
      <c r="B69" s="106" t="inlineStr">
        <is>
          <t>4월 6일</t>
        </is>
      </c>
      <c r="C69" s="107" t="inlineStr">
        <is>
          <t>옷플랫폼</t>
        </is>
      </c>
      <c r="D69" s="106" t="inlineStr">
        <is>
          <t>1.69%</t>
        </is>
      </c>
      <c r="E69" s="106" t="n">
        <v>1</v>
      </c>
      <c r="F69" s="109" t="inlineStr">
        <is>
          <t>Trend</t>
        </is>
      </c>
    </row>
    <row r="70" ht="15" customHeight="1" s="1">
      <c r="A70" s="106" t="inlineStr">
        <is>
          <t>의류 플랫폼</t>
        </is>
      </c>
      <c r="B70" s="106" t="inlineStr">
        <is>
          <t>4월 5일</t>
        </is>
      </c>
      <c r="C70" s="107" t="inlineStr">
        <is>
          <t>옷 플랫폼</t>
        </is>
      </c>
      <c r="D70" s="106" t="inlineStr">
        <is>
          <t>2.27%</t>
        </is>
      </c>
      <c r="E70" s="106" t="n">
        <v>1</v>
      </c>
      <c r="F70" s="109" t="inlineStr">
        <is>
          <t>Trend</t>
        </is>
      </c>
    </row>
    <row r="71" ht="15" customHeight="1" s="1">
      <c r="A71" s="106" t="inlineStr">
        <is>
          <t>의류 플랫폼</t>
        </is>
      </c>
      <c r="B71" s="106" t="inlineStr">
        <is>
          <t>4월 6일</t>
        </is>
      </c>
      <c r="C71" s="107" t="inlineStr">
        <is>
          <t>의류 플랫폼</t>
        </is>
      </c>
      <c r="D71" s="106" t="inlineStr">
        <is>
          <t>1.69%</t>
        </is>
      </c>
      <c r="E71" s="106" t="n">
        <v>1</v>
      </c>
      <c r="F71" s="111" t="inlineStr">
        <is>
          <t>Media</t>
        </is>
      </c>
    </row>
    <row r="72" ht="15" customHeight="1" s="1">
      <c r="A72" s="106" t="inlineStr">
        <is>
          <t>의류 플랫폼</t>
        </is>
      </c>
      <c r="B72" s="106" t="inlineStr">
        <is>
          <t>4월 7일</t>
        </is>
      </c>
      <c r="C72" s="107" t="inlineStr">
        <is>
          <t>옷 플랫폼</t>
        </is>
      </c>
      <c r="D72" s="106" t="inlineStr">
        <is>
          <t>1.59%</t>
        </is>
      </c>
      <c r="E72" s="106" t="n">
        <v>1</v>
      </c>
      <c r="F72" s="109" t="inlineStr">
        <is>
          <t>Trend</t>
        </is>
      </c>
    </row>
    <row r="73" ht="15" customHeight="1" s="1">
      <c r="A73" s="106" t="inlineStr">
        <is>
          <t>의류 플랫폼</t>
        </is>
      </c>
      <c r="B73" s="106" t="inlineStr">
        <is>
          <t>4월 7일</t>
        </is>
      </c>
      <c r="C73" s="107" t="inlineStr">
        <is>
          <t>옷 쇼핑앱 순위</t>
        </is>
      </c>
      <c r="D73" s="106" t="inlineStr">
        <is>
          <t>1.59%</t>
        </is>
      </c>
      <c r="E73" s="106" t="n">
        <v>1</v>
      </c>
      <c r="F73" s="109" t="inlineStr">
        <is>
          <t>Trend</t>
        </is>
      </c>
    </row>
    <row r="74" ht="15" customHeight="1" s="1">
      <c r="A74" s="106" t="inlineStr">
        <is>
          <t>의류 플랫폼</t>
        </is>
      </c>
      <c r="B74" s="106" t="inlineStr">
        <is>
          <t>4월 7일</t>
        </is>
      </c>
      <c r="C74" s="107" t="inlineStr">
        <is>
          <t>의류 플래폼</t>
        </is>
      </c>
      <c r="D74" s="106" t="inlineStr">
        <is>
          <t>1.59%</t>
        </is>
      </c>
      <c r="E74" s="106" t="n">
        <v>1</v>
      </c>
      <c r="F74" s="111" t="inlineStr">
        <is>
          <t>Media</t>
        </is>
      </c>
    </row>
    <row r="75" ht="15" customHeight="1" s="1">
      <c r="A75" s="106" t="inlineStr">
        <is>
          <t>의류 플랫폼</t>
        </is>
      </c>
      <c r="B75" s="106" t="inlineStr">
        <is>
          <t>4월 12일</t>
        </is>
      </c>
      <c r="C75" s="107" t="inlineStr">
        <is>
          <t>옷 플랫폼</t>
        </is>
      </c>
      <c r="D75" s="106" t="inlineStr">
        <is>
          <t>9.52%</t>
        </is>
      </c>
      <c r="E75" s="106" t="n">
        <v>2</v>
      </c>
      <c r="F75" s="109" t="inlineStr">
        <is>
          <t>Trend</t>
        </is>
      </c>
    </row>
    <row r="76" ht="15" customHeight="1" s="1">
      <c r="A76" s="106" t="inlineStr">
        <is>
          <t>의류 플랫폼</t>
        </is>
      </c>
      <c r="B76" s="106" t="inlineStr">
        <is>
          <t>4월 12일</t>
        </is>
      </c>
      <c r="C76" s="107" t="inlineStr">
        <is>
          <t>의류 플랫폼</t>
        </is>
      </c>
      <c r="D76" s="106" t="inlineStr">
        <is>
          <t>9.52%</t>
        </is>
      </c>
      <c r="E76" s="106" t="n">
        <v>2</v>
      </c>
      <c r="F76" s="111" t="inlineStr">
        <is>
          <t>Media</t>
        </is>
      </c>
    </row>
    <row r="77" ht="15" customHeight="1" s="1">
      <c r="A77" s="106" t="inlineStr">
        <is>
          <t>의류 플랫폼</t>
        </is>
      </c>
      <c r="B77" s="106" t="inlineStr">
        <is>
          <t>4월 10일</t>
        </is>
      </c>
      <c r="C77" s="107" t="inlineStr">
        <is>
          <t>옷 플렛폼</t>
        </is>
      </c>
      <c r="D77" s="106" t="inlineStr">
        <is>
          <t>3.85%</t>
        </is>
      </c>
      <c r="E77" s="106" t="n">
        <v>1</v>
      </c>
      <c r="F77" s="109" t="inlineStr">
        <is>
          <t>Trend</t>
        </is>
      </c>
    </row>
    <row r="78" ht="15" customHeight="1" s="1">
      <c r="A78" s="106" t="inlineStr">
        <is>
          <t>의류 플랫폼</t>
        </is>
      </c>
      <c r="B78" s="106" t="inlineStr">
        <is>
          <t>4월 13일</t>
        </is>
      </c>
      <c r="C78" s="107" t="inlineStr">
        <is>
          <t>의류플랫폼</t>
        </is>
      </c>
      <c r="D78" s="106" t="inlineStr">
        <is>
          <t>2.38%</t>
        </is>
      </c>
      <c r="E78" s="106" t="n">
        <v>1</v>
      </c>
      <c r="F78" s="111" t="inlineStr">
        <is>
          <t>Media</t>
        </is>
      </c>
    </row>
    <row r="79" ht="15" customHeight="1" s="1">
      <c r="A79" s="106" t="inlineStr">
        <is>
          <t>의류 플랫폼</t>
        </is>
      </c>
      <c r="B79" s="106" t="inlineStr">
        <is>
          <t>4월 14일</t>
        </is>
      </c>
      <c r="C79" s="107" t="inlineStr">
        <is>
          <t>의류 플랫폼</t>
        </is>
      </c>
      <c r="D79" s="106" t="inlineStr">
        <is>
          <t>0.78%</t>
        </is>
      </c>
      <c r="E79" s="106" t="n">
        <v>1</v>
      </c>
      <c r="F79" s="111" t="inlineStr">
        <is>
          <t>Media</t>
        </is>
      </c>
    </row>
    <row r="80" ht="15" customHeight="1" s="1">
      <c r="A80" s="106" t="inlineStr">
        <is>
          <t>의류 플랫폼</t>
        </is>
      </c>
      <c r="B80" s="106" t="inlineStr">
        <is>
          <t>4월 8일</t>
        </is>
      </c>
      <c r="C80" s="107" t="inlineStr">
        <is>
          <t>옷 플랫폼</t>
        </is>
      </c>
      <c r="D80" s="106" t="inlineStr">
        <is>
          <t>2.70%</t>
        </is>
      </c>
      <c r="E80" s="106" t="n">
        <v>1</v>
      </c>
      <c r="F80" s="109" t="inlineStr">
        <is>
          <t>Trend</t>
        </is>
      </c>
    </row>
    <row r="81" ht="15" customHeight="1" s="1">
      <c r="A81" s="106" t="inlineStr">
        <is>
          <t>의류 플랫폼</t>
        </is>
      </c>
      <c r="B81" s="106" t="inlineStr">
        <is>
          <t>4월 8일</t>
        </is>
      </c>
      <c r="C81" s="107" t="inlineStr">
        <is>
          <t>의류 플렛폼</t>
        </is>
      </c>
      <c r="D81" s="106" t="inlineStr">
        <is>
          <t>2.70%</t>
        </is>
      </c>
      <c r="E81" s="106" t="n">
        <v>1</v>
      </c>
      <c r="F81" s="111" t="inlineStr">
        <is>
          <t>Media</t>
        </is>
      </c>
    </row>
    <row r="82" ht="15" customHeight="1" s="1">
      <c r="A82" s="106" t="inlineStr">
        <is>
          <t>의류 플랫폼</t>
        </is>
      </c>
      <c r="B82" s="106" t="inlineStr">
        <is>
          <t>4월 12일</t>
        </is>
      </c>
      <c r="C82" s="107" t="inlineStr">
        <is>
          <t>옷 플렛폼</t>
        </is>
      </c>
      <c r="D82" s="106" t="inlineStr">
        <is>
          <t>4.76%</t>
        </is>
      </c>
      <c r="E82" s="106" t="n">
        <v>1</v>
      </c>
      <c r="F82" s="109" t="inlineStr">
        <is>
          <t>Trend</t>
        </is>
      </c>
    </row>
    <row r="83" ht="15" customHeight="1" s="1">
      <c r="A83" s="106" t="inlineStr">
        <is>
          <t>의류 플랫폼</t>
        </is>
      </c>
      <c r="B83" s="106" t="inlineStr">
        <is>
          <t>4월 8일</t>
        </is>
      </c>
      <c r="C83" s="107" t="inlineStr">
        <is>
          <t>의류 플랫폼</t>
        </is>
      </c>
      <c r="D83" s="106" t="inlineStr">
        <is>
          <t>2.70%</t>
        </is>
      </c>
      <c r="E83" s="106" t="n">
        <v>1</v>
      </c>
      <c r="F83" s="111" t="inlineStr">
        <is>
          <t>Media</t>
        </is>
      </c>
    </row>
    <row r="84" ht="15" customHeight="1" s="1">
      <c r="A84" s="106" t="inlineStr">
        <is>
          <t>의류 플랫폼</t>
        </is>
      </c>
      <c r="B84" s="106" t="inlineStr">
        <is>
          <t>4월 18일</t>
        </is>
      </c>
      <c r="C84" s="107" t="inlineStr">
        <is>
          <t>의류 플랫폼</t>
        </is>
      </c>
      <c r="D84" s="106" t="inlineStr">
        <is>
          <t>11.11%</t>
        </is>
      </c>
      <c r="E84" s="106" t="n">
        <v>1</v>
      </c>
      <c r="F84" s="111" t="inlineStr">
        <is>
          <t>Media</t>
        </is>
      </c>
    </row>
    <row r="85" ht="15" customHeight="1" s="1">
      <c r="A85" s="106" t="inlineStr">
        <is>
          <t>의류 플랫폼</t>
        </is>
      </c>
      <c r="B85" s="106" t="inlineStr">
        <is>
          <t>4월 19일</t>
        </is>
      </c>
      <c r="C85" s="107" t="inlineStr">
        <is>
          <t>의류 플랫폼</t>
        </is>
      </c>
      <c r="D85" s="106" t="inlineStr">
        <is>
          <t>5.56%</t>
        </is>
      </c>
      <c r="E85" s="106" t="n">
        <v>1</v>
      </c>
      <c r="F85" s="111" t="inlineStr">
        <is>
          <t>Media</t>
        </is>
      </c>
    </row>
    <row r="86" ht="15" customHeight="1" s="1">
      <c r="A86" s="106" t="inlineStr">
        <is>
          <t>의류 플랫폼</t>
        </is>
      </c>
      <c r="B86" s="106" t="inlineStr">
        <is>
          <t>4월 21일</t>
        </is>
      </c>
      <c r="C86" s="107" t="inlineStr">
        <is>
          <t>의류 플랫폼</t>
        </is>
      </c>
      <c r="D86" s="106" t="inlineStr">
        <is>
          <t>4.08%</t>
        </is>
      </c>
      <c r="E86" s="106" t="n">
        <v>2</v>
      </c>
      <c r="F86" s="111" t="inlineStr">
        <is>
          <t>Media</t>
        </is>
      </c>
    </row>
    <row r="87" ht="15" customHeight="1" s="1">
      <c r="A87" s="106" t="inlineStr">
        <is>
          <t>의류 플랫폼</t>
        </is>
      </c>
      <c r="B87" s="106" t="inlineStr">
        <is>
          <t>4월 15일</t>
        </is>
      </c>
      <c r="C87" s="107" t="inlineStr">
        <is>
          <t>의류 플렛폼</t>
        </is>
      </c>
      <c r="D87" s="106" t="inlineStr">
        <is>
          <t>0.87%</t>
        </is>
      </c>
      <c r="E87" s="106" t="n">
        <v>1</v>
      </c>
      <c r="F87" s="111" t="inlineStr">
        <is>
          <t>Media</t>
        </is>
      </c>
    </row>
    <row r="88" ht="15" customHeight="1" s="1">
      <c r="A88" s="106" t="inlineStr">
        <is>
          <t>의류 플랫폼</t>
        </is>
      </c>
      <c r="B88" s="106" t="inlineStr">
        <is>
          <t>4월 16일</t>
        </is>
      </c>
      <c r="C88" s="107" t="inlineStr">
        <is>
          <t>의류플랫폼</t>
        </is>
      </c>
      <c r="D88" s="106" t="inlineStr">
        <is>
          <t>2.27%</t>
        </is>
      </c>
      <c r="E88" s="106" t="n">
        <v>1</v>
      </c>
      <c r="F88" s="111" t="inlineStr">
        <is>
          <t>Media</t>
        </is>
      </c>
    </row>
    <row r="89" ht="15" customHeight="1" s="1">
      <c r="A89" s="106" t="inlineStr">
        <is>
          <t>의류 플랫폼</t>
        </is>
      </c>
      <c r="B89" s="106" t="inlineStr">
        <is>
          <t>4월 15일</t>
        </is>
      </c>
      <c r="C89" s="107" t="inlineStr">
        <is>
          <t>의류 플랫폼</t>
        </is>
      </c>
      <c r="D89" s="106" t="inlineStr">
        <is>
          <t>0.87%</t>
        </is>
      </c>
      <c r="E89" s="106" t="n">
        <v>1</v>
      </c>
      <c r="F89" s="111" t="inlineStr">
        <is>
          <t>Media</t>
        </is>
      </c>
    </row>
    <row r="90" ht="15" customHeight="1" s="1">
      <c r="A90" s="106" t="inlineStr">
        <is>
          <t>의류 플랫폼</t>
        </is>
      </c>
      <c r="B90" s="106" t="inlineStr">
        <is>
          <t>4월 20일</t>
        </is>
      </c>
      <c r="C90" s="107" t="inlineStr">
        <is>
          <t>패션커머스</t>
        </is>
      </c>
      <c r="D90" s="106" t="inlineStr">
        <is>
          <t>3.33%</t>
        </is>
      </c>
      <c r="E90" s="106" t="n">
        <v>1</v>
      </c>
      <c r="F90" s="109" t="inlineStr">
        <is>
          <t>Trend</t>
        </is>
      </c>
    </row>
    <row r="91" ht="15" customHeight="1" s="1">
      <c r="A91" s="106" t="inlineStr">
        <is>
          <t>의류 플랫폼</t>
        </is>
      </c>
      <c r="B91" s="106" t="inlineStr">
        <is>
          <t>4월 26일</t>
        </is>
      </c>
      <c r="C91" s="107" t="inlineStr">
        <is>
          <t>의류플랫폼</t>
        </is>
      </c>
      <c r="D91" s="106" t="inlineStr">
        <is>
          <t>6.25%</t>
        </is>
      </c>
      <c r="E91" s="106" t="n">
        <v>1</v>
      </c>
      <c r="F91" s="111" t="inlineStr">
        <is>
          <t>Media</t>
        </is>
      </c>
    </row>
    <row r="92" ht="15" customHeight="1" s="1">
      <c r="A92" s="106" t="inlineStr">
        <is>
          <t>의류 플랫폼</t>
        </is>
      </c>
      <c r="B92" s="106" t="inlineStr">
        <is>
          <t>4월 24일</t>
        </is>
      </c>
      <c r="C92" s="107" t="inlineStr">
        <is>
          <t>옷플랫폼</t>
        </is>
      </c>
      <c r="D92" s="106" t="inlineStr">
        <is>
          <t>2.38%</t>
        </is>
      </c>
      <c r="E92" s="106" t="n">
        <v>1</v>
      </c>
      <c r="F92" s="109" t="inlineStr">
        <is>
          <t>Trend</t>
        </is>
      </c>
    </row>
    <row r="93" ht="15" customHeight="1" s="1">
      <c r="A93" s="106" t="inlineStr">
        <is>
          <t>의류 플랫폼</t>
        </is>
      </c>
      <c r="B93" s="106" t="inlineStr">
        <is>
          <t>4월 22일</t>
        </is>
      </c>
      <c r="C93" s="107" t="inlineStr">
        <is>
          <t>의류플랫폼</t>
        </is>
      </c>
      <c r="D93" s="106" t="inlineStr">
        <is>
          <t>3.70%</t>
        </is>
      </c>
      <c r="E93" s="106" t="n">
        <v>1</v>
      </c>
      <c r="F93" s="111" t="inlineStr">
        <is>
          <t>Media</t>
        </is>
      </c>
    </row>
    <row r="94" ht="15" customHeight="1" s="1">
      <c r="A94" s="106" t="inlineStr">
        <is>
          <t>의류 플랫폼</t>
        </is>
      </c>
      <c r="B94" s="106" t="inlineStr">
        <is>
          <t>4월 24일</t>
        </is>
      </c>
      <c r="C94" s="107" t="inlineStr">
        <is>
          <t>의류 플랫폼</t>
        </is>
      </c>
      <c r="D94" s="106" t="inlineStr">
        <is>
          <t>2.38%</t>
        </is>
      </c>
      <c r="E94" s="106" t="n">
        <v>1</v>
      </c>
      <c r="F94" s="111" t="inlineStr">
        <is>
          <t>Media</t>
        </is>
      </c>
    </row>
    <row r="95" ht="15" customHeight="1" s="1">
      <c r="A95" s="106" t="inlineStr">
        <is>
          <t>의류 플랫폼</t>
        </is>
      </c>
      <c r="B95" s="106" t="inlineStr">
        <is>
          <t>4월 24일</t>
        </is>
      </c>
      <c r="C95" s="107" t="inlineStr">
        <is>
          <t>의류 플랫폼</t>
        </is>
      </c>
      <c r="D95" s="106" t="inlineStr">
        <is>
          <t>2.38%</t>
        </is>
      </c>
      <c r="E95" s="106" t="n">
        <v>1</v>
      </c>
      <c r="F95" s="111" t="inlineStr">
        <is>
          <t>Media</t>
        </is>
      </c>
    </row>
    <row r="96" ht="15" customHeight="1" s="1">
      <c r="A96" s="106" t="inlineStr">
        <is>
          <t>의류 플랫폼</t>
        </is>
      </c>
      <c r="B96" s="106" t="inlineStr">
        <is>
          <t>4월 28일</t>
        </is>
      </c>
      <c r="C96" s="107" t="inlineStr">
        <is>
          <t>의류 플랫폼</t>
        </is>
      </c>
      <c r="D96" s="106" t="inlineStr">
        <is>
          <t>1.45%</t>
        </is>
      </c>
      <c r="E96" s="106" t="n">
        <v>1</v>
      </c>
      <c r="F96" s="109" t="inlineStr">
        <is>
          <t>Trend</t>
        </is>
      </c>
    </row>
    <row r="97" ht="15" customHeight="1" s="1">
      <c r="A97" s="106" t="inlineStr">
        <is>
          <t>의류 플랫폼</t>
        </is>
      </c>
      <c r="B97" s="106" t="inlineStr">
        <is>
          <t>4월 30일</t>
        </is>
      </c>
      <c r="C97" s="107" t="inlineStr">
        <is>
          <t>옷 플래폼</t>
        </is>
      </c>
      <c r="D97" s="106" t="inlineStr">
        <is>
          <t>5.26%</t>
        </is>
      </c>
      <c r="E97" s="106" t="n">
        <v>1</v>
      </c>
      <c r="F97" s="111" t="inlineStr">
        <is>
          <t>Media</t>
        </is>
      </c>
    </row>
    <row r="98" ht="15" customHeight="1" s="1">
      <c r="A98" s="103" t="inlineStr">
        <is>
          <t>컬리</t>
        </is>
      </c>
      <c r="B98" s="103" t="inlineStr">
        <is>
          <t>4월 2일</t>
        </is>
      </c>
      <c r="C98" s="104" t="inlineStr">
        <is>
          <t>컬리n마트</t>
        </is>
      </c>
      <c r="D98" s="103" t="inlineStr">
        <is>
          <t>2.60%</t>
        </is>
      </c>
      <c r="E98" s="103" t="n">
        <v>2</v>
      </c>
      <c r="F98" s="113" t="inlineStr">
        <is>
          <t>Trend</t>
        </is>
      </c>
    </row>
    <row r="99" ht="15" customHeight="1" s="1">
      <c r="A99" s="106" t="inlineStr">
        <is>
          <t>컬리</t>
        </is>
      </c>
      <c r="B99" s="106" t="inlineStr">
        <is>
          <t>4월 5일</t>
        </is>
      </c>
      <c r="C99" s="107" t="inlineStr">
        <is>
          <t>컬리n마트</t>
        </is>
      </c>
      <c r="D99" s="106" t="inlineStr">
        <is>
          <t>6.82%</t>
        </is>
      </c>
      <c r="E99" s="106" t="n">
        <v>3</v>
      </c>
      <c r="F99" s="109" t="inlineStr">
        <is>
          <t>Trend</t>
        </is>
      </c>
    </row>
    <row r="100" ht="15" customHeight="1" s="1">
      <c r="A100" s="106" t="inlineStr">
        <is>
          <t>컬리</t>
        </is>
      </c>
      <c r="B100" s="106" t="inlineStr">
        <is>
          <t>4월 6일</t>
        </is>
      </c>
      <c r="C100" s="107" t="inlineStr">
        <is>
          <t>컬리n마트</t>
        </is>
      </c>
      <c r="D100" s="106" t="inlineStr">
        <is>
          <t>3.39%</t>
        </is>
      </c>
      <c r="E100" s="106" t="n">
        <v>2</v>
      </c>
      <c r="F100" s="109" t="inlineStr">
        <is>
          <t>Trend</t>
        </is>
      </c>
    </row>
    <row r="101" ht="15" customHeight="1" s="1">
      <c r="A101" s="106" t="inlineStr">
        <is>
          <t>컬리</t>
        </is>
      </c>
      <c r="B101" s="106" t="inlineStr">
        <is>
          <t>4월 3일</t>
        </is>
      </c>
      <c r="C101" s="107" t="inlineStr">
        <is>
          <t>컬리n마트</t>
        </is>
      </c>
      <c r="D101" s="106" t="inlineStr">
        <is>
          <t>5.88%</t>
        </is>
      </c>
      <c r="E101" s="106" t="n">
        <v>2</v>
      </c>
      <c r="F101" s="109" t="inlineStr">
        <is>
          <t>Trend</t>
        </is>
      </c>
    </row>
    <row r="102" ht="15" customHeight="1" s="1">
      <c r="A102" s="106" t="inlineStr">
        <is>
          <t>컬리</t>
        </is>
      </c>
      <c r="B102" s="106" t="inlineStr">
        <is>
          <t>4월 1일</t>
        </is>
      </c>
      <c r="C102" s="107" t="inlineStr">
        <is>
          <t>컬리N마트</t>
        </is>
      </c>
      <c r="D102" s="106" t="inlineStr">
        <is>
          <t>2.70%</t>
        </is>
      </c>
      <c r="E102" s="106" t="n">
        <v>1</v>
      </c>
      <c r="F102" s="109" t="inlineStr">
        <is>
          <t>Trend</t>
        </is>
      </c>
    </row>
    <row r="103" ht="15" customHeight="1" s="1">
      <c r="A103" s="106" t="inlineStr">
        <is>
          <t>컬리</t>
        </is>
      </c>
      <c r="B103" s="106" t="inlineStr">
        <is>
          <t>4월 1일</t>
        </is>
      </c>
      <c r="C103" s="107" t="inlineStr">
        <is>
          <t>컬리n마트</t>
        </is>
      </c>
      <c r="D103" s="106" t="inlineStr">
        <is>
          <t>2.70%</t>
        </is>
      </c>
      <c r="E103" s="106" t="n">
        <v>1</v>
      </c>
      <c r="F103" s="109" t="inlineStr">
        <is>
          <t>Trend</t>
        </is>
      </c>
    </row>
    <row r="104" ht="15" customHeight="1" s="1">
      <c r="A104" s="106" t="inlineStr">
        <is>
          <t>컬리</t>
        </is>
      </c>
      <c r="B104" s="106" t="inlineStr">
        <is>
          <t>4월 5일</t>
        </is>
      </c>
      <c r="C104" s="107" t="inlineStr">
        <is>
          <t>컬리n마트 멤버십</t>
        </is>
      </c>
      <c r="D104" s="106" t="inlineStr">
        <is>
          <t>2.27%</t>
        </is>
      </c>
      <c r="E104" s="106" t="n">
        <v>1</v>
      </c>
      <c r="F104" s="109" t="inlineStr">
        <is>
          <t>Trend</t>
        </is>
      </c>
    </row>
    <row r="105" ht="15" customHeight="1" s="1">
      <c r="A105" s="106" t="inlineStr">
        <is>
          <t>컬리</t>
        </is>
      </c>
      <c r="B105" s="106" t="inlineStr">
        <is>
          <t>4월 2일</t>
        </is>
      </c>
      <c r="C105" s="107" t="inlineStr">
        <is>
          <t>컬리N마트 거래액</t>
        </is>
      </c>
      <c r="D105" s="106" t="inlineStr">
        <is>
          <t>1.30%</t>
        </is>
      </c>
      <c r="E105" s="106" t="n">
        <v>1</v>
      </c>
      <c r="F105" s="109" t="inlineStr">
        <is>
          <t>Trend</t>
        </is>
      </c>
    </row>
    <row r="106" ht="15" customHeight="1" s="1">
      <c r="A106" s="106" t="inlineStr">
        <is>
          <t>컬리</t>
        </is>
      </c>
      <c r="B106" s="106" t="inlineStr">
        <is>
          <t>4월 7일</t>
        </is>
      </c>
      <c r="C106" s="107" t="inlineStr">
        <is>
          <t>컬리n마트</t>
        </is>
      </c>
      <c r="D106" s="106" t="inlineStr">
        <is>
          <t>1.59%</t>
        </is>
      </c>
      <c r="E106" s="106" t="n">
        <v>1</v>
      </c>
      <c r="F106" s="109" t="inlineStr">
        <is>
          <t>Trend</t>
        </is>
      </c>
    </row>
    <row r="107" ht="15" customHeight="1" s="1">
      <c r="A107" s="106" t="inlineStr">
        <is>
          <t>컬리</t>
        </is>
      </c>
      <c r="B107" s="106" t="inlineStr">
        <is>
          <t>4월 12일</t>
        </is>
      </c>
      <c r="C107" s="107" t="inlineStr">
        <is>
          <t>컬리n마트</t>
        </is>
      </c>
      <c r="D107" s="106" t="inlineStr">
        <is>
          <t>4.76%</t>
        </is>
      </c>
      <c r="E107" s="106" t="n">
        <v>1</v>
      </c>
      <c r="F107" s="109" t="inlineStr">
        <is>
          <t>Trend</t>
        </is>
      </c>
    </row>
    <row r="108" ht="15" customHeight="1" s="1">
      <c r="A108" s="106" t="inlineStr">
        <is>
          <t>컬리</t>
        </is>
      </c>
      <c r="B108" s="106" t="inlineStr">
        <is>
          <t>4월 11일</t>
        </is>
      </c>
      <c r="C108" s="107" t="inlineStr">
        <is>
          <t>컬리 n</t>
        </is>
      </c>
      <c r="D108" s="106" t="inlineStr">
        <is>
          <t>7.69%</t>
        </is>
      </c>
      <c r="E108" s="106" t="n">
        <v>1</v>
      </c>
      <c r="F108" s="109" t="inlineStr">
        <is>
          <t>Trend</t>
        </is>
      </c>
    </row>
    <row r="109" ht="15" customHeight="1" s="1">
      <c r="A109" s="106" t="inlineStr">
        <is>
          <t>컬리</t>
        </is>
      </c>
      <c r="B109" s="106" t="inlineStr">
        <is>
          <t>4월 10일</t>
        </is>
      </c>
      <c r="C109" s="107" t="inlineStr">
        <is>
          <t>컬리n마트</t>
        </is>
      </c>
      <c r="D109" s="106" t="inlineStr">
        <is>
          <t>3.85%</t>
        </is>
      </c>
      <c r="E109" s="106" t="n">
        <v>1</v>
      </c>
      <c r="F109" s="109" t="inlineStr">
        <is>
          <t>Trend</t>
        </is>
      </c>
    </row>
    <row r="110" ht="15" customHeight="1" s="1">
      <c r="A110" s="106" t="inlineStr">
        <is>
          <t>컬리</t>
        </is>
      </c>
      <c r="B110" s="106" t="inlineStr">
        <is>
          <t>4월 8일</t>
        </is>
      </c>
      <c r="C110" s="107" t="inlineStr">
        <is>
          <t>컬리n마트</t>
        </is>
      </c>
      <c r="D110" s="106" t="inlineStr">
        <is>
          <t>2.70%</t>
        </is>
      </c>
      <c r="E110" s="106" t="n">
        <v>1</v>
      </c>
      <c r="F110" s="109" t="inlineStr">
        <is>
          <t>Trend</t>
        </is>
      </c>
    </row>
    <row r="111" ht="15" customHeight="1" s="1">
      <c r="A111" s="103" t="inlineStr">
        <is>
          <t>로켓위젯</t>
        </is>
      </c>
      <c r="B111" s="103" t="inlineStr">
        <is>
          <t>4월 1일</t>
        </is>
      </c>
      <c r="C111" s="104" t="inlineStr">
        <is>
          <t>로켓위쳇</t>
        </is>
      </c>
      <c r="D111" s="103" t="inlineStr">
        <is>
          <t>2.70%</t>
        </is>
      </c>
      <c r="E111" s="103" t="n">
        <v>1</v>
      </c>
      <c r="F111" s="113" t="inlineStr">
        <is>
          <t>Trend</t>
        </is>
      </c>
    </row>
    <row r="112" ht="15" customHeight="1" s="1">
      <c r="A112" s="106" t="inlineStr">
        <is>
          <t>로켓위젯</t>
        </is>
      </c>
      <c r="B112" s="106" t="inlineStr">
        <is>
          <t>4월 2일</t>
        </is>
      </c>
      <c r="C112" s="107" t="inlineStr">
        <is>
          <t>rocket widget</t>
        </is>
      </c>
      <c r="D112" s="106" t="inlineStr">
        <is>
          <t>1.30%</t>
        </is>
      </c>
      <c r="E112" s="106" t="n">
        <v>1</v>
      </c>
      <c r="F112" s="109" t="inlineStr">
        <is>
          <t>Trend</t>
        </is>
      </c>
    </row>
    <row r="113" ht="15" customHeight="1" s="1">
      <c r="A113" s="106" t="inlineStr">
        <is>
          <t>로켓위젯</t>
        </is>
      </c>
      <c r="B113" s="106" t="inlineStr">
        <is>
          <t>4월 7일</t>
        </is>
      </c>
      <c r="C113" s="107" t="inlineStr">
        <is>
          <t>로켓 위젯</t>
        </is>
      </c>
      <c r="D113" s="106" t="inlineStr">
        <is>
          <t>1.59%</t>
        </is>
      </c>
      <c r="E113" s="106" t="n">
        <v>1</v>
      </c>
      <c r="F113" s="109" t="inlineStr">
        <is>
          <t>Trend</t>
        </is>
      </c>
    </row>
    <row r="114" ht="15" customHeight="1" s="1">
      <c r="A114" s="106" t="inlineStr">
        <is>
          <t>로켓위젯</t>
        </is>
      </c>
      <c r="B114" s="106" t="inlineStr">
        <is>
          <t>4월 2일</t>
        </is>
      </c>
      <c r="C114" s="107" t="inlineStr">
        <is>
          <t>로켓 위젯</t>
        </is>
      </c>
      <c r="D114" s="106" t="inlineStr">
        <is>
          <t>1.30%</t>
        </is>
      </c>
      <c r="E114" s="106" t="n">
        <v>1</v>
      </c>
      <c r="F114" s="109" t="inlineStr">
        <is>
          <t>Trend</t>
        </is>
      </c>
    </row>
    <row r="115" ht="15" customHeight="1" s="1">
      <c r="A115" s="106" t="inlineStr">
        <is>
          <t>로켓위젯</t>
        </is>
      </c>
      <c r="B115" s="106" t="inlineStr">
        <is>
          <t>4월 13일</t>
        </is>
      </c>
      <c r="C115" s="107" t="inlineStr">
        <is>
          <t>로켓위젯</t>
        </is>
      </c>
      <c r="D115" s="106" t="inlineStr">
        <is>
          <t>2.38%</t>
        </is>
      </c>
      <c r="E115" s="106" t="n">
        <v>1</v>
      </c>
      <c r="F115" s="109" t="inlineStr">
        <is>
          <t>Trend</t>
        </is>
      </c>
    </row>
    <row r="116" ht="15" customHeight="1" s="1">
      <c r="A116" s="106" t="inlineStr">
        <is>
          <t>로켓위젯</t>
        </is>
      </c>
      <c r="B116" s="106" t="inlineStr">
        <is>
          <t>4월 11일</t>
        </is>
      </c>
      <c r="C116" s="107" t="inlineStr">
        <is>
          <t>로켓 위젯</t>
        </is>
      </c>
      <c r="D116" s="106" t="inlineStr">
        <is>
          <t>7.69%</t>
        </is>
      </c>
      <c r="E116" s="106" t="n">
        <v>1</v>
      </c>
      <c r="F116" s="109" t="inlineStr">
        <is>
          <t>Trend</t>
        </is>
      </c>
    </row>
    <row r="117" ht="15" customHeight="1" s="1">
      <c r="A117" s="106" t="inlineStr">
        <is>
          <t>로켓위젯</t>
        </is>
      </c>
      <c r="B117" s="106" t="inlineStr">
        <is>
          <t>4월 12일</t>
        </is>
      </c>
      <c r="C117" s="107" t="inlineStr">
        <is>
          <t>로켓 위젯</t>
        </is>
      </c>
      <c r="D117" s="106" t="inlineStr">
        <is>
          <t>4.76%</t>
        </is>
      </c>
      <c r="E117" s="106" t="n">
        <v>1</v>
      </c>
      <c r="F117" s="109" t="inlineStr">
        <is>
          <t>Trend</t>
        </is>
      </c>
    </row>
    <row r="118" ht="15" customHeight="1" s="1">
      <c r="A118" s="106" t="inlineStr">
        <is>
          <t>로켓위젯</t>
        </is>
      </c>
      <c r="B118" s="106" t="inlineStr">
        <is>
          <t>4월 11일</t>
        </is>
      </c>
      <c r="C118" s="107" t="inlineStr">
        <is>
          <t>로켓위젯</t>
        </is>
      </c>
      <c r="D118" s="106" t="inlineStr">
        <is>
          <t>7.69%</t>
        </is>
      </c>
      <c r="E118" s="106" t="n">
        <v>1</v>
      </c>
      <c r="F118" s="109" t="inlineStr">
        <is>
          <t>Trend</t>
        </is>
      </c>
    </row>
    <row r="119" ht="15" customHeight="1" s="1">
      <c r="A119" s="106" t="inlineStr">
        <is>
          <t>로켓위젯</t>
        </is>
      </c>
      <c r="B119" s="106" t="inlineStr">
        <is>
          <t>4월 13일</t>
        </is>
      </c>
      <c r="C119" s="107" t="inlineStr">
        <is>
          <t>로켓위젯</t>
        </is>
      </c>
      <c r="D119" s="106" t="inlineStr">
        <is>
          <t>2.38%</t>
        </is>
      </c>
      <c r="E119" s="106" t="n">
        <v>1</v>
      </c>
      <c r="F119" s="109" t="inlineStr">
        <is>
          <t>Trend</t>
        </is>
      </c>
    </row>
    <row r="120" ht="15" customHeight="1" s="1">
      <c r="A120" s="106" t="inlineStr">
        <is>
          <t>로켓위젯</t>
        </is>
      </c>
      <c r="B120" s="106" t="inlineStr">
        <is>
          <t>4월 14일</t>
        </is>
      </c>
      <c r="C120" s="107" t="inlineStr">
        <is>
          <t>로켓 위젯</t>
        </is>
      </c>
      <c r="D120" s="106" t="inlineStr">
        <is>
          <t>0.78%</t>
        </is>
      </c>
      <c r="E120" s="106" t="n">
        <v>1</v>
      </c>
      <c r="F120" s="109" t="inlineStr">
        <is>
          <t>Trend</t>
        </is>
      </c>
    </row>
    <row r="121" ht="15" customHeight="1" s="1">
      <c r="A121" s="106" t="inlineStr">
        <is>
          <t>로켓위젯</t>
        </is>
      </c>
      <c r="B121" s="106" t="inlineStr">
        <is>
          <t>4월 18일</t>
        </is>
      </c>
      <c r="C121" s="107" t="inlineStr">
        <is>
          <t>로켓 위젯</t>
        </is>
      </c>
      <c r="D121" s="106" t="inlineStr">
        <is>
          <t>11.11%</t>
        </is>
      </c>
      <c r="E121" s="106" t="n">
        <v>1</v>
      </c>
      <c r="F121" s="109" t="inlineStr">
        <is>
          <t>Trend</t>
        </is>
      </c>
    </row>
    <row r="122" ht="15" customHeight="1" s="1">
      <c r="A122" s="106" t="inlineStr">
        <is>
          <t>로켓위젯</t>
        </is>
      </c>
      <c r="B122" s="106" t="inlineStr">
        <is>
          <t>4월 19일</t>
        </is>
      </c>
      <c r="C122" s="107" t="inlineStr">
        <is>
          <t>로켓 위젯</t>
        </is>
      </c>
      <c r="D122" s="106" t="inlineStr">
        <is>
          <t>5.56%</t>
        </is>
      </c>
      <c r="E122" s="106" t="n">
        <v>1</v>
      </c>
      <c r="F122" s="109" t="inlineStr">
        <is>
          <t>Trend</t>
        </is>
      </c>
    </row>
    <row r="123" ht="15" customHeight="1" s="1">
      <c r="A123" s="106" t="inlineStr">
        <is>
          <t>로켓위젯</t>
        </is>
      </c>
      <c r="B123" s="106" t="inlineStr">
        <is>
          <t>4월 16일</t>
        </is>
      </c>
      <c r="C123" s="107" t="inlineStr">
        <is>
          <t>로켓위젯</t>
        </is>
      </c>
      <c r="D123" s="106" t="inlineStr">
        <is>
          <t>2.27%</t>
        </is>
      </c>
      <c r="E123" s="106" t="n">
        <v>1</v>
      </c>
      <c r="F123" s="109" t="inlineStr">
        <is>
          <t>Trend</t>
        </is>
      </c>
    </row>
    <row r="124" ht="15" customHeight="1" s="1">
      <c r="A124" s="106" t="inlineStr">
        <is>
          <t>로켓위젯</t>
        </is>
      </c>
      <c r="B124" s="106" t="inlineStr">
        <is>
          <t>4월 16일</t>
        </is>
      </c>
      <c r="C124" s="107" t="inlineStr">
        <is>
          <t>locket 광고</t>
        </is>
      </c>
      <c r="D124" s="106" t="inlineStr">
        <is>
          <t>2.27%</t>
        </is>
      </c>
      <c r="E124" s="106" t="n">
        <v>1</v>
      </c>
      <c r="F124" s="109" t="inlineStr">
        <is>
          <t>Trend</t>
        </is>
      </c>
    </row>
    <row r="125" ht="15" customHeight="1" s="1">
      <c r="A125" s="106" t="inlineStr">
        <is>
          <t>로켓위젯</t>
        </is>
      </c>
      <c r="B125" s="106" t="inlineStr">
        <is>
          <t>4월 17일</t>
        </is>
      </c>
      <c r="C125" s="107" t="inlineStr">
        <is>
          <t>로켓위젯</t>
        </is>
      </c>
      <c r="D125" s="106" t="inlineStr">
        <is>
          <t>1.75%</t>
        </is>
      </c>
      <c r="E125" s="106" t="n">
        <v>1</v>
      </c>
      <c r="F125" s="109" t="inlineStr">
        <is>
          <t>Trend</t>
        </is>
      </c>
    </row>
    <row r="126" ht="15" customHeight="1" s="1">
      <c r="A126" s="106" t="inlineStr">
        <is>
          <t>로켓위젯</t>
        </is>
      </c>
      <c r="B126" s="106" t="inlineStr">
        <is>
          <t>4월 16일</t>
        </is>
      </c>
      <c r="C126" s="107" t="inlineStr">
        <is>
          <t>로켓 위젯</t>
        </is>
      </c>
      <c r="D126" s="106" t="inlineStr">
        <is>
          <t>2.27%</t>
        </is>
      </c>
      <c r="E126" s="106" t="n">
        <v>1</v>
      </c>
      <c r="F126" s="109" t="inlineStr">
        <is>
          <t>Trend</t>
        </is>
      </c>
    </row>
    <row r="127" ht="15" customHeight="1" s="1">
      <c r="A127" s="106" t="inlineStr">
        <is>
          <t>로켓위젯</t>
        </is>
      </c>
      <c r="B127" s="106" t="inlineStr">
        <is>
          <t>4월 15일</t>
        </is>
      </c>
      <c r="C127" s="107" t="inlineStr">
        <is>
          <t>로켓위젯</t>
        </is>
      </c>
      <c r="D127" s="106" t="inlineStr">
        <is>
          <t>0.87%</t>
        </is>
      </c>
      <c r="E127" s="106" t="n">
        <v>1</v>
      </c>
      <c r="F127" s="109" t="inlineStr">
        <is>
          <t>Trend</t>
        </is>
      </c>
    </row>
    <row r="128" ht="15" customHeight="1" s="1">
      <c r="A128" s="106" t="inlineStr">
        <is>
          <t>로켓위젯</t>
        </is>
      </c>
      <c r="B128" s="106" t="inlineStr">
        <is>
          <t>4월 22일</t>
        </is>
      </c>
      <c r="C128" s="107" t="inlineStr">
        <is>
          <t>locket widget</t>
        </is>
      </c>
      <c r="D128" s="106" t="inlineStr">
        <is>
          <t>3.70%</t>
        </is>
      </c>
      <c r="E128" s="106" t="n">
        <v>1</v>
      </c>
      <c r="F128" s="109" t="inlineStr">
        <is>
          <t>Trend</t>
        </is>
      </c>
    </row>
    <row r="129" ht="15" customHeight="1" s="1">
      <c r="A129" s="103" t="inlineStr">
        <is>
          <t>쿠팡플레이/티빙</t>
        </is>
      </c>
      <c r="B129" s="103" t="inlineStr">
        <is>
          <t>4월 13일</t>
        </is>
      </c>
      <c r="C129" s="104" t="inlineStr">
        <is>
          <t>쿠팡플레이 광고</t>
        </is>
      </c>
      <c r="D129" s="103" t="inlineStr">
        <is>
          <t>2.38%</t>
        </is>
      </c>
      <c r="E129" s="103" t="n">
        <v>1</v>
      </c>
      <c r="F129" s="105" t="inlineStr">
        <is>
          <t>About</t>
        </is>
      </c>
    </row>
    <row r="130" ht="15" customHeight="1" s="1">
      <c r="A130" s="106" t="inlineStr">
        <is>
          <t>쿠팡플레이/티빙</t>
        </is>
      </c>
      <c r="B130" s="106" t="inlineStr">
        <is>
          <t>4월 21일</t>
        </is>
      </c>
      <c r="C130" s="107" t="inlineStr">
        <is>
          <t>쿠팡플레이 광고</t>
        </is>
      </c>
      <c r="D130" s="106" t="inlineStr">
        <is>
          <t>2.04%</t>
        </is>
      </c>
      <c r="E130" s="106" t="n">
        <v>1</v>
      </c>
      <c r="F130" s="108" t="inlineStr">
        <is>
          <t>About</t>
        </is>
      </c>
    </row>
    <row r="131" ht="15" customHeight="1" s="1">
      <c r="A131" s="106" t="inlineStr">
        <is>
          <t>쿠팡플레이/티빙</t>
        </is>
      </c>
      <c r="B131" s="106" t="inlineStr">
        <is>
          <t>4월 15일</t>
        </is>
      </c>
      <c r="C131" s="107" t="inlineStr">
        <is>
          <t>쿠팡플레이 광고</t>
        </is>
      </c>
      <c r="D131" s="106" t="inlineStr">
        <is>
          <t>0.87%</t>
        </is>
      </c>
      <c r="E131" s="106" t="n">
        <v>1</v>
      </c>
      <c r="F131" s="108" t="inlineStr">
        <is>
          <t>About</t>
        </is>
      </c>
    </row>
    <row r="132" ht="15" customHeight="1" s="1">
      <c r="A132" s="106" t="inlineStr">
        <is>
          <t>쿠팡플레이/티빙</t>
        </is>
      </c>
      <c r="B132" s="106" t="inlineStr">
        <is>
          <t>4월 26일</t>
        </is>
      </c>
      <c r="C132" s="107" t="inlineStr">
        <is>
          <t>tving 광고대행사</t>
        </is>
      </c>
      <c r="D132" s="106" t="inlineStr">
        <is>
          <t>6.25%</t>
        </is>
      </c>
      <c r="E132" s="106" t="n">
        <v>1</v>
      </c>
      <c r="F132" s="108" t="inlineStr">
        <is>
          <t>About</t>
        </is>
      </c>
    </row>
    <row r="133" ht="15" customHeight="1" s="1">
      <c r="A133" s="106" t="inlineStr">
        <is>
          <t>쿠팡플레이/티빙</t>
        </is>
      </c>
      <c r="B133" s="106" t="inlineStr">
        <is>
          <t>4월 28일</t>
        </is>
      </c>
      <c r="C133" s="107" t="inlineStr">
        <is>
          <t>쿠팡플레이 광고</t>
        </is>
      </c>
      <c r="D133" s="106" t="inlineStr">
        <is>
          <t>2.90%</t>
        </is>
      </c>
      <c r="E133" s="106" t="n">
        <v>2</v>
      </c>
      <c r="F133" s="108" t="inlineStr">
        <is>
          <t>About</t>
        </is>
      </c>
    </row>
    <row r="134" ht="15" customHeight="1" s="1">
      <c r="A134" s="106" t="inlineStr">
        <is>
          <t>쿠팡플레이/티빙</t>
        </is>
      </c>
      <c r="B134" s="106" t="inlineStr">
        <is>
          <t>4월 25일</t>
        </is>
      </c>
      <c r="C134" s="107" t="inlineStr">
        <is>
          <t>쿠팡플레이 광고</t>
        </is>
      </c>
      <c r="D134" s="106" t="inlineStr">
        <is>
          <t>10.00%</t>
        </is>
      </c>
      <c r="E134" s="106" t="n">
        <v>1</v>
      </c>
      <c r="F134" s="108" t="inlineStr">
        <is>
          <t>About</t>
        </is>
      </c>
    </row>
    <row r="135" ht="15" customHeight="1" s="1">
      <c r="A135" s="106" t="inlineStr">
        <is>
          <t>쿠팡플레이/티빙</t>
        </is>
      </c>
      <c r="B135" s="106" t="inlineStr">
        <is>
          <t>4월 26일</t>
        </is>
      </c>
      <c r="C135" s="107" t="inlineStr">
        <is>
          <t>쿠팡플레이 광고</t>
        </is>
      </c>
      <c r="D135" s="106" t="inlineStr">
        <is>
          <t>6.25%</t>
        </is>
      </c>
      <c r="E135" s="106" t="n">
        <v>1</v>
      </c>
      <c r="F135" s="108" t="inlineStr">
        <is>
          <t>About</t>
        </is>
      </c>
    </row>
    <row r="136" ht="15" customHeight="1" s="1">
      <c r="A136" s="106" t="inlineStr">
        <is>
          <t>쿠팡플레이/티빙</t>
        </is>
      </c>
      <c r="B136" s="106" t="inlineStr">
        <is>
          <t>4월 23일</t>
        </is>
      </c>
      <c r="C136" s="107" t="inlineStr">
        <is>
          <t>쿠팡플레이 광고</t>
        </is>
      </c>
      <c r="D136" s="106" t="inlineStr">
        <is>
          <t>2.53%</t>
        </is>
      </c>
      <c r="E136" s="106" t="n">
        <v>2</v>
      </c>
      <c r="F136" s="108" t="inlineStr">
        <is>
          <t>About</t>
        </is>
      </c>
    </row>
    <row r="137" ht="15" customHeight="1" s="1">
      <c r="A137" s="106" t="inlineStr">
        <is>
          <t>쿠팡플레이/티빙</t>
        </is>
      </c>
      <c r="B137" s="106" t="inlineStr">
        <is>
          <t>4월 24일</t>
        </is>
      </c>
      <c r="C137" s="107" t="inlineStr">
        <is>
          <t>쿠팡플레이 광고</t>
        </is>
      </c>
      <c r="D137" s="106" t="inlineStr">
        <is>
          <t>4.76%</t>
        </is>
      </c>
      <c r="E137" s="106" t="n">
        <v>2</v>
      </c>
      <c r="F137" s="108" t="inlineStr">
        <is>
          <t>About</t>
        </is>
      </c>
    </row>
    <row r="138" ht="15" customHeight="1" s="1">
      <c r="A138" s="106" t="inlineStr">
        <is>
          <t>쿠팡플레이/티빙</t>
        </is>
      </c>
      <c r="B138" s="106" t="inlineStr">
        <is>
          <t>4월 27일</t>
        </is>
      </c>
      <c r="C138" s="107" t="inlineStr">
        <is>
          <t>쿠팡플레이 광고</t>
        </is>
      </c>
      <c r="D138" s="106" t="inlineStr">
        <is>
          <t>1.72%</t>
        </is>
      </c>
      <c r="E138" s="106" t="n">
        <v>1</v>
      </c>
      <c r="F138" s="108" t="inlineStr">
        <is>
          <t>About</t>
        </is>
      </c>
    </row>
    <row r="139" ht="15" customHeight="1" s="1">
      <c r="A139" s="106" t="inlineStr">
        <is>
          <t>쿠팡플레이/티빙</t>
        </is>
      </c>
      <c r="B139" s="106" t="inlineStr">
        <is>
          <t>4월 27일</t>
        </is>
      </c>
      <c r="C139" s="107" t="inlineStr">
        <is>
          <t>쿠팡플레이 광고</t>
        </is>
      </c>
      <c r="D139" s="106" t="inlineStr">
        <is>
          <t>1.72%</t>
        </is>
      </c>
      <c r="E139" s="106" t="n">
        <v>1</v>
      </c>
      <c r="F139" s="108" t="inlineStr">
        <is>
          <t>About</t>
        </is>
      </c>
    </row>
    <row r="140" ht="15" customHeight="1" s="1">
      <c r="A140" s="106" t="inlineStr">
        <is>
          <t>쿠팡플레이/티빙</t>
        </is>
      </c>
      <c r="B140" s="106" t="inlineStr">
        <is>
          <t>4월 27일</t>
        </is>
      </c>
      <c r="C140" s="107" t="inlineStr">
        <is>
          <t>티빙 쿠팡</t>
        </is>
      </c>
      <c r="D140" s="106" t="inlineStr">
        <is>
          <t>1.72%</t>
        </is>
      </c>
      <c r="E140" s="106" t="n">
        <v>1</v>
      </c>
      <c r="F140" s="108" t="inlineStr">
        <is>
          <t>About</t>
        </is>
      </c>
    </row>
    <row r="141" ht="15" customHeight="1" s="1">
      <c r="A141" s="106" t="inlineStr">
        <is>
          <t>쿠팡플레이/티빙</t>
        </is>
      </c>
      <c r="B141" s="106" t="inlineStr">
        <is>
          <t>4월 29일</t>
        </is>
      </c>
      <c r="C141" s="107" t="inlineStr">
        <is>
          <t>쿠팡플레이 광고</t>
        </is>
      </c>
      <c r="D141" s="106" t="inlineStr">
        <is>
          <t>5.26%</t>
        </is>
      </c>
      <c r="E141" s="106" t="n">
        <v>2</v>
      </c>
      <c r="F141" s="108" t="inlineStr">
        <is>
          <t>About</t>
        </is>
      </c>
    </row>
    <row r="142" ht="15" customHeight="1" s="1">
      <c r="A142" s="106" t="inlineStr">
        <is>
          <t>쿠팡플레이/티빙</t>
        </is>
      </c>
      <c r="B142" s="106" t="inlineStr">
        <is>
          <t>4월 30일</t>
        </is>
      </c>
      <c r="C142" s="107" t="inlineStr">
        <is>
          <t>티빙 쿠팡플레이</t>
        </is>
      </c>
      <c r="D142" s="106" t="inlineStr">
        <is>
          <t>5.26%</t>
        </is>
      </c>
      <c r="E142" s="106" t="n">
        <v>1</v>
      </c>
      <c r="F142" s="108" t="inlineStr">
        <is>
          <t>About</t>
        </is>
      </c>
    </row>
    <row r="143" ht="15" customHeight="1" s="1">
      <c r="A143" s="103" t="inlineStr">
        <is>
          <t>당근마켓</t>
        </is>
      </c>
      <c r="B143" s="103" t="inlineStr">
        <is>
          <t>4월 7일</t>
        </is>
      </c>
      <c r="C143" s="104" t="inlineStr">
        <is>
          <t>당근마켓 동영상 광고</t>
        </is>
      </c>
      <c r="D143" s="103" t="inlineStr">
        <is>
          <t>1.59%</t>
        </is>
      </c>
      <c r="E143" s="103" t="n">
        <v>1</v>
      </c>
      <c r="F143" s="105" t="inlineStr">
        <is>
          <t>About</t>
        </is>
      </c>
    </row>
    <row r="144" ht="15" customHeight="1" s="1">
      <c r="A144" s="106" t="inlineStr">
        <is>
          <t>당근마켓</t>
        </is>
      </c>
      <c r="B144" s="106" t="inlineStr">
        <is>
          <t>4월 3일</t>
        </is>
      </c>
      <c r="C144" s="107" t="inlineStr">
        <is>
          <t>당근 전문가모드 하는법</t>
        </is>
      </c>
      <c r="D144" s="106" t="inlineStr">
        <is>
          <t>2.94%</t>
        </is>
      </c>
      <c r="E144" s="106" t="n">
        <v>1</v>
      </c>
      <c r="F144" s="108" t="inlineStr">
        <is>
          <t>About</t>
        </is>
      </c>
    </row>
    <row r="145" ht="15" customHeight="1" s="1">
      <c r="A145" s="106" t="inlineStr">
        <is>
          <t>당근마켓</t>
        </is>
      </c>
      <c r="B145" s="106" t="inlineStr">
        <is>
          <t>4월 7일</t>
        </is>
      </c>
      <c r="C145" s="107" t="inlineStr">
        <is>
          <t>무신사 당근 카탈로그 광고 기반 개인화</t>
        </is>
      </c>
      <c r="D145" s="106" t="inlineStr">
        <is>
          <t>1.59%</t>
        </is>
      </c>
      <c r="E145" s="106" t="n">
        <v>1</v>
      </c>
      <c r="F145" s="111" t="inlineStr">
        <is>
          <t>Media</t>
        </is>
      </c>
    </row>
    <row r="146" ht="15" customHeight="1" s="1">
      <c r="A146" s="106" t="inlineStr">
        <is>
          <t>당근마켓</t>
        </is>
      </c>
      <c r="B146" s="106" t="inlineStr">
        <is>
          <t>4월 3일</t>
        </is>
      </c>
      <c r="C146" s="107" t="inlineStr">
        <is>
          <t>당근 전문가모드 맞춤타겟</t>
        </is>
      </c>
      <c r="D146" s="106" t="inlineStr">
        <is>
          <t>2.94%</t>
        </is>
      </c>
      <c r="E146" s="106" t="n">
        <v>1</v>
      </c>
      <c r="F146" s="108" t="inlineStr">
        <is>
          <t>About</t>
        </is>
      </c>
    </row>
    <row r="147" ht="15" customHeight="1" s="1">
      <c r="A147" s="106" t="inlineStr">
        <is>
          <t>당근마켓</t>
        </is>
      </c>
      <c r="B147" s="106" t="inlineStr">
        <is>
          <t>4월 3일</t>
        </is>
      </c>
      <c r="C147" s="107" t="inlineStr">
        <is>
          <t>당근 동영상</t>
        </is>
      </c>
      <c r="D147" s="106" t="inlineStr">
        <is>
          <t>2.94%</t>
        </is>
      </c>
      <c r="E147" s="106" t="n">
        <v>1</v>
      </c>
      <c r="F147" s="111" t="inlineStr">
        <is>
          <t>Media</t>
        </is>
      </c>
    </row>
    <row r="148" ht="15" customHeight="1" s="1">
      <c r="A148" s="106" t="inlineStr">
        <is>
          <t>당근마켓</t>
        </is>
      </c>
      <c r="B148" s="106" t="inlineStr">
        <is>
          <t>4월 9일</t>
        </is>
      </c>
      <c r="C148" s="107" t="inlineStr">
        <is>
          <t>당근마켓 전문가모드와 간편모드의 차이점이 궁금해요</t>
        </is>
      </c>
      <c r="D148" s="106" t="inlineStr">
        <is>
          <t>2.70%</t>
        </is>
      </c>
      <c r="E148" s="106" t="n">
        <v>1</v>
      </c>
      <c r="F148" s="111" t="inlineStr">
        <is>
          <t>Media</t>
        </is>
      </c>
    </row>
    <row r="149" ht="15" customHeight="1" s="1">
      <c r="A149" s="106" t="inlineStr">
        <is>
          <t>당근마켓</t>
        </is>
      </c>
      <c r="B149" s="106" t="inlineStr">
        <is>
          <t>4월 9일</t>
        </is>
      </c>
      <c r="C149" s="107" t="inlineStr">
        <is>
          <t>당근 간편모드 전문가모드</t>
        </is>
      </c>
      <c r="D149" s="106" t="inlineStr">
        <is>
          <t>2.70%</t>
        </is>
      </c>
      <c r="E149" s="106" t="n">
        <v>1</v>
      </c>
      <c r="F149" s="111" t="inlineStr">
        <is>
          <t>Media</t>
        </is>
      </c>
    </row>
    <row r="150" ht="15" customHeight="1" s="1">
      <c r="A150" s="106" t="inlineStr">
        <is>
          <t>당근마켓</t>
        </is>
      </c>
      <c r="B150" s="106" t="inlineStr">
        <is>
          <t>4월 9일</t>
        </is>
      </c>
      <c r="C150" s="107" t="inlineStr">
        <is>
          <t>당근 전문가모드 하는법</t>
        </is>
      </c>
      <c r="D150" s="106" t="inlineStr">
        <is>
          <t>2.70%</t>
        </is>
      </c>
      <c r="E150" s="106" t="n">
        <v>1</v>
      </c>
      <c r="F150" s="111" t="inlineStr">
        <is>
          <t>Media</t>
        </is>
      </c>
    </row>
    <row r="151" ht="15" customHeight="1" s="1">
      <c r="A151" s="106" t="inlineStr">
        <is>
          <t>당근마켓</t>
        </is>
      </c>
      <c r="B151" s="106" t="inlineStr">
        <is>
          <t>4월 15일</t>
        </is>
      </c>
      <c r="C151" s="107" t="inlineStr">
        <is>
          <t>당근 전문가모드 하는법</t>
        </is>
      </c>
      <c r="D151" s="106" t="inlineStr">
        <is>
          <t>0.87%</t>
        </is>
      </c>
      <c r="E151" s="106" t="n">
        <v>1</v>
      </c>
      <c r="F151" s="111" t="inlineStr">
        <is>
          <t>Media</t>
        </is>
      </c>
    </row>
    <row r="152" ht="15" customHeight="1" s="1">
      <c r="A152" s="106" t="inlineStr">
        <is>
          <t>당근마켓</t>
        </is>
      </c>
      <c r="B152" s="106" t="inlineStr">
        <is>
          <t>4월 16일</t>
        </is>
      </c>
      <c r="C152" s="107" t="inlineStr">
        <is>
          <t>당근 전문가모드광고방법</t>
        </is>
      </c>
      <c r="D152" s="106" t="inlineStr">
        <is>
          <t>2.27%</t>
        </is>
      </c>
      <c r="E152" s="106" t="n">
        <v>1</v>
      </c>
      <c r="F152" s="111" t="inlineStr">
        <is>
          <t>Media</t>
        </is>
      </c>
    </row>
    <row r="153" ht="15" customHeight="1" s="1">
      <c r="A153" s="106" t="inlineStr">
        <is>
          <t>당근마켓</t>
        </is>
      </c>
      <c r="B153" s="106" t="inlineStr">
        <is>
          <t>4월 20일</t>
        </is>
      </c>
      <c r="C153" s="107" t="inlineStr">
        <is>
          <t>당근마켓 광고 전문가모드</t>
        </is>
      </c>
      <c r="D153" s="106" t="inlineStr">
        <is>
          <t>3.33%</t>
        </is>
      </c>
      <c r="E153" s="106" t="n">
        <v>1</v>
      </c>
      <c r="F153" s="111" t="inlineStr">
        <is>
          <t>Media</t>
        </is>
      </c>
    </row>
    <row r="154" ht="15" customHeight="1" s="1">
      <c r="A154" s="106" t="inlineStr">
        <is>
          <t>당근마켓</t>
        </is>
      </c>
      <c r="B154" s="106" t="inlineStr">
        <is>
          <t>4월 16일</t>
        </is>
      </c>
      <c r="C154" s="107" t="inlineStr">
        <is>
          <t>당근마켓광고전문가모드사업자</t>
        </is>
      </c>
      <c r="D154" s="106" t="inlineStr">
        <is>
          <t>2.27%</t>
        </is>
      </c>
      <c r="E154" s="106" t="n">
        <v>1</v>
      </c>
      <c r="F154" s="111" t="inlineStr">
        <is>
          <t>Media</t>
        </is>
      </c>
    </row>
    <row r="155" ht="15" customHeight="1" s="1">
      <c r="A155" s="106" t="inlineStr">
        <is>
          <t>당근마켓</t>
        </is>
      </c>
      <c r="B155" s="106" t="inlineStr">
        <is>
          <t>4월 17일</t>
        </is>
      </c>
      <c r="C155" s="107" t="inlineStr">
        <is>
          <t>당근 전문가모드 제휴마케팅</t>
        </is>
      </c>
      <c r="D155" s="106" t="inlineStr">
        <is>
          <t>1.75%</t>
        </is>
      </c>
      <c r="E155" s="106" t="n">
        <v>1</v>
      </c>
      <c r="F155" s="108" t="inlineStr">
        <is>
          <t>About</t>
        </is>
      </c>
    </row>
    <row r="156" ht="15" customHeight="1" s="1">
      <c r="A156" s="106" t="inlineStr">
        <is>
          <t>당근마켓</t>
        </is>
      </c>
      <c r="B156" s="106" t="inlineStr">
        <is>
          <t>4월 20일</t>
        </is>
      </c>
      <c r="C156" s="107" t="inlineStr">
        <is>
          <t>당근 전문가모드광고방법</t>
        </is>
      </c>
      <c r="D156" s="106" t="inlineStr">
        <is>
          <t>3.33%</t>
        </is>
      </c>
      <c r="E156" s="106" t="n">
        <v>1</v>
      </c>
      <c r="F156" s="111" t="inlineStr">
        <is>
          <t>Media</t>
        </is>
      </c>
    </row>
    <row r="157" ht="15" customHeight="1" s="1">
      <c r="A157" s="106" t="inlineStr">
        <is>
          <t>당근마켓</t>
        </is>
      </c>
      <c r="B157" s="106" t="inlineStr">
        <is>
          <t>4월 24일</t>
        </is>
      </c>
      <c r="C157" s="107" t="inlineStr">
        <is>
          <t>당근에 동영상 광고</t>
        </is>
      </c>
      <c r="D157" s="106" t="inlineStr">
        <is>
          <t>2.38%</t>
        </is>
      </c>
      <c r="E157" s="106" t="n">
        <v>1</v>
      </c>
      <c r="F157" s="108" t="inlineStr">
        <is>
          <t>About</t>
        </is>
      </c>
    </row>
    <row r="158" ht="15" customHeight="1" s="1">
      <c r="A158" s="103" t="inlineStr">
        <is>
          <t>카카오톡/카카오</t>
        </is>
      </c>
      <c r="B158" s="103" t="inlineStr">
        <is>
          <t>4월 1일</t>
        </is>
      </c>
      <c r="C158" s="104" t="inlineStr">
        <is>
          <t>카카오톡 선물하기에서 성공한 브랜드 사례를 알려주세요</t>
        </is>
      </c>
      <c r="D158" s="103" t="inlineStr">
        <is>
          <t>2.70%</t>
        </is>
      </c>
      <c r="E158" s="103" t="n">
        <v>1</v>
      </c>
      <c r="F158" s="112" t="inlineStr">
        <is>
          <t>Media</t>
        </is>
      </c>
    </row>
    <row r="159" ht="15" customHeight="1" s="1">
      <c r="A159" s="106" t="inlineStr">
        <is>
          <t>카카오톡/카카오</t>
        </is>
      </c>
      <c r="B159" s="106" t="inlineStr">
        <is>
          <t>4월 1일</t>
        </is>
      </c>
      <c r="C159" s="107" t="inlineStr">
        <is>
          <t>카카오톡 플친 웰컴메시지 ★★★★★ 해당 문자 조합 알려주세요</t>
        </is>
      </c>
      <c r="D159" s="106" t="inlineStr">
        <is>
          <t>2.70%</t>
        </is>
      </c>
      <c r="E159" s="106" t="n">
        <v>1</v>
      </c>
      <c r="F159" s="111" t="inlineStr">
        <is>
          <t>Media</t>
        </is>
      </c>
    </row>
    <row r="160" ht="15" customHeight="1" s="1">
      <c r="A160" s="106" t="inlineStr">
        <is>
          <t>카카오톡/카카오</t>
        </is>
      </c>
      <c r="B160" s="106" t="inlineStr">
        <is>
          <t>4월 7일</t>
        </is>
      </c>
      <c r="C160" s="107" t="inlineStr">
        <is>
          <t>카카오t 택시 핀테마</t>
        </is>
      </c>
      <c r="D160" s="106" t="inlineStr">
        <is>
          <t>1.59%</t>
        </is>
      </c>
      <c r="E160" s="106" t="n">
        <v>1</v>
      </c>
      <c r="F160" s="111" t="inlineStr">
        <is>
          <t>Media</t>
        </is>
      </c>
    </row>
    <row r="161" ht="15" customHeight="1" s="1">
      <c r="A161" s="106" t="inlineStr">
        <is>
          <t>카카오톡/카카오</t>
        </is>
      </c>
      <c r="B161" s="106" t="inlineStr">
        <is>
          <t>4월 3일</t>
        </is>
      </c>
      <c r="C161" s="107" t="inlineStr">
        <is>
          <t>카카오 플친 유형</t>
        </is>
      </c>
      <c r="D161" s="106" t="inlineStr">
        <is>
          <t>2.94%</t>
        </is>
      </c>
      <c r="E161" s="106" t="n">
        <v>1</v>
      </c>
      <c r="F161" s="111" t="inlineStr">
        <is>
          <t>Media</t>
        </is>
      </c>
    </row>
    <row r="162" ht="15" customHeight="1" s="1">
      <c r="A162" s="106" t="inlineStr">
        <is>
          <t>카카오톡/카카오</t>
        </is>
      </c>
      <c r="B162" s="106" t="inlineStr">
        <is>
          <t>4월 3일</t>
        </is>
      </c>
      <c r="C162" s="107" t="inlineStr">
        <is>
          <t>카카오t rse광고</t>
        </is>
      </c>
      <c r="D162" s="106" t="inlineStr">
        <is>
          <t>2.94%</t>
        </is>
      </c>
      <c r="E162" s="106" t="n">
        <v>1</v>
      </c>
      <c r="F162" s="111" t="inlineStr">
        <is>
          <t>Media</t>
        </is>
      </c>
    </row>
    <row r="163" ht="15" customHeight="1" s="1">
      <c r="A163" s="106" t="inlineStr">
        <is>
          <t>카카오톡/카카오</t>
        </is>
      </c>
      <c r="B163" s="106" t="inlineStr">
        <is>
          <t>4월 10일</t>
        </is>
      </c>
      <c r="C163" s="107" t="inlineStr">
        <is>
          <t>카카오채널 메세지와 모먼트 차이</t>
        </is>
      </c>
      <c r="D163" s="106" t="inlineStr">
        <is>
          <t>3.85%</t>
        </is>
      </c>
      <c r="E163" s="106" t="n">
        <v>1</v>
      </c>
      <c r="F163" s="111" t="inlineStr">
        <is>
          <t>Media</t>
        </is>
      </c>
    </row>
    <row r="164" ht="15" customHeight="1" s="1">
      <c r="A164" s="106" t="inlineStr">
        <is>
          <t>카카오톡/카카오</t>
        </is>
      </c>
      <c r="B164" s="106" t="inlineStr">
        <is>
          <t>4월 8일</t>
        </is>
      </c>
      <c r="C164" s="107" t="inlineStr">
        <is>
          <t>카카오톡 선물하기 광고 수상작</t>
        </is>
      </c>
      <c r="D164" s="106" t="inlineStr">
        <is>
          <t>2.70%</t>
        </is>
      </c>
      <c r="E164" s="106" t="n">
        <v>1</v>
      </c>
      <c r="F164" s="111" t="inlineStr">
        <is>
          <t>Media</t>
        </is>
      </c>
    </row>
    <row r="165" ht="15" customHeight="1" s="1">
      <c r="A165" s="106" t="inlineStr">
        <is>
          <t>카카오톡/카카오</t>
        </is>
      </c>
      <c r="B165" s="106" t="inlineStr">
        <is>
          <t>4월 9일</t>
        </is>
      </c>
      <c r="C165" s="107" t="inlineStr">
        <is>
          <t>카카오 모밀리티 매체 광고 건</t>
        </is>
      </c>
      <c r="D165" s="106" t="inlineStr">
        <is>
          <t>2.70%</t>
        </is>
      </c>
      <c r="E165" s="106" t="n">
        <v>1</v>
      </c>
      <c r="F165" s="108" t="inlineStr">
        <is>
          <t>About</t>
        </is>
      </c>
    </row>
    <row r="166" ht="15" customHeight="1" s="1">
      <c r="A166" s="106" t="inlineStr">
        <is>
          <t>카카오톡/카카오</t>
        </is>
      </c>
      <c r="B166" s="106" t="inlineStr">
        <is>
          <t>4월 9일</t>
        </is>
      </c>
      <c r="C166" s="107" t="inlineStr">
        <is>
          <t>카카오모먼트 카플친</t>
        </is>
      </c>
      <c r="D166" s="106" t="inlineStr">
        <is>
          <t>2.70%</t>
        </is>
      </c>
      <c r="E166" s="106" t="n">
        <v>1</v>
      </c>
      <c r="F166" s="111" t="inlineStr">
        <is>
          <t>Media</t>
        </is>
      </c>
    </row>
    <row r="167" ht="15" customHeight="1" s="1">
      <c r="A167" s="106" t="inlineStr">
        <is>
          <t>카카오톡/카카오</t>
        </is>
      </c>
      <c r="B167" s="106" t="inlineStr">
        <is>
          <t>4월 9일</t>
        </is>
      </c>
      <c r="C167" s="107" t="inlineStr">
        <is>
          <t>카카오채널 메시지 이미지</t>
        </is>
      </c>
      <c r="D167" s="106" t="inlineStr">
        <is>
          <t>2.70%</t>
        </is>
      </c>
      <c r="E167" s="106" t="n">
        <v>1</v>
      </c>
      <c r="F167" s="111" t="inlineStr">
        <is>
          <t>Media</t>
        </is>
      </c>
    </row>
    <row r="168" ht="15" customHeight="1" s="1">
      <c r="A168" s="106" t="inlineStr">
        <is>
          <t>카카오톡/카카오</t>
        </is>
      </c>
      <c r="B168" s="106" t="inlineStr">
        <is>
          <t>4월 14일</t>
        </is>
      </c>
      <c r="C168" s="107" t="inlineStr">
        <is>
          <t>카카오 플친톡 카탈로그 광고</t>
        </is>
      </c>
      <c r="D168" s="106" t="inlineStr">
        <is>
          <t>0.78%</t>
        </is>
      </c>
      <c r="E168" s="106" t="n">
        <v>1</v>
      </c>
      <c r="F168" s="111" t="inlineStr">
        <is>
          <t>Media</t>
        </is>
      </c>
    </row>
    <row r="169" ht="15" customHeight="1" s="1">
      <c r="A169" s="106" t="inlineStr">
        <is>
          <t>카카오톡/카카오</t>
        </is>
      </c>
      <c r="B169" s="106" t="inlineStr">
        <is>
          <t>4월 15일</t>
        </is>
      </c>
      <c r="C169" s="107" t="inlineStr">
        <is>
          <t>카카오톡 소식 조회수</t>
        </is>
      </c>
      <c r="D169" s="106" t="inlineStr">
        <is>
          <t>0.87%</t>
        </is>
      </c>
      <c r="E169" s="106" t="n">
        <v>1</v>
      </c>
      <c r="F169" s="108" t="inlineStr">
        <is>
          <t>About</t>
        </is>
      </c>
    </row>
    <row r="170" ht="15" customHeight="1" s="1">
      <c r="A170" s="106" t="inlineStr">
        <is>
          <t>카카오톡/카카오</t>
        </is>
      </c>
      <c r="B170" s="106" t="inlineStr">
        <is>
          <t>4월 24일</t>
        </is>
      </c>
      <c r="C170" s="107" t="inlineStr">
        <is>
          <t>카카오톡 체널 메세지 카카오모먼트 차이</t>
        </is>
      </c>
      <c r="D170" s="106" t="inlineStr">
        <is>
          <t>2.38%</t>
        </is>
      </c>
      <c r="E170" s="106" t="n">
        <v>1</v>
      </c>
      <c r="F170" s="111" t="inlineStr">
        <is>
          <t>Media</t>
        </is>
      </c>
    </row>
    <row r="171" ht="15" customHeight="1" s="1">
      <c r="A171" s="106" t="inlineStr">
        <is>
          <t>카카오톡/카카오</t>
        </is>
      </c>
      <c r="B171" s="106" t="inlineStr">
        <is>
          <t>4월 29일</t>
        </is>
      </c>
      <c r="C171" s="107" t="inlineStr">
        <is>
          <t>카카오모빌리티 매체설명회</t>
        </is>
      </c>
      <c r="D171" s="106" t="inlineStr">
        <is>
          <t>2.63%</t>
        </is>
      </c>
      <c r="E171" s="106" t="n">
        <v>1</v>
      </c>
      <c r="F171" s="111" t="inlineStr">
        <is>
          <t>Media</t>
        </is>
      </c>
    </row>
    <row r="172" ht="15" customHeight="1" s="1">
      <c r="A172" s="106" t="inlineStr">
        <is>
          <t>카카오톡/카카오</t>
        </is>
      </c>
      <c r="B172" s="106" t="inlineStr">
        <is>
          <t>4월 29일</t>
        </is>
      </c>
      <c r="C172" s="107" t="inlineStr">
        <is>
          <t>카카오톡 채널 기존 유형 번경</t>
        </is>
      </c>
      <c r="D172" s="106" t="inlineStr">
        <is>
          <t>2.63%</t>
        </is>
      </c>
      <c r="E172" s="106" t="n">
        <v>1</v>
      </c>
      <c r="F172" s="111" t="inlineStr">
        <is>
          <t>Media</t>
        </is>
      </c>
    </row>
    <row r="173" ht="15" customHeight="1" s="1">
      <c r="A173" s="103" t="inlineStr">
        <is>
          <t>왕과사는남자/촬영실록</t>
        </is>
      </c>
      <c r="B173" s="103" t="inlineStr">
        <is>
          <t>4월 3일</t>
        </is>
      </c>
      <c r="C173" s="104" t="inlineStr">
        <is>
          <t>쇼박스 실록</t>
        </is>
      </c>
      <c r="D173" s="103" t="inlineStr">
        <is>
          <t>2.94%</t>
        </is>
      </c>
      <c r="E173" s="103" t="n">
        <v>1</v>
      </c>
      <c r="F173" s="113" t="inlineStr">
        <is>
          <t>Trend</t>
        </is>
      </c>
    </row>
    <row r="174" ht="15" customHeight="1" s="1">
      <c r="A174" s="106" t="inlineStr">
        <is>
          <t>왕과사는남자/촬영실록</t>
        </is>
      </c>
      <c r="B174" s="106" t="inlineStr">
        <is>
          <t>4월 5일</t>
        </is>
      </c>
      <c r="C174" s="107" t="inlineStr">
        <is>
          <t>왕과 사는 남자 촬영 실록</t>
        </is>
      </c>
      <c r="D174" s="106" t="inlineStr">
        <is>
          <t>2.27%</t>
        </is>
      </c>
      <c r="E174" s="106" t="n">
        <v>1</v>
      </c>
      <c r="F174" s="109" t="inlineStr">
        <is>
          <t>Trend</t>
        </is>
      </c>
    </row>
    <row r="175" ht="15" customHeight="1" s="1">
      <c r="A175" s="106" t="inlineStr">
        <is>
          <t>왕과사는남자/촬영실록</t>
        </is>
      </c>
      <c r="B175" s="106" t="inlineStr">
        <is>
          <t>4월 1일</t>
        </is>
      </c>
      <c r="C175" s="107" t="inlineStr">
        <is>
          <t>왕과사는남자 촬영실록비하인드  2.70%</t>
        </is>
      </c>
      <c r="D175" s="106" t="inlineStr">
        <is>
          <t>2.70%</t>
        </is>
      </c>
      <c r="E175" s="106" t="n">
        <v>1</v>
      </c>
      <c r="F175" s="109" t="inlineStr">
        <is>
          <t>Trend</t>
        </is>
      </c>
    </row>
    <row r="176" ht="15" customHeight="1" s="1">
      <c r="A176" s="106" t="inlineStr">
        <is>
          <t>왕과사는남자/촬영실록</t>
        </is>
      </c>
      <c r="B176" s="106" t="inlineStr">
        <is>
          <t>4월 13일</t>
        </is>
      </c>
      <c r="C176" s="107" t="inlineStr">
        <is>
          <t>왕과 사는 남자 소품팀</t>
        </is>
      </c>
      <c r="D176" s="106" t="inlineStr">
        <is>
          <t>2.38%</t>
        </is>
      </c>
      <c r="E176" s="106" t="n">
        <v>1</v>
      </c>
      <c r="F176" s="109" t="inlineStr">
        <is>
          <t>Trend</t>
        </is>
      </c>
    </row>
    <row r="177" ht="15" customHeight="1" s="1">
      <c r="A177" s="106" t="inlineStr">
        <is>
          <t>왕과사는남자/촬영실록</t>
        </is>
      </c>
      <c r="B177" s="106" t="inlineStr">
        <is>
          <t>4월 9일</t>
        </is>
      </c>
      <c r="C177" s="107" t="inlineStr">
        <is>
          <t>촬영실록</t>
        </is>
      </c>
      <c r="D177" s="106" t="inlineStr">
        <is>
          <t>2.70%</t>
        </is>
      </c>
      <c r="E177" s="106" t="n">
        <v>1</v>
      </c>
      <c r="F177" s="109" t="inlineStr">
        <is>
          <t>Trend</t>
        </is>
      </c>
    </row>
    <row r="178" ht="15" customHeight="1" s="1">
      <c r="A178" s="106" t="inlineStr">
        <is>
          <t>왕과사는남자/촬영실록</t>
        </is>
      </c>
      <c r="B178" s="106" t="inlineStr">
        <is>
          <t>4월 8일</t>
        </is>
      </c>
      <c r="C178" s="107" t="inlineStr">
        <is>
          <t>촬영 실록</t>
        </is>
      </c>
      <c r="D178" s="106" t="inlineStr">
        <is>
          <t>2.70%</t>
        </is>
      </c>
      <c r="E178" s="106" t="n">
        <v>1</v>
      </c>
      <c r="F178" s="109" t="inlineStr">
        <is>
          <t>Trend</t>
        </is>
      </c>
    </row>
    <row r="179" ht="15" customHeight="1" s="1">
      <c r="A179" s="106" t="inlineStr">
        <is>
          <t>왕과사는남자/촬영실록</t>
        </is>
      </c>
      <c r="B179" s="106" t="inlineStr">
        <is>
          <t>4월 14일</t>
        </is>
      </c>
      <c r="C179" s="107" t="inlineStr">
        <is>
          <t>쇼박스 촬영실록</t>
        </is>
      </c>
      <c r="D179" s="106" t="inlineStr">
        <is>
          <t>0.78%</t>
        </is>
      </c>
      <c r="E179" s="106" t="n">
        <v>1</v>
      </c>
      <c r="F179" s="109" t="inlineStr">
        <is>
          <t>Trend</t>
        </is>
      </c>
    </row>
    <row r="180" ht="15" customHeight="1" s="1">
      <c r="A180" s="106" t="inlineStr">
        <is>
          <t>왕과사는남자/촬영실록</t>
        </is>
      </c>
      <c r="B180" s="106" t="inlineStr">
        <is>
          <t>4월 14일</t>
        </is>
      </c>
      <c r="C180" s="107" t="inlineStr">
        <is>
          <t>왕사남 노션</t>
        </is>
      </c>
      <c r="D180" s="106" t="inlineStr">
        <is>
          <t>0.78%</t>
        </is>
      </c>
      <c r="E180" s="106" t="n">
        <v>1</v>
      </c>
      <c r="F180" s="109" t="inlineStr">
        <is>
          <t>Trend</t>
        </is>
      </c>
    </row>
    <row r="181" ht="15" customHeight="1" s="1">
      <c r="A181" s="106" t="inlineStr">
        <is>
          <t>왕과사는남자/촬영실록</t>
        </is>
      </c>
      <c r="B181" s="106" t="inlineStr">
        <is>
          <t>4월 21일</t>
        </is>
      </c>
      <c r="C181" s="107" t="inlineStr">
        <is>
          <t>왕과사는남자 실록 노션</t>
        </is>
      </c>
      <c r="D181" s="106" t="inlineStr">
        <is>
          <t>2.04%</t>
        </is>
      </c>
      <c r="E181" s="106" t="n">
        <v>1</v>
      </c>
      <c r="F181" s="109" t="inlineStr">
        <is>
          <t>Trend</t>
        </is>
      </c>
    </row>
    <row r="182" ht="15" customHeight="1" s="1">
      <c r="A182" s="106" t="inlineStr">
        <is>
          <t>왕과사는남자/촬영실록</t>
        </is>
      </c>
      <c r="B182" s="106" t="inlineStr">
        <is>
          <t>4월 22일</t>
        </is>
      </c>
      <c r="C182" s="107" t="inlineStr">
        <is>
          <t>쇼박스 마케팅</t>
        </is>
      </c>
      <c r="D182" s="106" t="inlineStr">
        <is>
          <t>3.70%</t>
        </is>
      </c>
      <c r="E182" s="106" t="n">
        <v>1</v>
      </c>
      <c r="F182" s="109" t="inlineStr">
        <is>
          <t>Trend</t>
        </is>
      </c>
    </row>
    <row r="183" ht="15" customHeight="1" s="1">
      <c r="A183" s="106" t="inlineStr">
        <is>
          <t>왕과사는남자/촬영실록</t>
        </is>
      </c>
      <c r="B183" s="106" t="inlineStr">
        <is>
          <t>4월 23일</t>
        </is>
      </c>
      <c r="C183" s="107" t="inlineStr">
        <is>
          <t>촬영실록</t>
        </is>
      </c>
      <c r="D183" s="106" t="inlineStr">
        <is>
          <t>1.27%</t>
        </is>
      </c>
      <c r="E183" s="106" t="n">
        <v>1</v>
      </c>
      <c r="F183" s="109" t="inlineStr">
        <is>
          <t>Trend</t>
        </is>
      </c>
    </row>
    <row r="184" ht="15" customHeight="1" s="1">
      <c r="A184" s="106" t="inlineStr">
        <is>
          <t>왕과사는남자/촬영실록</t>
        </is>
      </c>
      <c r="B184" s="106" t="inlineStr">
        <is>
          <t>4월 24일</t>
        </is>
      </c>
      <c r="C184" s="107" t="inlineStr">
        <is>
          <t>왕과 사는 남자 촬영실록 노션 페이지 접속 방법 알려주세요</t>
        </is>
      </c>
      <c r="D184" s="106" t="inlineStr">
        <is>
          <t>2.38%</t>
        </is>
      </c>
      <c r="E184" s="106" t="n">
        <v>1</v>
      </c>
      <c r="F184" s="109" t="inlineStr">
        <is>
          <t>Trend</t>
        </is>
      </c>
    </row>
    <row r="185" ht="15" customHeight="1" s="1">
      <c r="A185" s="106" t="inlineStr">
        <is>
          <t>왕과사는남자/촬영실록</t>
        </is>
      </c>
      <c r="B185" s="106" t="inlineStr">
        <is>
          <t>4월 25일</t>
        </is>
      </c>
      <c r="C185" s="107" t="inlineStr">
        <is>
          <t>왕과사는 남자 쇼박스 노션</t>
        </is>
      </c>
      <c r="D185" s="106" t="inlineStr">
        <is>
          <t>10.00%</t>
        </is>
      </c>
      <c r="E185" s="106" t="n">
        <v>1</v>
      </c>
      <c r="F185" s="109" t="inlineStr">
        <is>
          <t>Trend</t>
        </is>
      </c>
    </row>
    <row r="186" ht="15" customHeight="1" s="1">
      <c r="A186" s="106" t="inlineStr">
        <is>
          <t>왕과사는남자/촬영실록</t>
        </is>
      </c>
      <c r="B186" s="106" t="inlineStr">
        <is>
          <t>4월 23일</t>
        </is>
      </c>
      <c r="C186" s="107" t="inlineStr">
        <is>
          <t>왕사남 노션</t>
        </is>
      </c>
      <c r="D186" s="106" t="inlineStr">
        <is>
          <t>1.27%</t>
        </is>
      </c>
      <c r="E186" s="106" t="n">
        <v>1</v>
      </c>
      <c r="F186" s="109" t="inlineStr">
        <is>
          <t>Trend</t>
        </is>
      </c>
    </row>
    <row r="187" ht="15" customHeight="1" s="1">
      <c r="A187" s="106" t="inlineStr">
        <is>
          <t>왕과사는남자/촬영실록</t>
        </is>
      </c>
      <c r="B187" s="106" t="inlineStr">
        <is>
          <t>4월 29일</t>
        </is>
      </c>
      <c r="C187" s="107" t="inlineStr">
        <is>
          <t>왕과사는남자 촬영실록</t>
        </is>
      </c>
      <c r="D187" s="106" t="inlineStr">
        <is>
          <t>2.63%</t>
        </is>
      </c>
      <c r="E187" s="106" t="n">
        <v>1</v>
      </c>
      <c r="F187" s="109" t="inlineStr">
        <is>
          <t>Trend</t>
        </is>
      </c>
    </row>
    <row r="188" ht="15" customHeight="1" s="1">
      <c r="A188" s="103" t="inlineStr">
        <is>
          <t>중저가 의류</t>
        </is>
      </c>
      <c r="B188" s="103" t="inlineStr">
        <is>
          <t>4월 3일</t>
        </is>
      </c>
      <c r="C188" s="104" t="inlineStr">
        <is>
          <t>중저가 브랜드 여성의류</t>
        </is>
      </c>
      <c r="D188" s="103" t="inlineStr">
        <is>
          <t>2.94%</t>
        </is>
      </c>
      <c r="E188" s="103" t="n">
        <v>1</v>
      </c>
      <c r="F188" s="113" t="inlineStr">
        <is>
          <t>Trend</t>
        </is>
      </c>
    </row>
    <row r="189" ht="15" customHeight="1" s="1">
      <c r="A189" s="106" t="inlineStr">
        <is>
          <t>중저가 의류</t>
        </is>
      </c>
      <c r="B189" s="106" t="inlineStr">
        <is>
          <t>4월 5일</t>
        </is>
      </c>
      <c r="C189" s="107" t="inlineStr">
        <is>
          <t>티몬 대체할 수 있는 중저가 의류 쇼핑몰 알려주세요</t>
        </is>
      </c>
      <c r="D189" s="106" t="inlineStr">
        <is>
          <t>2.27%</t>
        </is>
      </c>
      <c r="E189" s="106" t="n">
        <v>1</v>
      </c>
      <c r="F189" s="109" t="inlineStr">
        <is>
          <t>Trend</t>
        </is>
      </c>
    </row>
    <row r="190" ht="15" customHeight="1" s="1">
      <c r="A190" s="106" t="inlineStr">
        <is>
          <t>중저가 의류</t>
        </is>
      </c>
      <c r="B190" s="106" t="inlineStr">
        <is>
          <t>4월 7일</t>
        </is>
      </c>
      <c r="C190" s="107" t="inlineStr">
        <is>
          <t>중저가 패션 브랜드</t>
        </is>
      </c>
      <c r="D190" s="106" t="inlineStr">
        <is>
          <t>1.59%</t>
        </is>
      </c>
      <c r="E190" s="106" t="n">
        <v>1</v>
      </c>
      <c r="F190" s="109" t="inlineStr">
        <is>
          <t>Trend</t>
        </is>
      </c>
    </row>
    <row r="191" ht="15" customHeight="1" s="1">
      <c r="A191" s="106" t="inlineStr">
        <is>
          <t>중저가 의류</t>
        </is>
      </c>
      <c r="B191" s="106" t="inlineStr">
        <is>
          <t>4월 5일</t>
        </is>
      </c>
      <c r="C191" s="107" t="inlineStr">
        <is>
          <t>여성 중저가 의류 브랜드</t>
        </is>
      </c>
      <c r="D191" s="106" t="inlineStr">
        <is>
          <t>2.27%</t>
        </is>
      </c>
      <c r="E191" s="106" t="n">
        <v>1</v>
      </c>
      <c r="F191" s="109" t="inlineStr">
        <is>
          <t>Trend</t>
        </is>
      </c>
    </row>
    <row r="192" ht="15" customHeight="1" s="1">
      <c r="A192" s="106" t="inlineStr">
        <is>
          <t>중저가 의류</t>
        </is>
      </c>
      <c r="B192" s="106" t="inlineStr">
        <is>
          <t>4월 13일</t>
        </is>
      </c>
      <c r="C192" s="107" t="inlineStr">
        <is>
          <t>중저가 의류 브랜드</t>
        </is>
      </c>
      <c r="D192" s="106" t="inlineStr">
        <is>
          <t>2.38%</t>
        </is>
      </c>
      <c r="E192" s="106" t="n">
        <v>1</v>
      </c>
      <c r="F192" s="109" t="inlineStr">
        <is>
          <t>Trend</t>
        </is>
      </c>
    </row>
    <row r="193" ht="15" customHeight="1" s="1">
      <c r="A193" s="106" t="inlineStr">
        <is>
          <t>중저가 의류</t>
        </is>
      </c>
      <c r="B193" s="106" t="inlineStr">
        <is>
          <t>4월 14일</t>
        </is>
      </c>
      <c r="C193" s="107" t="inlineStr">
        <is>
          <t>중저가의류브렌드</t>
        </is>
      </c>
      <c r="D193" s="106" t="inlineStr">
        <is>
          <t>0.78%</t>
        </is>
      </c>
      <c r="E193" s="106" t="n">
        <v>1</v>
      </c>
      <c r="F193" s="109" t="inlineStr">
        <is>
          <t>Trend</t>
        </is>
      </c>
    </row>
    <row r="194" ht="15" customHeight="1" s="1">
      <c r="A194" s="106" t="inlineStr">
        <is>
          <t>중저가 의류</t>
        </is>
      </c>
      <c r="B194" s="106" t="inlineStr">
        <is>
          <t>4월 9일</t>
        </is>
      </c>
      <c r="C194" s="107" t="inlineStr">
        <is>
          <t>중가여성의류</t>
        </is>
      </c>
      <c r="D194" s="106" t="inlineStr">
        <is>
          <t>2.70%</t>
        </is>
      </c>
      <c r="E194" s="106" t="n">
        <v>1</v>
      </c>
      <c r="F194" s="109" t="inlineStr">
        <is>
          <t>Trend</t>
        </is>
      </c>
    </row>
    <row r="195" ht="15" customHeight="1" s="1">
      <c r="A195" s="106" t="inlineStr">
        <is>
          <t>중저가 의류</t>
        </is>
      </c>
      <c r="B195" s="106" t="inlineStr">
        <is>
          <t>4월 21일</t>
        </is>
      </c>
      <c r="C195" s="107" t="inlineStr">
        <is>
          <t>중저가의류브랜드</t>
        </is>
      </c>
      <c r="D195" s="106" t="inlineStr">
        <is>
          <t>2.04%</t>
        </is>
      </c>
      <c r="E195" s="106" t="n">
        <v>1</v>
      </c>
      <c r="F195" s="109" t="inlineStr">
        <is>
          <t>Trend</t>
        </is>
      </c>
    </row>
    <row r="196" ht="15" customHeight="1" s="1">
      <c r="A196" s="106" t="inlineStr">
        <is>
          <t>중저가 의류</t>
        </is>
      </c>
      <c r="B196" s="106" t="inlineStr">
        <is>
          <t>4월 20일</t>
        </is>
      </c>
      <c r="C196" s="107" t="inlineStr">
        <is>
          <t>명품화장품과 중저가화장품 품질비교</t>
        </is>
      </c>
      <c r="D196" s="106" t="inlineStr">
        <is>
          <t>3.33%</t>
        </is>
      </c>
      <c r="E196" s="106" t="n">
        <v>1</v>
      </c>
      <c r="F196" s="109" t="inlineStr">
        <is>
          <t>Trend</t>
        </is>
      </c>
    </row>
    <row r="197" ht="15" customHeight="1" s="1">
      <c r="A197" s="106" t="inlineStr">
        <is>
          <t>중저가 의류</t>
        </is>
      </c>
      <c r="B197" s="106" t="inlineStr">
        <is>
          <t>4월 23일</t>
        </is>
      </c>
      <c r="C197" s="107" t="inlineStr">
        <is>
          <t>중저가 의류 브랜드</t>
        </is>
      </c>
      <c r="D197" s="106" t="inlineStr">
        <is>
          <t>1.27%</t>
        </is>
      </c>
      <c r="E197" s="106" t="n">
        <v>1</v>
      </c>
      <c r="F197" s="109" t="inlineStr">
        <is>
          <t>Trend</t>
        </is>
      </c>
    </row>
    <row r="198" ht="15" customHeight="1" s="1">
      <c r="A198" s="106" t="inlineStr">
        <is>
          <t>중저가 의류</t>
        </is>
      </c>
      <c r="B198" s="106" t="inlineStr">
        <is>
          <t>4월 23일</t>
        </is>
      </c>
      <c r="C198" s="107" t="inlineStr">
        <is>
          <t>중저가 의류 브랜드</t>
        </is>
      </c>
      <c r="D198" s="106" t="inlineStr">
        <is>
          <t>1.27%</t>
        </is>
      </c>
      <c r="E198" s="106" t="n">
        <v>1</v>
      </c>
      <c r="F198" s="109" t="inlineStr">
        <is>
          <t>Trend</t>
        </is>
      </c>
    </row>
    <row r="199" ht="15" customHeight="1" s="1">
      <c r="A199" s="106" t="inlineStr">
        <is>
          <t>중저가 의류</t>
        </is>
      </c>
      <c r="B199" s="106" t="inlineStr">
        <is>
          <t>4월 23일</t>
        </is>
      </c>
      <c r="C199" s="107" t="inlineStr">
        <is>
          <t>중저가 패션</t>
        </is>
      </c>
      <c r="D199" s="106" t="inlineStr">
        <is>
          <t>1.27%</t>
        </is>
      </c>
      <c r="E199" s="106" t="n">
        <v>1</v>
      </c>
      <c r="F199" s="109" t="inlineStr">
        <is>
          <t>Trend</t>
        </is>
      </c>
    </row>
    <row r="200" ht="15" customHeight="1" s="1">
      <c r="A200" s="106" t="inlineStr">
        <is>
          <t>중저가 의류</t>
        </is>
      </c>
      <c r="B200" s="106" t="inlineStr">
        <is>
          <t>4월 23일</t>
        </is>
      </c>
      <c r="C200" s="107" t="inlineStr">
        <is>
          <t>중저가 의류 브랜드</t>
        </is>
      </c>
      <c r="D200" s="106" t="inlineStr">
        <is>
          <t>1.27%</t>
        </is>
      </c>
      <c r="E200" s="106" t="n">
        <v>1</v>
      </c>
      <c r="F200" s="109" t="inlineStr">
        <is>
          <t>Trend</t>
        </is>
      </c>
    </row>
    <row r="201" ht="15" customHeight="1" s="1">
      <c r="A201" s="106" t="inlineStr">
        <is>
          <t>중저가 의류</t>
        </is>
      </c>
      <c r="B201" s="106" t="inlineStr">
        <is>
          <t>4월 29일</t>
        </is>
      </c>
      <c r="C201" s="107" t="inlineStr">
        <is>
          <t>중저가의류브랜드</t>
        </is>
      </c>
      <c r="D201" s="106" t="inlineStr">
        <is>
          <t>2.63%</t>
        </is>
      </c>
      <c r="E201" s="106" t="n">
        <v>1</v>
      </c>
      <c r="F201" s="109" t="inlineStr">
        <is>
          <t>Trend</t>
        </is>
      </c>
    </row>
    <row r="202" ht="15" customHeight="1" s="1">
      <c r="A202" s="103" t="inlineStr">
        <is>
          <t>토스</t>
        </is>
      </c>
      <c r="B202" s="103" t="inlineStr">
        <is>
          <t>4월 6일</t>
        </is>
      </c>
      <c r="C202" s="104" t="inlineStr">
        <is>
          <t>토스애즈잠재고객</t>
        </is>
      </c>
      <c r="D202" s="103" t="inlineStr">
        <is>
          <t>1.69%</t>
        </is>
      </c>
      <c r="E202" s="103" t="n">
        <v>1</v>
      </c>
      <c r="F202" s="112" t="inlineStr">
        <is>
          <t>Media</t>
        </is>
      </c>
    </row>
    <row r="203" ht="15" customHeight="1" s="1">
      <c r="A203" s="106" t="inlineStr">
        <is>
          <t>토스</t>
        </is>
      </c>
      <c r="B203" s="106" t="inlineStr">
        <is>
          <t>4월 6일</t>
        </is>
      </c>
      <c r="C203" s="107" t="inlineStr">
        <is>
          <t>토스애즈</t>
        </is>
      </c>
      <c r="D203" s="106" t="inlineStr">
        <is>
          <t>1.69%</t>
        </is>
      </c>
      <c r="E203" s="106" t="n">
        <v>1</v>
      </c>
      <c r="F203" s="111" t="inlineStr">
        <is>
          <t>Media</t>
        </is>
      </c>
    </row>
    <row r="204" ht="15" customHeight="1" s="1">
      <c r="A204" s="106" t="inlineStr">
        <is>
          <t>토스</t>
        </is>
      </c>
      <c r="B204" s="106" t="inlineStr">
        <is>
          <t>4월 2일</t>
        </is>
      </c>
      <c r="C204" s="107" t="inlineStr">
        <is>
          <t>토스 CPC광고</t>
        </is>
      </c>
      <c r="D204" s="106" t="inlineStr">
        <is>
          <t>1.30%</t>
        </is>
      </c>
      <c r="E204" s="106" t="n">
        <v>1</v>
      </c>
      <c r="F204" s="111" t="inlineStr">
        <is>
          <t>Media</t>
        </is>
      </c>
    </row>
    <row r="205" ht="15" customHeight="1" s="1">
      <c r="A205" s="106" t="inlineStr">
        <is>
          <t>토스</t>
        </is>
      </c>
      <c r="B205" s="106" t="inlineStr">
        <is>
          <t>4월 7일</t>
        </is>
      </c>
      <c r="C205" s="107" t="inlineStr">
        <is>
          <t>토스 리드폼으로 잠재고객 모으기 방법은?</t>
        </is>
      </c>
      <c r="D205" s="106" t="inlineStr">
        <is>
          <t>1.59%</t>
        </is>
      </c>
      <c r="E205" s="106" t="n">
        <v>1</v>
      </c>
      <c r="F205" s="111" t="inlineStr">
        <is>
          <t>Media</t>
        </is>
      </c>
    </row>
    <row r="206" ht="15" customHeight="1" s="1">
      <c r="A206" s="106" t="inlineStr">
        <is>
          <t>토스</t>
        </is>
      </c>
      <c r="B206" s="106" t="inlineStr">
        <is>
          <t>4월 14일</t>
        </is>
      </c>
      <c r="C206" s="107" t="inlineStr">
        <is>
          <t>토스애즈</t>
        </is>
      </c>
      <c r="D206" s="106" t="inlineStr">
        <is>
          <t>1.55%</t>
        </is>
      </c>
      <c r="E206" s="106" t="n">
        <v>2</v>
      </c>
      <c r="F206" s="111" t="inlineStr">
        <is>
          <t>Media</t>
        </is>
      </c>
    </row>
    <row r="207" ht="15" customHeight="1" s="1">
      <c r="A207" s="106" t="inlineStr">
        <is>
          <t>토스</t>
        </is>
      </c>
      <c r="B207" s="106" t="inlineStr">
        <is>
          <t>4월 13일</t>
        </is>
      </c>
      <c r="C207" s="107" t="inlineStr">
        <is>
          <t>토스애즈 광고 방법</t>
        </is>
      </c>
      <c r="D207" s="106" t="inlineStr">
        <is>
          <t>2.38%</t>
        </is>
      </c>
      <c r="E207" s="106" t="n">
        <v>1</v>
      </c>
      <c r="F207" s="111" t="inlineStr">
        <is>
          <t>Media</t>
        </is>
      </c>
    </row>
    <row r="208" ht="15" customHeight="1" s="1">
      <c r="A208" s="106" t="inlineStr">
        <is>
          <t>토스</t>
        </is>
      </c>
      <c r="B208" s="106" t="inlineStr">
        <is>
          <t>4월 8일</t>
        </is>
      </c>
      <c r="C208" s="107" t="inlineStr">
        <is>
          <t>토스 성과 페이지</t>
        </is>
      </c>
      <c r="D208" s="106" t="inlineStr">
        <is>
          <t>2.70%</t>
        </is>
      </c>
      <c r="E208" s="106" t="n">
        <v>1</v>
      </c>
      <c r="F208" s="111" t="inlineStr">
        <is>
          <t>Media</t>
        </is>
      </c>
    </row>
    <row r="209" ht="15" customHeight="1" s="1">
      <c r="A209" s="106" t="inlineStr">
        <is>
          <t>토스</t>
        </is>
      </c>
      <c r="B209" s="106" t="inlineStr">
        <is>
          <t>4월 18일</t>
        </is>
      </c>
      <c r="C209" s="107" t="inlineStr">
        <is>
          <t>토스애즈</t>
        </is>
      </c>
      <c r="D209" s="106" t="inlineStr">
        <is>
          <t>11.11%</t>
        </is>
      </c>
      <c r="E209" s="106" t="n">
        <v>1</v>
      </c>
      <c r="F209" s="111" t="inlineStr">
        <is>
          <t>Media</t>
        </is>
      </c>
    </row>
    <row r="210" ht="15" customHeight="1" s="1">
      <c r="A210" s="106" t="inlineStr">
        <is>
          <t>토스</t>
        </is>
      </c>
      <c r="B210" s="106" t="inlineStr">
        <is>
          <t>4월 16일</t>
        </is>
      </c>
      <c r="C210" s="107" t="inlineStr">
        <is>
          <t>토스 데이터 수집</t>
        </is>
      </c>
      <c r="D210" s="106" t="inlineStr">
        <is>
          <t>2.27%</t>
        </is>
      </c>
      <c r="E210" s="106" t="n">
        <v>1</v>
      </c>
      <c r="F210" s="111" t="inlineStr">
        <is>
          <t>Media</t>
        </is>
      </c>
    </row>
    <row r="211" ht="15" customHeight="1" s="1">
      <c r="A211" s="106" t="inlineStr">
        <is>
          <t>토스</t>
        </is>
      </c>
      <c r="B211" s="106" t="inlineStr">
        <is>
          <t>4월 16일</t>
        </is>
      </c>
      <c r="C211" s="107" t="inlineStr">
        <is>
          <t>토스애즈 광고 입찰</t>
        </is>
      </c>
      <c r="D211" s="106" t="inlineStr">
        <is>
          <t>2.27%</t>
        </is>
      </c>
      <c r="E211" s="106" t="n">
        <v>1</v>
      </c>
      <c r="F211" s="111" t="inlineStr">
        <is>
          <t>Media</t>
        </is>
      </c>
    </row>
    <row r="212" ht="15" customHeight="1" s="1">
      <c r="A212" s="106" t="inlineStr">
        <is>
          <t>토스</t>
        </is>
      </c>
      <c r="B212" s="106" t="inlineStr">
        <is>
          <t>4월 23일</t>
        </is>
      </c>
      <c r="C212" s="107" t="inlineStr">
        <is>
          <t>uv유입용 토스</t>
        </is>
      </c>
      <c r="D212" s="106" t="inlineStr">
        <is>
          <t>1.27%</t>
        </is>
      </c>
      <c r="E212" s="106" t="n">
        <v>1</v>
      </c>
      <c r="F212" s="111" t="inlineStr">
        <is>
          <t>Media</t>
        </is>
      </c>
    </row>
    <row r="213" ht="15" customHeight="1" s="1">
      <c r="A213" s="106" t="inlineStr">
        <is>
          <t>토스</t>
        </is>
      </c>
      <c r="B213" s="106" t="inlineStr">
        <is>
          <t>4월 25일</t>
        </is>
      </c>
      <c r="C213" s="107" t="inlineStr">
        <is>
          <t>토스애즈</t>
        </is>
      </c>
      <c r="D213" s="106" t="inlineStr">
        <is>
          <t>10.00%</t>
        </is>
      </c>
      <c r="E213" s="106" t="n">
        <v>1</v>
      </c>
      <c r="F213" s="111" t="inlineStr">
        <is>
          <t>Media</t>
        </is>
      </c>
    </row>
    <row r="214" ht="15" customHeight="1" s="1">
      <c r="A214" s="106" t="inlineStr">
        <is>
          <t>토스</t>
        </is>
      </c>
      <c r="B214" s="106" t="inlineStr">
        <is>
          <t>4월 28일</t>
        </is>
      </c>
      <c r="C214" s="107" t="inlineStr">
        <is>
          <t>토스 crm</t>
        </is>
      </c>
      <c r="D214" s="106" t="inlineStr">
        <is>
          <t>1.45%</t>
        </is>
      </c>
      <c r="E214" s="106" t="n">
        <v>1</v>
      </c>
      <c r="F214" s="111" t="inlineStr">
        <is>
          <t>Media</t>
        </is>
      </c>
    </row>
    <row r="215" ht="15" customHeight="1" s="1">
      <c r="A215" s="103" t="inlineStr">
        <is>
          <t>헌혈 캠페인</t>
        </is>
      </c>
      <c r="B215" s="103" t="inlineStr">
        <is>
          <t>4월 1일</t>
        </is>
      </c>
      <c r="C215" s="104" t="inlineStr">
        <is>
          <t>헌혈 참여독려</t>
        </is>
      </c>
      <c r="D215" s="103" t="inlineStr">
        <is>
          <t>2.70%</t>
        </is>
      </c>
      <c r="E215" s="103" t="n">
        <v>1</v>
      </c>
      <c r="F215" s="113" t="inlineStr">
        <is>
          <t>Trend</t>
        </is>
      </c>
    </row>
    <row r="216" ht="15" customHeight="1" s="1">
      <c r="A216" s="106" t="inlineStr">
        <is>
          <t>헌혈 캠페인</t>
        </is>
      </c>
      <c r="B216" s="106" t="inlineStr">
        <is>
          <t>4월 1일</t>
        </is>
      </c>
      <c r="C216" s="107" t="inlineStr">
        <is>
          <t>헌혈캠페인</t>
        </is>
      </c>
      <c r="D216" s="106" t="inlineStr">
        <is>
          <t>2.70%</t>
        </is>
      </c>
      <c r="E216" s="106" t="n">
        <v>1</v>
      </c>
      <c r="F216" s="109" t="inlineStr">
        <is>
          <t>Trend</t>
        </is>
      </c>
    </row>
    <row r="217" ht="15" customHeight="1" s="1">
      <c r="A217" s="106" t="inlineStr">
        <is>
          <t>헌혈 캠페인</t>
        </is>
      </c>
      <c r="B217" s="106" t="inlineStr">
        <is>
          <t>4월 5일</t>
        </is>
      </c>
      <c r="C217" s="107" t="inlineStr">
        <is>
          <t>헌혈 인식</t>
        </is>
      </c>
      <c r="D217" s="106" t="inlineStr">
        <is>
          <t>2.27%</t>
        </is>
      </c>
      <c r="E217" s="106" t="n">
        <v>1</v>
      </c>
      <c r="F217" s="109" t="inlineStr">
        <is>
          <t>Trend</t>
        </is>
      </c>
    </row>
    <row r="218" ht="15" customHeight="1" s="1">
      <c r="A218" s="106" t="inlineStr">
        <is>
          <t>헌혈 캠페인</t>
        </is>
      </c>
      <c r="B218" s="106" t="inlineStr">
        <is>
          <t>4월 13일</t>
        </is>
      </c>
      <c r="C218" s="107" t="inlineStr">
        <is>
          <t>대한적십자사 헌혈캠페인</t>
        </is>
      </c>
      <c r="D218" s="106" t="inlineStr">
        <is>
          <t>2.38%</t>
        </is>
      </c>
      <c r="E218" s="106" t="n">
        <v>1</v>
      </c>
      <c r="F218" s="109" t="inlineStr">
        <is>
          <t>Trend</t>
        </is>
      </c>
    </row>
    <row r="219" ht="15" customHeight="1" s="1">
      <c r="A219" s="106" t="inlineStr">
        <is>
          <t>헌혈 캠페인</t>
        </is>
      </c>
      <c r="B219" s="106" t="inlineStr">
        <is>
          <t>4월 14일</t>
        </is>
      </c>
      <c r="C219" s="107" t="inlineStr">
        <is>
          <t>엔하이픈 세계관 헌혈</t>
        </is>
      </c>
      <c r="D219" s="106" t="inlineStr">
        <is>
          <t>0.78%</t>
        </is>
      </c>
      <c r="E219" s="106" t="n">
        <v>1</v>
      </c>
      <c r="F219" s="109" t="inlineStr">
        <is>
          <t>Trend</t>
        </is>
      </c>
    </row>
    <row r="220" ht="15" customHeight="1" s="1">
      <c r="A220" s="106" t="inlineStr">
        <is>
          <t>헌혈 캠페인</t>
        </is>
      </c>
      <c r="B220" s="106" t="inlineStr">
        <is>
          <t>4월 17일</t>
        </is>
      </c>
      <c r="C220" s="107" t="inlineStr">
        <is>
          <t>헌혈 캠페인</t>
        </is>
      </c>
      <c r="D220" s="106" t="inlineStr">
        <is>
          <t>3.51%</t>
        </is>
      </c>
      <c r="E220" s="106" t="n">
        <v>2</v>
      </c>
      <c r="F220" s="109" t="inlineStr">
        <is>
          <t>Trend</t>
        </is>
      </c>
    </row>
    <row r="221" ht="15" customHeight="1" s="1">
      <c r="A221" s="106" t="inlineStr">
        <is>
          <t>헌혈 캠페인</t>
        </is>
      </c>
      <c r="B221" s="106" t="inlineStr">
        <is>
          <t>4월 18일</t>
        </is>
      </c>
      <c r="C221" s="107" t="inlineStr">
        <is>
          <t>헌혈캠페인뜻</t>
        </is>
      </c>
      <c r="D221" s="106" t="inlineStr">
        <is>
          <t>11.11%</t>
        </is>
      </c>
      <c r="E221" s="106" t="n">
        <v>1</v>
      </c>
      <c r="F221" s="109" t="inlineStr">
        <is>
          <t>Trend</t>
        </is>
      </c>
    </row>
    <row r="222" ht="15" customHeight="1" s="1">
      <c r="A222" s="106" t="inlineStr">
        <is>
          <t>헌혈 캠페인</t>
        </is>
      </c>
      <c r="B222" s="106" t="inlineStr">
        <is>
          <t>4월 21일</t>
        </is>
      </c>
      <c r="C222" s="107" t="inlineStr">
        <is>
          <t>팬덤 헌혈 캠페인</t>
        </is>
      </c>
      <c r="D222" s="106" t="inlineStr">
        <is>
          <t>2.04%</t>
        </is>
      </c>
      <c r="E222" s="106" t="n">
        <v>1</v>
      </c>
      <c r="F222" s="109" t="inlineStr">
        <is>
          <t>Trend</t>
        </is>
      </c>
    </row>
    <row r="223" ht="15" customHeight="1" s="1">
      <c r="A223" s="106" t="inlineStr">
        <is>
          <t>헌혈 캠페인</t>
        </is>
      </c>
      <c r="B223" s="106" t="inlineStr">
        <is>
          <t>4월 20일</t>
        </is>
      </c>
      <c r="C223" s="107" t="inlineStr">
        <is>
          <t>헌혈 캠페인</t>
        </is>
      </c>
      <c r="D223" s="106" t="inlineStr">
        <is>
          <t>3.33%</t>
        </is>
      </c>
      <c r="E223" s="106" t="n">
        <v>1</v>
      </c>
      <c r="F223" s="109" t="inlineStr">
        <is>
          <t>Trend</t>
        </is>
      </c>
    </row>
    <row r="224" ht="15" customHeight="1" s="1">
      <c r="A224" s="106" t="inlineStr">
        <is>
          <t>헌혈 캠페인</t>
        </is>
      </c>
      <c r="B224" s="106" t="inlineStr">
        <is>
          <t>4월 21일</t>
        </is>
      </c>
      <c r="C224" s="107" t="inlineStr">
        <is>
          <t>헌혈 캠페인</t>
        </is>
      </c>
      <c r="D224" s="106" t="inlineStr">
        <is>
          <t>2.04%</t>
        </is>
      </c>
      <c r="E224" s="106" t="n">
        <v>1</v>
      </c>
      <c r="F224" s="109" t="inlineStr">
        <is>
          <t>Trend</t>
        </is>
      </c>
    </row>
    <row r="225" ht="15" customHeight="1" s="1">
      <c r="A225" s="106" t="inlineStr">
        <is>
          <t>헌혈 캠페인</t>
        </is>
      </c>
      <c r="B225" s="106" t="inlineStr">
        <is>
          <t>4월 15일</t>
        </is>
      </c>
      <c r="C225" s="107" t="inlineStr">
        <is>
          <t>헌혈 인식 팝업</t>
        </is>
      </c>
      <c r="D225" s="106" t="inlineStr">
        <is>
          <t>0.87%</t>
        </is>
      </c>
      <c r="E225" s="106" t="n">
        <v>1</v>
      </c>
      <c r="F225" s="109" t="inlineStr">
        <is>
          <t>Trend</t>
        </is>
      </c>
    </row>
    <row r="226" ht="15" customHeight="1" s="1">
      <c r="A226" s="106" t="inlineStr">
        <is>
          <t>헌혈 캠페인</t>
        </is>
      </c>
      <c r="B226" s="106" t="inlineStr">
        <is>
          <t>4월 24일</t>
        </is>
      </c>
      <c r="C226" s="107" t="inlineStr">
        <is>
          <t>엔하이픈 헌혈</t>
        </is>
      </c>
      <c r="D226" s="106" t="inlineStr">
        <is>
          <t>2.38%</t>
        </is>
      </c>
      <c r="E226" s="106" t="n">
        <v>1</v>
      </c>
      <c r="F226" s="109" t="inlineStr">
        <is>
          <t>Trend</t>
        </is>
      </c>
    </row>
    <row r="227" ht="15" customHeight="1" s="1">
      <c r="A227" s="106" t="inlineStr">
        <is>
          <t>헌혈 캠페인</t>
        </is>
      </c>
      <c r="B227" s="106" t="inlineStr">
        <is>
          <t>4월 29일</t>
        </is>
      </c>
      <c r="C227" s="107" t="inlineStr">
        <is>
          <t>엔하이픈 헌혈</t>
        </is>
      </c>
      <c r="D227" s="106" t="inlineStr">
        <is>
          <t>2.63%</t>
        </is>
      </c>
      <c r="E227" s="106" t="n">
        <v>1</v>
      </c>
      <c r="F227" s="109" t="inlineStr">
        <is>
          <t>Trend</t>
        </is>
      </c>
    </row>
    <row r="228" ht="15" customHeight="1" s="1">
      <c r="A228" s="103" t="inlineStr">
        <is>
          <t>에스파/핀터레스트</t>
        </is>
      </c>
      <c r="B228" s="103" t="inlineStr">
        <is>
          <t>4월 2일</t>
        </is>
      </c>
      <c r="C228" s="104" t="inlineStr">
        <is>
          <t>에스파 핀터레스트 계정</t>
        </is>
      </c>
      <c r="D228" s="103" t="inlineStr">
        <is>
          <t>1.30%</t>
        </is>
      </c>
      <c r="E228" s="103" t="n">
        <v>1</v>
      </c>
      <c r="F228" s="113" t="inlineStr">
        <is>
          <t>Trend</t>
        </is>
      </c>
    </row>
    <row r="229" ht="15" customHeight="1" s="1">
      <c r="A229" s="106" t="inlineStr">
        <is>
          <t>에스파/핀터레스트</t>
        </is>
      </c>
      <c r="B229" s="106" t="inlineStr">
        <is>
          <t>4월 7일</t>
        </is>
      </c>
      <c r="C229" s="107" t="inlineStr">
        <is>
          <t>에스파 핀터레스트</t>
        </is>
      </c>
      <c r="D229" s="106" t="inlineStr">
        <is>
          <t>1.59%</t>
        </is>
      </c>
      <c r="E229" s="106" t="n">
        <v>1</v>
      </c>
      <c r="F229" s="109" t="inlineStr">
        <is>
          <t>Trend</t>
        </is>
      </c>
    </row>
    <row r="230" ht="15" customHeight="1" s="1">
      <c r="A230" s="106" t="inlineStr">
        <is>
          <t>에스파/핀터레스트</t>
        </is>
      </c>
      <c r="B230" s="106" t="inlineStr">
        <is>
          <t>4월 2일</t>
        </is>
      </c>
      <c r="C230" s="107" t="inlineStr">
        <is>
          <t>에스파 핀터레스트</t>
        </is>
      </c>
      <c r="D230" s="106" t="inlineStr">
        <is>
          <t>1.30%</t>
        </is>
      </c>
      <c r="E230" s="106" t="n">
        <v>1</v>
      </c>
      <c r="F230" s="109" t="inlineStr">
        <is>
          <t>Trend</t>
        </is>
      </c>
    </row>
    <row r="231" ht="15" customHeight="1" s="1">
      <c r="A231" s="106" t="inlineStr">
        <is>
          <t>에스파/핀터레스트</t>
        </is>
      </c>
      <c r="B231" s="106" t="inlineStr">
        <is>
          <t>4월 10일</t>
        </is>
      </c>
      <c r="C231" s="107" t="inlineStr">
        <is>
          <t>에스파 핀터레스트</t>
        </is>
      </c>
      <c r="D231" s="106" t="inlineStr">
        <is>
          <t>3.85%</t>
        </is>
      </c>
      <c r="E231" s="106" t="n">
        <v>1</v>
      </c>
      <c r="F231" s="109" t="inlineStr">
        <is>
          <t>Trend</t>
        </is>
      </c>
    </row>
    <row r="232" ht="15" customHeight="1" s="1">
      <c r="A232" s="106" t="inlineStr">
        <is>
          <t>에스파/핀터레스트</t>
        </is>
      </c>
      <c r="B232" s="106" t="inlineStr">
        <is>
          <t>4월 9일</t>
        </is>
      </c>
      <c r="C232" s="107" t="inlineStr">
        <is>
          <t>에스파 핀터레스트</t>
        </is>
      </c>
      <c r="D232" s="106" t="inlineStr">
        <is>
          <t>2.70%</t>
        </is>
      </c>
      <c r="E232" s="106" t="n">
        <v>1</v>
      </c>
      <c r="F232" s="109" t="inlineStr">
        <is>
          <t>Trend</t>
        </is>
      </c>
    </row>
    <row r="233" ht="15" customHeight="1" s="1">
      <c r="A233" s="106" t="inlineStr">
        <is>
          <t>에스파/핀터레스트</t>
        </is>
      </c>
      <c r="B233" s="106" t="inlineStr">
        <is>
          <t>4월 9일</t>
        </is>
      </c>
      <c r="C233" s="107" t="inlineStr">
        <is>
          <t>핀터레스트 색상 검색</t>
        </is>
      </c>
      <c r="D233" s="106" t="inlineStr">
        <is>
          <t>2.70%</t>
        </is>
      </c>
      <c r="E233" s="106" t="n">
        <v>1</v>
      </c>
      <c r="F233" s="109" t="inlineStr">
        <is>
          <t>Trend</t>
        </is>
      </c>
    </row>
    <row r="234" ht="15" customHeight="1" s="1">
      <c r="A234" s="106" t="inlineStr">
        <is>
          <t>에스파/핀터레스트</t>
        </is>
      </c>
      <c r="B234" s="106" t="inlineStr">
        <is>
          <t>4월 20일</t>
        </is>
      </c>
      <c r="C234" s="107" t="inlineStr">
        <is>
          <t>핀터레스트 신곡홍보</t>
        </is>
      </c>
      <c r="D234" s="106" t="inlineStr">
        <is>
          <t>3.33%</t>
        </is>
      </c>
      <c r="E234" s="106" t="n">
        <v>1</v>
      </c>
      <c r="F234" s="109" t="inlineStr">
        <is>
          <t>Trend</t>
        </is>
      </c>
    </row>
    <row r="235" ht="15" customHeight="1" s="1">
      <c r="A235" s="106" t="inlineStr">
        <is>
          <t>에스파/핀터레스트</t>
        </is>
      </c>
      <c r="B235" s="106" t="inlineStr">
        <is>
          <t>4월 26일</t>
        </is>
      </c>
      <c r="C235" s="107" t="inlineStr">
        <is>
          <t>핀터레스트 검색 팁</t>
        </is>
      </c>
      <c r="D235" s="106" t="inlineStr">
        <is>
          <t>6.25%</t>
        </is>
      </c>
      <c r="E235" s="106" t="n">
        <v>1</v>
      </c>
      <c r="F235" s="109" t="inlineStr">
        <is>
          <t>Trend</t>
        </is>
      </c>
    </row>
    <row r="236" ht="15" customHeight="1" s="1">
      <c r="A236" s="106" t="inlineStr">
        <is>
          <t>에스파/핀터레스트</t>
        </is>
      </c>
      <c r="B236" s="106" t="inlineStr">
        <is>
          <t>4월 27일</t>
        </is>
      </c>
      <c r="C236" s="107" t="inlineStr">
        <is>
          <t>핀터레스트 에스파 계정</t>
        </is>
      </c>
      <c r="D236" s="106" t="inlineStr">
        <is>
          <t>1.72%</t>
        </is>
      </c>
      <c r="E236" s="106" t="n">
        <v>1</v>
      </c>
      <c r="F236" s="109" t="inlineStr">
        <is>
          <t>Trend</t>
        </is>
      </c>
    </row>
    <row r="237" ht="15" customHeight="1" s="1">
      <c r="A237" s="106" t="inlineStr">
        <is>
          <t>에스파/핀터레스트</t>
        </is>
      </c>
      <c r="B237" s="106" t="inlineStr">
        <is>
          <t>4월 30일</t>
        </is>
      </c>
      <c r="C237" s="107" t="inlineStr">
        <is>
          <t>에스파 핀터</t>
        </is>
      </c>
      <c r="D237" s="106" t="inlineStr">
        <is>
          <t>5.26%</t>
        </is>
      </c>
      <c r="E237" s="106" t="n">
        <v>1</v>
      </c>
      <c r="F237" s="109" t="inlineStr">
        <is>
          <t>Trend</t>
        </is>
      </c>
    </row>
    <row r="238" ht="15" customHeight="1" s="1">
      <c r="A238" s="103" t="inlineStr">
        <is>
          <t>Amplitude</t>
        </is>
      </c>
      <c r="B238" s="103" t="inlineStr">
        <is>
          <t>4월 3일</t>
        </is>
      </c>
      <c r="C238" s="104" t="inlineStr">
        <is>
          <t>ga 세션수 뜻</t>
        </is>
      </c>
      <c r="D238" s="103" t="inlineStr">
        <is>
          <t>2.94%</t>
        </is>
      </c>
      <c r="E238" s="103" t="n">
        <v>1</v>
      </c>
      <c r="F238" s="114" t="inlineStr">
        <is>
          <t>Data</t>
        </is>
      </c>
    </row>
    <row r="239" ht="15" customHeight="1" s="1">
      <c r="A239" s="106" t="inlineStr">
        <is>
          <t>Amplitude</t>
        </is>
      </c>
      <c r="B239" s="106" t="inlineStr">
        <is>
          <t>4월 8일</t>
        </is>
      </c>
      <c r="C239" s="107" t="inlineStr">
        <is>
          <t>amplitude api</t>
        </is>
      </c>
      <c r="D239" s="106" t="inlineStr">
        <is>
          <t>2.70%</t>
        </is>
      </c>
      <c r="E239" s="106" t="n">
        <v>1</v>
      </c>
      <c r="F239" s="115" t="inlineStr">
        <is>
          <t>Data</t>
        </is>
      </c>
    </row>
    <row r="240" ht="15" customHeight="1" s="1">
      <c r="A240" s="106" t="inlineStr">
        <is>
          <t>Amplitude</t>
        </is>
      </c>
      <c r="B240" s="106" t="inlineStr">
        <is>
          <t>4월 8일</t>
        </is>
      </c>
      <c r="C240" s="107" t="inlineStr">
        <is>
          <t>앰플리튜드 경로분석</t>
        </is>
      </c>
      <c r="D240" s="106" t="inlineStr">
        <is>
          <t>5.41%</t>
        </is>
      </c>
      <c r="E240" s="106" t="n">
        <v>2</v>
      </c>
      <c r="F240" s="115" t="inlineStr">
        <is>
          <t>Data</t>
        </is>
      </c>
    </row>
    <row r="241" ht="15" customHeight="1" s="1">
      <c r="A241" s="106" t="inlineStr">
        <is>
          <t>Amplitude</t>
        </is>
      </c>
      <c r="B241" s="106" t="inlineStr">
        <is>
          <t>4월 20일</t>
        </is>
      </c>
      <c r="C241" s="107" t="inlineStr">
        <is>
          <t>GA4 권한부여</t>
        </is>
      </c>
      <c r="D241" s="106" t="inlineStr">
        <is>
          <t>3.33%</t>
        </is>
      </c>
      <c r="E241" s="106" t="n">
        <v>1</v>
      </c>
      <c r="F241" s="115" t="inlineStr">
        <is>
          <t>Data</t>
        </is>
      </c>
    </row>
    <row r="242" ht="15" customHeight="1" s="1">
      <c r="A242" s="106" t="inlineStr">
        <is>
          <t>Amplitude</t>
        </is>
      </c>
      <c r="B242" s="106" t="inlineStr">
        <is>
          <t>4월 20일</t>
        </is>
      </c>
      <c r="C242" s="107" t="inlineStr">
        <is>
          <t>앰플리튜드 유저 아이디</t>
        </is>
      </c>
      <c r="D242" s="106" t="inlineStr">
        <is>
          <t>3.33%</t>
        </is>
      </c>
      <c r="E242" s="106" t="n">
        <v>1</v>
      </c>
      <c r="F242" s="115" t="inlineStr">
        <is>
          <t>Data</t>
        </is>
      </c>
    </row>
    <row r="243" ht="15" customHeight="1" s="1">
      <c r="A243" s="106" t="inlineStr">
        <is>
          <t>Amplitude</t>
        </is>
      </c>
      <c r="B243" s="106" t="inlineStr">
        <is>
          <t>4월 21일</t>
        </is>
      </c>
      <c r="C243" s="107" t="inlineStr">
        <is>
          <t>amplitude ga 차이</t>
        </is>
      </c>
      <c r="D243" s="106" t="inlineStr">
        <is>
          <t>2.04%</t>
        </is>
      </c>
      <c r="E243" s="106" t="n">
        <v>1</v>
      </c>
      <c r="F243" s="115" t="inlineStr">
        <is>
          <t>Data</t>
        </is>
      </c>
    </row>
    <row r="244" ht="15" customHeight="1" s="1">
      <c r="A244" s="106" t="inlineStr">
        <is>
          <t>Amplitude</t>
        </is>
      </c>
      <c r="B244" s="106" t="inlineStr">
        <is>
          <t>4월 21일</t>
        </is>
      </c>
      <c r="C244" s="107" t="inlineStr">
        <is>
          <t>amplitude</t>
        </is>
      </c>
      <c r="D244" s="106" t="inlineStr">
        <is>
          <t>2.04%</t>
        </is>
      </c>
      <c r="E244" s="106" t="n">
        <v>1</v>
      </c>
      <c r="F244" s="115" t="inlineStr">
        <is>
          <t>Data</t>
        </is>
      </c>
    </row>
    <row r="245" ht="15" customHeight="1" s="1">
      <c r="A245" s="106" t="inlineStr">
        <is>
          <t>Amplitude</t>
        </is>
      </c>
      <c r="B245" s="106" t="inlineStr">
        <is>
          <t>4월 15일</t>
        </is>
      </c>
      <c r="C245" s="107" t="inlineStr">
        <is>
          <t>ga 세션수 뜻</t>
        </is>
      </c>
      <c r="D245" s="106" t="inlineStr">
        <is>
          <t>0.87%</t>
        </is>
      </c>
      <c r="E245" s="106" t="n">
        <v>1</v>
      </c>
      <c r="F245" s="115" t="inlineStr">
        <is>
          <t>Data</t>
        </is>
      </c>
    </row>
    <row r="246" ht="15" customHeight="1" s="1">
      <c r="A246" s="106" t="inlineStr">
        <is>
          <t>Amplitude</t>
        </is>
      </c>
      <c r="B246" s="106" t="inlineStr">
        <is>
          <t>4월 21일</t>
        </is>
      </c>
      <c r="C246" s="107" t="inlineStr">
        <is>
          <t>앰플리튜드 퍼널 바 차트</t>
        </is>
      </c>
      <c r="D246" s="106" t="inlineStr">
        <is>
          <t>2.04%</t>
        </is>
      </c>
      <c r="E246" s="106" t="n">
        <v>1</v>
      </c>
      <c r="F246" s="115" t="inlineStr">
        <is>
          <t>Data</t>
        </is>
      </c>
    </row>
    <row r="247" ht="15" customHeight="1" s="1">
      <c r="A247" s="103" t="inlineStr">
        <is>
          <t>광고학회</t>
        </is>
      </c>
      <c r="B247" s="103" t="inlineStr">
        <is>
          <t>4월 4일</t>
        </is>
      </c>
      <c r="C247" s="104" t="inlineStr">
        <is>
          <t>한국광고학회 학술대회</t>
        </is>
      </c>
      <c r="D247" s="103" t="inlineStr">
        <is>
          <t>20.00%</t>
        </is>
      </c>
      <c r="E247" s="103" t="n">
        <v>1</v>
      </c>
      <c r="F247" s="105" t="inlineStr">
        <is>
          <t>About</t>
        </is>
      </c>
    </row>
    <row r="248" ht="15" customHeight="1" s="1">
      <c r="A248" s="106" t="inlineStr">
        <is>
          <t>광고학회</t>
        </is>
      </c>
      <c r="B248" s="106" t="inlineStr">
        <is>
          <t>4월 5일</t>
        </is>
      </c>
      <c r="C248" s="107" t="inlineStr">
        <is>
          <t>한국광고학회 가을철 학술대회 2024</t>
        </is>
      </c>
      <c r="D248" s="106" t="inlineStr">
        <is>
          <t>2.27%</t>
        </is>
      </c>
      <c r="E248" s="106" t="n">
        <v>1</v>
      </c>
      <c r="F248" s="108" t="inlineStr">
        <is>
          <t>About</t>
        </is>
      </c>
    </row>
    <row r="249" ht="15" customHeight="1" s="1">
      <c r="A249" s="106" t="inlineStr">
        <is>
          <t>광고학회</t>
        </is>
      </c>
      <c r="B249" s="106" t="inlineStr">
        <is>
          <t>4월 5일</t>
        </is>
      </c>
      <c r="C249" s="107" t="inlineStr">
        <is>
          <t>한국광고학회 학술대회 2025</t>
        </is>
      </c>
      <c r="D249" s="106" t="inlineStr">
        <is>
          <t>2.27%</t>
        </is>
      </c>
      <c r="E249" s="106" t="n">
        <v>1</v>
      </c>
      <c r="F249" s="108" t="inlineStr">
        <is>
          <t>About</t>
        </is>
      </c>
    </row>
    <row r="250" ht="15" customHeight="1" s="1">
      <c r="A250" s="106" t="inlineStr">
        <is>
          <t>광고학회</t>
        </is>
      </c>
      <c r="B250" s="106" t="inlineStr">
        <is>
          <t>4월 3일</t>
        </is>
      </c>
      <c r="C250" s="107" t="inlineStr">
        <is>
          <t>한국광고학회 춘계 학술대회</t>
        </is>
      </c>
      <c r="D250" s="106" t="inlineStr">
        <is>
          <t>2.94%</t>
        </is>
      </c>
      <c r="E250" s="106" t="n">
        <v>1</v>
      </c>
      <c r="F250" s="108" t="inlineStr">
        <is>
          <t>About</t>
        </is>
      </c>
    </row>
    <row r="251" ht="15" customHeight="1" s="1">
      <c r="A251" s="106" t="inlineStr">
        <is>
          <t>광고학회</t>
        </is>
      </c>
      <c r="B251" s="106" t="inlineStr">
        <is>
          <t>4월 5일</t>
        </is>
      </c>
      <c r="C251" s="107" t="inlineStr">
        <is>
          <t>광고학회 학술대회 2026</t>
        </is>
      </c>
      <c r="D251" s="106" t="inlineStr">
        <is>
          <t>4.55%</t>
        </is>
      </c>
      <c r="E251" s="106" t="n">
        <v>2</v>
      </c>
      <c r="F251" s="108" t="inlineStr">
        <is>
          <t>About</t>
        </is>
      </c>
    </row>
    <row r="252" ht="15" customHeight="1" s="1">
      <c r="A252" s="103" t="inlineStr">
        <is>
          <t>크리테오</t>
        </is>
      </c>
      <c r="B252" s="103" t="inlineStr">
        <is>
          <t>4월 11일</t>
        </is>
      </c>
      <c r="C252" s="104" t="inlineStr">
        <is>
          <t>크리테오 어워즈 선물</t>
        </is>
      </c>
      <c r="D252" s="103" t="inlineStr">
        <is>
          <t>7.69%</t>
        </is>
      </c>
      <c r="E252" s="103" t="n">
        <v>1</v>
      </c>
      <c r="F252" s="105" t="inlineStr">
        <is>
          <t>About</t>
        </is>
      </c>
    </row>
    <row r="253" ht="15" customHeight="1" s="1">
      <c r="A253" s="106" t="inlineStr">
        <is>
          <t>크리테오</t>
        </is>
      </c>
      <c r="B253" s="106" t="inlineStr">
        <is>
          <t>4월 16일</t>
        </is>
      </c>
      <c r="C253" s="107" t="inlineStr">
        <is>
          <t>크리테오</t>
        </is>
      </c>
      <c r="D253" s="106" t="inlineStr">
        <is>
          <t>4.55%</t>
        </is>
      </c>
      <c r="E253" s="106" t="n">
        <v>2</v>
      </c>
      <c r="F253" s="111" t="inlineStr">
        <is>
          <t>Media</t>
        </is>
      </c>
    </row>
    <row r="254" ht="15" customHeight="1" s="1">
      <c r="A254" s="106" t="inlineStr">
        <is>
          <t>크리테오</t>
        </is>
      </c>
      <c r="B254" s="106" t="inlineStr">
        <is>
          <t>4월 19일</t>
        </is>
      </c>
      <c r="C254" s="107" t="inlineStr">
        <is>
          <t>크리테오</t>
        </is>
      </c>
      <c r="D254" s="106" t="inlineStr">
        <is>
          <t>5.56%</t>
        </is>
      </c>
      <c r="E254" s="106" t="n">
        <v>1</v>
      </c>
      <c r="F254" s="111" t="inlineStr">
        <is>
          <t>Media</t>
        </is>
      </c>
    </row>
    <row r="255" ht="15" customHeight="1" s="1">
      <c r="A255" s="106" t="inlineStr">
        <is>
          <t>크리테오</t>
        </is>
      </c>
      <c r="B255" s="106" t="inlineStr">
        <is>
          <t>4월 23일</t>
        </is>
      </c>
      <c r="C255" s="107" t="inlineStr">
        <is>
          <t>크리테오 최신 트렌드 리포트</t>
        </is>
      </c>
      <c r="D255" s="106" t="inlineStr">
        <is>
          <t>2.53%</t>
        </is>
      </c>
      <c r="E255" s="106" t="n">
        <v>2</v>
      </c>
      <c r="F255" s="108" t="inlineStr">
        <is>
          <t>About</t>
        </is>
      </c>
    </row>
    <row r="256" ht="15" customHeight="1" s="1">
      <c r="A256" s="103" t="inlineStr">
        <is>
          <t>네이버 AI광고</t>
        </is>
      </c>
      <c r="B256" s="103" t="inlineStr">
        <is>
          <t>4월 14일</t>
        </is>
      </c>
      <c r="C256" s="104" t="inlineStr">
        <is>
          <t>네이버 ADVoost쇼핑 광고 노출 위치</t>
        </is>
      </c>
      <c r="D256" s="103" t="inlineStr">
        <is>
          <t>0.78%</t>
        </is>
      </c>
      <c r="E256" s="103" t="n">
        <v>1</v>
      </c>
      <c r="F256" s="112" t="inlineStr">
        <is>
          <t>Media</t>
        </is>
      </c>
    </row>
    <row r="257" ht="15" customHeight="1" s="1">
      <c r="A257" s="106" t="inlineStr">
        <is>
          <t>네이버 AI광고</t>
        </is>
      </c>
      <c r="B257" s="106" t="inlineStr">
        <is>
          <t>4월 18일</t>
        </is>
      </c>
      <c r="C257" s="107" t="inlineStr">
        <is>
          <t>네이버 AI광고 학습제한</t>
        </is>
      </c>
      <c r="D257" s="106" t="inlineStr">
        <is>
          <t>11.11%</t>
        </is>
      </c>
      <c r="E257" s="106" t="n">
        <v>1</v>
      </c>
      <c r="F257" s="109" t="inlineStr">
        <is>
          <t>Trend</t>
        </is>
      </c>
    </row>
    <row r="258" ht="15" customHeight="1" s="1">
      <c r="A258" s="106" t="inlineStr">
        <is>
          <t>네이버 AI광고</t>
        </is>
      </c>
      <c r="B258" s="106" t="inlineStr">
        <is>
          <t>4월 24일</t>
        </is>
      </c>
      <c r="C258" s="107" t="inlineStr">
        <is>
          <t>네이버 AI광고 노출 올리는법</t>
        </is>
      </c>
      <c r="D258" s="106" t="inlineStr">
        <is>
          <t>2.38%</t>
        </is>
      </c>
      <c r="E258" s="106" t="n">
        <v>1</v>
      </c>
      <c r="F258" s="111" t="inlineStr">
        <is>
          <t>Media</t>
        </is>
      </c>
    </row>
    <row r="259" ht="15" customHeight="1" s="1">
      <c r="A259" s="106" t="inlineStr">
        <is>
          <t>네이버 AI광고</t>
        </is>
      </c>
      <c r="B259" s="106" t="inlineStr">
        <is>
          <t>4월 23일</t>
        </is>
      </c>
      <c r="C259" s="107" t="inlineStr">
        <is>
          <t>ADVoost 쇼핑 자사몰</t>
        </is>
      </c>
      <c r="D259" s="106" t="inlineStr">
        <is>
          <t>1.27%</t>
        </is>
      </c>
      <c r="E259" s="106" t="n">
        <v>1</v>
      </c>
      <c r="F259" s="108" t="inlineStr">
        <is>
          <t>About</t>
        </is>
      </c>
    </row>
    <row r="260" ht="15" customHeight="1" s="1">
      <c r="A260" s="106" t="inlineStr">
        <is>
          <t>네이버 AI광고</t>
        </is>
      </c>
      <c r="B260" s="106" t="inlineStr">
        <is>
          <t>4월 23일</t>
        </is>
      </c>
      <c r="C260" s="107" t="inlineStr">
        <is>
          <t>네이버AI광고 어디에 어떻게 노출되나요?</t>
        </is>
      </c>
      <c r="D260" s="106" t="inlineStr">
        <is>
          <t>1.27%</t>
        </is>
      </c>
      <c r="E260" s="106" t="n">
        <v>1</v>
      </c>
      <c r="F260" s="111" t="inlineStr">
        <is>
          <t>Media</t>
        </is>
      </c>
    </row>
    <row r="261" ht="15" customHeight="1" s="1">
      <c r="A261" s="103" t="inlineStr">
        <is>
          <t>엔하이픈</t>
        </is>
      </c>
      <c r="B261" s="103" t="inlineStr">
        <is>
          <t>4월 9일</t>
        </is>
      </c>
      <c r="C261" s="104" t="inlineStr">
        <is>
          <t>엔하이픈 뱀파이어 세계관</t>
        </is>
      </c>
      <c r="D261" s="103" t="inlineStr">
        <is>
          <t>2.70%</t>
        </is>
      </c>
      <c r="E261" s="103" t="n">
        <v>1</v>
      </c>
      <c r="F261" s="113" t="inlineStr">
        <is>
          <t>Trend</t>
        </is>
      </c>
    </row>
    <row r="262" ht="15" customHeight="1" s="1">
      <c r="A262" s="103" t="inlineStr">
        <is>
          <t>기타</t>
        </is>
      </c>
      <c r="B262" s="103" t="inlineStr">
        <is>
          <t>4월 1일</t>
        </is>
      </c>
      <c r="C262" s="104" t="inlineStr">
        <is>
          <t>개인화 AI 희망하는 소비자 연령대</t>
        </is>
      </c>
      <c r="D262" s="103" t="inlineStr">
        <is>
          <t>2.70%</t>
        </is>
      </c>
      <c r="E262" s="103" t="n">
        <v>1</v>
      </c>
      <c r="F262" s="113" t="inlineStr">
        <is>
          <t>Trend</t>
        </is>
      </c>
    </row>
    <row r="263" ht="15" customHeight="1" s="1">
      <c r="A263" s="106" t="inlineStr">
        <is>
          <t>기타</t>
        </is>
      </c>
      <c r="B263" s="106" t="inlineStr">
        <is>
          <t>4월 7일</t>
        </is>
      </c>
      <c r="C263" s="107" t="inlineStr">
        <is>
          <t>No 1. 패션 B2B 커머스 플랫폼</t>
        </is>
      </c>
      <c r="D263" s="106" t="inlineStr">
        <is>
          <t>1.59%</t>
        </is>
      </c>
      <c r="E263" s="106" t="n">
        <v>1</v>
      </c>
      <c r="F263" s="108" t="inlineStr">
        <is>
          <t>About</t>
        </is>
      </c>
    </row>
    <row r="264" ht="15" customHeight="1" s="1">
      <c r="A264" s="106" t="inlineStr">
        <is>
          <t>기타</t>
        </is>
      </c>
      <c r="B264" s="106" t="inlineStr">
        <is>
          <t>4월 4일</t>
        </is>
      </c>
      <c r="C264" s="107" t="inlineStr">
        <is>
          <t>글로벌 소비 트렌드 2025-26 그래프</t>
        </is>
      </c>
      <c r="D264" s="106" t="inlineStr">
        <is>
          <t>20.00%</t>
        </is>
      </c>
      <c r="E264" s="106" t="n">
        <v>1</v>
      </c>
      <c r="F264" s="109" t="inlineStr">
        <is>
          <t>Trend</t>
        </is>
      </c>
    </row>
    <row r="265" ht="15" customHeight="1" s="1">
      <c r="A265" s="106" t="inlineStr">
        <is>
          <t>기타</t>
        </is>
      </c>
      <c r="B265" s="106" t="inlineStr">
        <is>
          <t>4월 7일</t>
        </is>
      </c>
      <c r="C265" s="107" t="inlineStr">
        <is>
          <t>다이소 뷰티 브랜드</t>
        </is>
      </c>
      <c r="D265" s="106" t="inlineStr">
        <is>
          <t>1.59%</t>
        </is>
      </c>
      <c r="E265" s="106" t="n">
        <v>1</v>
      </c>
      <c r="F265" s="109" t="inlineStr">
        <is>
          <t>Trend</t>
        </is>
      </c>
    </row>
    <row r="266" ht="15" customHeight="1" s="1">
      <c r="A266" s="106" t="inlineStr">
        <is>
          <t>기타</t>
        </is>
      </c>
      <c r="B266" s="106" t="inlineStr">
        <is>
          <t>4월 1일</t>
        </is>
      </c>
      <c r="C266" s="107" t="inlineStr">
        <is>
          <t>직급 SA 뜻</t>
        </is>
      </c>
      <c r="D266" s="106" t="inlineStr">
        <is>
          <t>2.70%</t>
        </is>
      </c>
      <c r="E266" s="106" t="n">
        <v>1</v>
      </c>
      <c r="F266" s="110" t="inlineStr">
        <is>
          <t>People</t>
        </is>
      </c>
    </row>
    <row r="267" ht="15" customHeight="1" s="1">
      <c r="A267" s="106" t="inlineStr">
        <is>
          <t>기타</t>
        </is>
      </c>
      <c r="B267" s="106" t="inlineStr">
        <is>
          <t>4월 2일</t>
        </is>
      </c>
      <c r="C267" s="107" t="inlineStr">
        <is>
          <t>넷플릭스 정주행광고모음</t>
        </is>
      </c>
      <c r="D267" s="106" t="inlineStr">
        <is>
          <t>1.30%</t>
        </is>
      </c>
      <c r="E267" s="106" t="n">
        <v>1</v>
      </c>
      <c r="F267" s="108" t="inlineStr">
        <is>
          <t>About</t>
        </is>
      </c>
    </row>
    <row r="268" ht="15" customHeight="1" s="1">
      <c r="A268" s="106" t="inlineStr">
        <is>
          <t>기타</t>
        </is>
      </c>
      <c r="B268" s="106" t="inlineStr">
        <is>
          <t>4월 3일</t>
        </is>
      </c>
      <c r="C268" s="107" t="inlineStr">
        <is>
          <t>ifme 사이즈</t>
        </is>
      </c>
      <c r="D268" s="106" t="inlineStr">
        <is>
          <t>2.94%</t>
        </is>
      </c>
      <c r="E268" s="106" t="n">
        <v>1</v>
      </c>
      <c r="F268" s="109" t="inlineStr">
        <is>
          <t>Trend</t>
        </is>
      </c>
    </row>
    <row r="269" ht="15" customHeight="1" s="1">
      <c r="A269" s="106" t="inlineStr">
        <is>
          <t>기타</t>
        </is>
      </c>
      <c r="B269" s="106" t="inlineStr">
        <is>
          <t>4월 5일</t>
        </is>
      </c>
      <c r="C269" s="107" t="inlineStr">
        <is>
          <t>아이돌 세계관</t>
        </is>
      </c>
      <c r="D269" s="106" t="inlineStr">
        <is>
          <t>2.27%</t>
        </is>
      </c>
      <c r="E269" s="106" t="n">
        <v>1</v>
      </c>
      <c r="F269" s="109" t="inlineStr">
        <is>
          <t>Trend</t>
        </is>
      </c>
    </row>
    <row r="270" ht="15" customHeight="1" s="1">
      <c r="A270" s="106" t="inlineStr">
        <is>
          <t>기타</t>
        </is>
      </c>
      <c r="B270" s="106" t="inlineStr">
        <is>
          <t>4월 6일</t>
        </is>
      </c>
      <c r="C270" s="107" t="inlineStr">
        <is>
          <t>웬디스 national roast day</t>
        </is>
      </c>
      <c r="D270" s="106" t="inlineStr">
        <is>
          <t>1.69%</t>
        </is>
      </c>
      <c r="E270" s="106" t="n">
        <v>1</v>
      </c>
      <c r="F270" s="109" t="inlineStr">
        <is>
          <t>Trend</t>
        </is>
      </c>
    </row>
    <row r="271" ht="15" customHeight="1" s="1">
      <c r="A271" s="106" t="inlineStr">
        <is>
          <t>기타</t>
        </is>
      </c>
      <c r="B271" s="106" t="inlineStr">
        <is>
          <t>4월 3일</t>
        </is>
      </c>
      <c r="C271" s="107" t="inlineStr">
        <is>
          <t>스페셜da 모바일 의료기관</t>
        </is>
      </c>
      <c r="D271" s="106" t="inlineStr">
        <is>
          <t>2.94%</t>
        </is>
      </c>
      <c r="E271" s="106" t="n">
        <v>1</v>
      </c>
      <c r="F271" s="108" t="inlineStr">
        <is>
          <t>About</t>
        </is>
      </c>
    </row>
    <row r="272" ht="15" customHeight="1" s="1">
      <c r="A272" s="106" t="inlineStr">
        <is>
          <t>기타</t>
        </is>
      </c>
      <c r="B272" s="106" t="inlineStr">
        <is>
          <t>4월 5일</t>
        </is>
      </c>
      <c r="C272" s="107" t="inlineStr">
        <is>
          <t>옷 플랫품</t>
        </is>
      </c>
      <c r="D272" s="106" t="inlineStr">
        <is>
          <t>2.27%</t>
        </is>
      </c>
      <c r="E272" s="106" t="n">
        <v>1</v>
      </c>
      <c r="F272" s="109" t="inlineStr">
        <is>
          <t>Trend</t>
        </is>
      </c>
    </row>
    <row r="273" ht="15" customHeight="1" s="1">
      <c r="A273" s="106" t="inlineStr">
        <is>
          <t>기타</t>
        </is>
      </c>
      <c r="B273" s="106" t="inlineStr">
        <is>
          <t>4월 7일</t>
        </is>
      </c>
      <c r="C273" s="107" t="inlineStr">
        <is>
          <t>스트림플레이션 뜻</t>
        </is>
      </c>
      <c r="D273" s="106" t="inlineStr">
        <is>
          <t>1.59%</t>
        </is>
      </c>
      <c r="E273" s="106" t="n">
        <v>1</v>
      </c>
      <c r="F273" s="109" t="inlineStr">
        <is>
          <t>Trend</t>
        </is>
      </c>
    </row>
    <row r="274" ht="15" customHeight="1" s="1">
      <c r="A274" s="106" t="inlineStr">
        <is>
          <t>기타</t>
        </is>
      </c>
      <c r="B274" s="106" t="inlineStr">
        <is>
          <t>4월 2일</t>
        </is>
      </c>
      <c r="C274" s="107" t="inlineStr">
        <is>
          <t>태풍상사 마케팅</t>
        </is>
      </c>
      <c r="D274" s="106" t="inlineStr">
        <is>
          <t>1.30%</t>
        </is>
      </c>
      <c r="E274" s="106" t="n">
        <v>1</v>
      </c>
      <c r="F274" s="109" t="inlineStr">
        <is>
          <t>Trend</t>
        </is>
      </c>
    </row>
    <row r="275" ht="15" customHeight="1" s="1">
      <c r="A275" s="106" t="inlineStr">
        <is>
          <t>기타</t>
        </is>
      </c>
      <c r="B275" s="106" t="inlineStr">
        <is>
          <t>4월 2일</t>
        </is>
      </c>
      <c r="C275" s="107" t="inlineStr">
        <is>
          <t>태풍상사 마케팅 사례</t>
        </is>
      </c>
      <c r="D275" s="106" t="inlineStr">
        <is>
          <t>1.30%</t>
        </is>
      </c>
      <c r="E275" s="106" t="n">
        <v>1</v>
      </c>
      <c r="F275" s="109" t="inlineStr">
        <is>
          <t>Trend</t>
        </is>
      </c>
    </row>
    <row r="276" ht="15" customHeight="1" s="1">
      <c r="A276" s="106" t="inlineStr">
        <is>
          <t>기타</t>
        </is>
      </c>
      <c r="B276" s="106" t="inlineStr">
        <is>
          <t>4월 6일</t>
        </is>
      </c>
      <c r="C276" s="107" t="inlineStr">
        <is>
          <t>하이퍼 로컬 마케팅</t>
        </is>
      </c>
      <c r="D276" s="106" t="inlineStr">
        <is>
          <t>1.69%</t>
        </is>
      </c>
      <c r="E276" s="106" t="n">
        <v>1</v>
      </c>
      <c r="F276" s="111" t="inlineStr">
        <is>
          <t>Media</t>
        </is>
      </c>
    </row>
    <row r="277" ht="15" customHeight="1" s="1">
      <c r="A277" s="106" t="inlineStr">
        <is>
          <t>기타</t>
        </is>
      </c>
      <c r="B277" s="106" t="inlineStr">
        <is>
          <t>4월 3일</t>
        </is>
      </c>
      <c r="C277" s="107" t="inlineStr">
        <is>
          <t>네이버 검색광고 에셋 텍스트</t>
        </is>
      </c>
      <c r="D277" s="106" t="inlineStr">
        <is>
          <t>2.94%</t>
        </is>
      </c>
      <c r="E277" s="106" t="n">
        <v>1</v>
      </c>
      <c r="F277" s="111" t="inlineStr">
        <is>
          <t>Media</t>
        </is>
      </c>
    </row>
    <row r="278" ht="15" customHeight="1" s="1">
      <c r="A278" s="106" t="inlineStr">
        <is>
          <t>기타</t>
        </is>
      </c>
      <c r="B278" s="106" t="inlineStr">
        <is>
          <t>4월 6일</t>
        </is>
      </c>
      <c r="C278" s="107" t="inlineStr">
        <is>
          <t>네이버 시승신청 광고</t>
        </is>
      </c>
      <c r="D278" s="106" t="inlineStr">
        <is>
          <t>1.69%</t>
        </is>
      </c>
      <c r="E278" s="106" t="n">
        <v>1</v>
      </c>
      <c r="F278" s="108" t="inlineStr">
        <is>
          <t>About</t>
        </is>
      </c>
    </row>
    <row r="279" ht="15" customHeight="1" s="1">
      <c r="A279" s="106" t="inlineStr">
        <is>
          <t>기타</t>
        </is>
      </c>
      <c r="B279" s="106" t="inlineStr">
        <is>
          <t>4월 6일</t>
        </is>
      </c>
      <c r="C279" s="107" t="inlineStr">
        <is>
          <t>카톡플친 메세지 소식올리기 차이</t>
        </is>
      </c>
      <c r="D279" s="106" t="inlineStr">
        <is>
          <t>1.69%</t>
        </is>
      </c>
      <c r="E279" s="106" t="n">
        <v>1</v>
      </c>
      <c r="F279" s="111" t="inlineStr">
        <is>
          <t>Media</t>
        </is>
      </c>
    </row>
    <row r="280" ht="15" customHeight="1" s="1">
      <c r="A280" s="106" t="inlineStr">
        <is>
          <t>기타</t>
        </is>
      </c>
      <c r="B280" s="106" t="inlineStr">
        <is>
          <t>4월 1일</t>
        </is>
      </c>
      <c r="C280" s="107" t="inlineStr">
        <is>
          <t>키친플래그</t>
        </is>
      </c>
      <c r="D280" s="106" t="inlineStr">
        <is>
          <t>2.70%</t>
        </is>
      </c>
      <c r="E280" s="106" t="n">
        <v>1</v>
      </c>
      <c r="F280" s="108" t="inlineStr">
        <is>
          <t>About</t>
        </is>
      </c>
    </row>
    <row r="281" ht="15" customHeight="1" s="1">
      <c r="A281" s="106" t="inlineStr">
        <is>
          <t>기타</t>
        </is>
      </c>
      <c r="B281" s="106" t="inlineStr">
        <is>
          <t>4월 7일</t>
        </is>
      </c>
      <c r="C281" s="107" t="inlineStr">
        <is>
          <t>키워드마스터</t>
        </is>
      </c>
      <c r="D281" s="106" t="inlineStr">
        <is>
          <t>1.59%</t>
        </is>
      </c>
      <c r="E281" s="106" t="n">
        <v>1</v>
      </c>
      <c r="F281" s="109" t="inlineStr">
        <is>
          <t>Trend</t>
        </is>
      </c>
    </row>
    <row r="282" ht="15" customHeight="1" s="1">
      <c r="A282" s="106" t="inlineStr">
        <is>
          <t>기타</t>
        </is>
      </c>
      <c r="B282" s="106" t="inlineStr">
        <is>
          <t>4월 6일</t>
        </is>
      </c>
      <c r="C282" s="107" t="inlineStr">
        <is>
          <t>패션잡화 업종 보고서</t>
        </is>
      </c>
      <c r="D282" s="106" t="inlineStr">
        <is>
          <t>1.69%</t>
        </is>
      </c>
      <c r="E282" s="106" t="n">
        <v>1</v>
      </c>
      <c r="F282" s="109" t="inlineStr">
        <is>
          <t>Trend</t>
        </is>
      </c>
    </row>
    <row r="283" ht="15" customHeight="1" s="1">
      <c r="A283" s="106" t="inlineStr">
        <is>
          <t>기타</t>
        </is>
      </c>
      <c r="B283" s="106" t="inlineStr">
        <is>
          <t>4월 1일</t>
        </is>
      </c>
      <c r="C283" s="107" t="inlineStr">
        <is>
          <t>두산베어스 케릭터</t>
        </is>
      </c>
      <c r="D283" s="106" t="inlineStr">
        <is>
          <t>2.70%</t>
        </is>
      </c>
      <c r="E283" s="106" t="n">
        <v>1</v>
      </c>
      <c r="F283" s="109" t="inlineStr">
        <is>
          <t>Trend</t>
        </is>
      </c>
    </row>
    <row r="284" ht="15" customHeight="1" s="1">
      <c r="A284" s="106" t="inlineStr">
        <is>
          <t>기타</t>
        </is>
      </c>
      <c r="B284" s="106" t="inlineStr">
        <is>
          <t>4월 6일</t>
        </is>
      </c>
      <c r="C284" s="107" t="inlineStr">
        <is>
          <t>모디슈머 제품</t>
        </is>
      </c>
      <c r="D284" s="106" t="inlineStr">
        <is>
          <t>1.69%</t>
        </is>
      </c>
      <c r="E284" s="106" t="n">
        <v>1</v>
      </c>
      <c r="F284" s="109" t="inlineStr">
        <is>
          <t>Trend</t>
        </is>
      </c>
    </row>
    <row r="285" ht="15" customHeight="1" s="1">
      <c r="A285" s="106" t="inlineStr">
        <is>
          <t>기타</t>
        </is>
      </c>
      <c r="B285" s="106" t="inlineStr">
        <is>
          <t>4월 7일</t>
        </is>
      </c>
      <c r="C285" s="107" t="inlineStr">
        <is>
          <t>ai 연령대 별 접근 표</t>
        </is>
      </c>
      <c r="D285" s="106" t="inlineStr">
        <is>
          <t>1.59%</t>
        </is>
      </c>
      <c r="E285" s="106" t="n">
        <v>1</v>
      </c>
      <c r="F285" s="109" t="inlineStr">
        <is>
          <t>Trend</t>
        </is>
      </c>
    </row>
    <row r="286" ht="15" customHeight="1" s="1">
      <c r="A286" s="106" t="inlineStr">
        <is>
          <t>기타</t>
        </is>
      </c>
      <c r="B286" s="106" t="inlineStr">
        <is>
          <t>4월 7일</t>
        </is>
      </c>
      <c r="C286" s="107" t="inlineStr">
        <is>
          <t>근속 수상 소감문 작성 팁 알려주세요</t>
        </is>
      </c>
      <c r="D286" s="106" t="inlineStr">
        <is>
          <t>1.59%</t>
        </is>
      </c>
      <c r="E286" s="106" t="n">
        <v>1</v>
      </c>
      <c r="F286" s="110" t="inlineStr">
        <is>
          <t>People</t>
        </is>
      </c>
    </row>
    <row r="287" ht="15" customHeight="1" s="1">
      <c r="A287" s="106" t="inlineStr">
        <is>
          <t>기타</t>
        </is>
      </c>
      <c r="B287" s="106" t="inlineStr">
        <is>
          <t>4월 3일</t>
        </is>
      </c>
      <c r="C287" s="107" t="inlineStr">
        <is>
          <t>2026년 방송 디지털 광고</t>
        </is>
      </c>
      <c r="D287" s="106" t="inlineStr">
        <is>
          <t>2.94%</t>
        </is>
      </c>
      <c r="E287" s="106" t="n">
        <v>1</v>
      </c>
      <c r="F287" s="108" t="inlineStr">
        <is>
          <t>About</t>
        </is>
      </c>
    </row>
    <row r="288" ht="15" customHeight="1" s="1">
      <c r="A288" s="106" t="inlineStr">
        <is>
          <t>기타</t>
        </is>
      </c>
      <c r="B288" s="106" t="inlineStr">
        <is>
          <t>4월 7일</t>
        </is>
      </c>
      <c r="C288" s="107" t="inlineStr">
        <is>
          <t>모란네이버인스타메타회사위치</t>
        </is>
      </c>
      <c r="D288" s="106" t="inlineStr">
        <is>
          <t>1.59%</t>
        </is>
      </c>
      <c r="E288" s="106" t="n">
        <v>1</v>
      </c>
      <c r="F288" s="108" t="inlineStr">
        <is>
          <t>About</t>
        </is>
      </c>
    </row>
    <row r="289" ht="15" customHeight="1" s="1">
      <c r="A289" s="106" t="inlineStr">
        <is>
          <t>기타</t>
        </is>
      </c>
      <c r="B289" s="106" t="inlineStr">
        <is>
          <t>4월 2일</t>
        </is>
      </c>
      <c r="C289" s="107" t="inlineStr">
        <is>
          <t>2030건강 보험 상품 치수</t>
        </is>
      </c>
      <c r="D289" s="106" t="inlineStr">
        <is>
          <t>2.60%</t>
        </is>
      </c>
      <c r="E289" s="106" t="n">
        <v>2</v>
      </c>
      <c r="F289" s="109" t="inlineStr">
        <is>
          <t>Trend</t>
        </is>
      </c>
    </row>
    <row r="290" ht="15" customHeight="1" s="1">
      <c r="A290" s="106" t="inlineStr">
        <is>
          <t>기타</t>
        </is>
      </c>
      <c r="B290" s="106" t="inlineStr">
        <is>
          <t>4월 5일</t>
        </is>
      </c>
      <c r="C290" s="107" t="inlineStr">
        <is>
          <t>저당 제품 소비자 연령 조사 결과</t>
        </is>
      </c>
      <c r="D290" s="106" t="inlineStr">
        <is>
          <t>2.27%</t>
        </is>
      </c>
      <c r="E290" s="106" t="n">
        <v>1</v>
      </c>
      <c r="F290" s="109" t="inlineStr">
        <is>
          <t>Trend</t>
        </is>
      </c>
    </row>
    <row r="291" ht="15" customHeight="1" s="1">
      <c r="A291" s="106" t="inlineStr">
        <is>
          <t>기타</t>
        </is>
      </c>
      <c r="B291" s="106" t="inlineStr">
        <is>
          <t>4월 7일</t>
        </is>
      </c>
      <c r="C291" s="107" t="inlineStr">
        <is>
          <t>f&amp;b 마케팅</t>
        </is>
      </c>
      <c r="D291" s="106" t="inlineStr">
        <is>
          <t>1.59%</t>
        </is>
      </c>
      <c r="E291" s="106" t="n">
        <v>1</v>
      </c>
      <c r="F291" s="108" t="inlineStr">
        <is>
          <t>About</t>
        </is>
      </c>
    </row>
    <row r="292" ht="15" customHeight="1" s="1">
      <c r="A292" s="106" t="inlineStr">
        <is>
          <t>기타</t>
        </is>
      </c>
      <c r="B292" s="106" t="inlineStr">
        <is>
          <t>4월 8일</t>
        </is>
      </c>
      <c r="C292" s="107" t="inlineStr">
        <is>
          <t>엠넷 스플래시 배너</t>
        </is>
      </c>
      <c r="D292" s="106" t="inlineStr">
        <is>
          <t>5.41%</t>
        </is>
      </c>
      <c r="E292" s="106" t="n">
        <v>2</v>
      </c>
      <c r="F292" s="111" t="inlineStr">
        <is>
          <t>Media</t>
        </is>
      </c>
    </row>
    <row r="293" ht="15" customHeight="1" s="1">
      <c r="A293" s="106" t="inlineStr">
        <is>
          <t>기타</t>
        </is>
      </c>
      <c r="B293" s="106" t="inlineStr">
        <is>
          <t>4월 10일</t>
        </is>
      </c>
      <c r="C293" s="107" t="inlineStr">
        <is>
          <t>ai구독료 가전제품 30 만원이상</t>
        </is>
      </c>
      <c r="D293" s="106" t="inlineStr">
        <is>
          <t>3.85%</t>
        </is>
      </c>
      <c r="E293" s="106" t="n">
        <v>1</v>
      </c>
      <c r="F293" s="109" t="inlineStr">
        <is>
          <t>Trend</t>
        </is>
      </c>
    </row>
    <row r="294" ht="15" customHeight="1" s="1">
      <c r="A294" s="106" t="inlineStr">
        <is>
          <t>기타</t>
        </is>
      </c>
      <c r="B294" s="106" t="inlineStr">
        <is>
          <t>4월 11일</t>
        </is>
      </c>
      <c r="C294" s="107" t="inlineStr">
        <is>
          <t>하이퍼 로컬 마케팅</t>
        </is>
      </c>
      <c r="D294" s="106" t="inlineStr">
        <is>
          <t>15.38%</t>
        </is>
      </c>
      <c r="E294" s="106" t="n">
        <v>2</v>
      </c>
      <c r="F294" s="111" t="inlineStr">
        <is>
          <t>Media</t>
        </is>
      </c>
    </row>
    <row r="295" ht="15" customHeight="1" s="1">
      <c r="A295" s="106" t="inlineStr">
        <is>
          <t>기타</t>
        </is>
      </c>
      <c r="B295" s="106" t="inlineStr">
        <is>
          <t>4월 13일</t>
        </is>
      </c>
      <c r="C295" s="107" t="inlineStr">
        <is>
          <t>mmm 구글</t>
        </is>
      </c>
      <c r="D295" s="106" t="inlineStr">
        <is>
          <t>2.38%</t>
        </is>
      </c>
      <c r="E295" s="106" t="n">
        <v>1</v>
      </c>
      <c r="F295" s="115" t="inlineStr">
        <is>
          <t>Data</t>
        </is>
      </c>
    </row>
    <row r="296" ht="15" customHeight="1" s="1">
      <c r="A296" s="106" t="inlineStr">
        <is>
          <t>기타</t>
        </is>
      </c>
      <c r="B296" s="106" t="inlineStr">
        <is>
          <t>4월 14일</t>
        </is>
      </c>
      <c r="C296" s="107" t="inlineStr">
        <is>
          <t>카톡 업데이트 프로필 광고</t>
        </is>
      </c>
      <c r="D296" s="106" t="inlineStr">
        <is>
          <t>6.98%</t>
        </is>
      </c>
      <c r="E296" s="106" t="n">
        <v>9</v>
      </c>
      <c r="F296" s="111" t="inlineStr">
        <is>
          <t>Media</t>
        </is>
      </c>
    </row>
    <row r="297" ht="15" customHeight="1" s="1">
      <c r="A297" s="106" t="inlineStr">
        <is>
          <t>기타</t>
        </is>
      </c>
      <c r="B297" s="106" t="inlineStr">
        <is>
          <t>4월 8일</t>
        </is>
      </c>
      <c r="C297" s="107" t="inlineStr">
        <is>
          <t>휴먼 파티 데이터</t>
        </is>
      </c>
      <c r="D297" s="106" t="inlineStr">
        <is>
          <t>5.41%</t>
        </is>
      </c>
      <c r="E297" s="106" t="n">
        <v>2</v>
      </c>
      <c r="F297" s="111" t="inlineStr">
        <is>
          <t>Media</t>
        </is>
      </c>
    </row>
    <row r="298" ht="15" customHeight="1" s="1">
      <c r="A298" s="106" t="inlineStr">
        <is>
          <t>기타</t>
        </is>
      </c>
      <c r="B298" s="106" t="inlineStr">
        <is>
          <t>4월 8일</t>
        </is>
      </c>
      <c r="C298" s="107" t="inlineStr">
        <is>
          <t>2025년 의류 생산량 알려주세요</t>
        </is>
      </c>
      <c r="D298" s="106" t="inlineStr">
        <is>
          <t>2.70%</t>
        </is>
      </c>
      <c r="E298" s="106" t="n">
        <v>1</v>
      </c>
      <c r="F298" s="109" t="inlineStr">
        <is>
          <t>Trend</t>
        </is>
      </c>
    </row>
    <row r="299" ht="15" customHeight="1" s="1">
      <c r="A299" s="106" t="inlineStr">
        <is>
          <t>기타</t>
        </is>
      </c>
      <c r="B299" s="106" t="inlineStr">
        <is>
          <t>4월 9일</t>
        </is>
      </c>
      <c r="C299" s="107" t="inlineStr">
        <is>
          <t>두산 망그러진곰 유니폼</t>
        </is>
      </c>
      <c r="D299" s="106" t="inlineStr">
        <is>
          <t>2.70%</t>
        </is>
      </c>
      <c r="E299" s="106" t="n">
        <v>1</v>
      </c>
      <c r="F299" s="109" t="inlineStr">
        <is>
          <t>Trend</t>
        </is>
      </c>
    </row>
    <row r="300" ht="15" customHeight="1" s="1">
      <c r="A300" s="106" t="inlineStr">
        <is>
          <t>기타</t>
        </is>
      </c>
      <c r="B300" s="106" t="inlineStr">
        <is>
          <t>4월 11일</t>
        </is>
      </c>
      <c r="C300" s="107" t="inlineStr">
        <is>
          <t>SNS 비교</t>
        </is>
      </c>
      <c r="D300" s="106" t="inlineStr">
        <is>
          <t>7.69%</t>
        </is>
      </c>
      <c r="E300" s="106" t="n">
        <v>1</v>
      </c>
      <c r="F300" s="109" t="inlineStr">
        <is>
          <t>Trend</t>
        </is>
      </c>
    </row>
    <row r="301" ht="15" customHeight="1" s="1">
      <c r="A301" s="106" t="inlineStr">
        <is>
          <t>기타</t>
        </is>
      </c>
      <c r="B301" s="106" t="inlineStr">
        <is>
          <t>4월 12일</t>
        </is>
      </c>
      <c r="C301" s="107" t="inlineStr">
        <is>
          <t>네이버 비지니스 키워드</t>
        </is>
      </c>
      <c r="D301" s="106" t="inlineStr">
        <is>
          <t>4.76%</t>
        </is>
      </c>
      <c r="E301" s="106" t="n">
        <v>1</v>
      </c>
      <c r="F301" s="111" t="inlineStr">
        <is>
          <t>Media</t>
        </is>
      </c>
    </row>
    <row r="302" ht="15" customHeight="1" s="1">
      <c r="A302" s="106" t="inlineStr">
        <is>
          <t>기타</t>
        </is>
      </c>
      <c r="B302" s="106" t="inlineStr">
        <is>
          <t>4월 14일</t>
        </is>
      </c>
      <c r="C302" s="107" t="inlineStr">
        <is>
          <t>AI최적화 DMC 담당자</t>
        </is>
      </c>
      <c r="D302" s="106" t="inlineStr">
        <is>
          <t>0.78%</t>
        </is>
      </c>
      <c r="E302" s="106" t="n">
        <v>1</v>
      </c>
      <c r="F302" s="108" t="inlineStr">
        <is>
          <t>About</t>
        </is>
      </c>
    </row>
    <row r="303" ht="15" customHeight="1" s="1">
      <c r="A303" s="106" t="inlineStr">
        <is>
          <t>기타</t>
        </is>
      </c>
      <c r="B303" s="106" t="inlineStr">
        <is>
          <t>4월 9일</t>
        </is>
      </c>
      <c r="C303" s="107" t="inlineStr">
        <is>
          <t>업데이트 프로필 광고</t>
        </is>
      </c>
      <c r="D303" s="106" t="inlineStr">
        <is>
          <t>2.70%</t>
        </is>
      </c>
      <c r="E303" s="106" t="n">
        <v>1</v>
      </c>
      <c r="F303" s="108" t="inlineStr">
        <is>
          <t>About</t>
        </is>
      </c>
    </row>
    <row r="304" ht="15" customHeight="1" s="1">
      <c r="A304" s="106" t="inlineStr">
        <is>
          <t>기타</t>
        </is>
      </c>
      <c r="B304" s="106" t="inlineStr">
        <is>
          <t>4월 10일</t>
        </is>
      </c>
      <c r="C304" s="107" t="inlineStr">
        <is>
          <t>카톡 업데이트 프로필 광고</t>
        </is>
      </c>
      <c r="D304" s="106" t="inlineStr">
        <is>
          <t>3.85%</t>
        </is>
      </c>
      <c r="E304" s="106" t="n">
        <v>1</v>
      </c>
      <c r="F304" s="111" t="inlineStr">
        <is>
          <t>Media</t>
        </is>
      </c>
    </row>
    <row r="305" ht="15" customHeight="1" s="1">
      <c r="A305" s="106" t="inlineStr">
        <is>
          <t>기타</t>
        </is>
      </c>
      <c r="B305" s="106" t="inlineStr">
        <is>
          <t>4월 8일</t>
        </is>
      </c>
      <c r="C305" s="107" t="inlineStr">
        <is>
          <t>sns 마케팅이 의류구매에 미치는 영향</t>
        </is>
      </c>
      <c r="D305" s="106" t="inlineStr">
        <is>
          <t>2.70%</t>
        </is>
      </c>
      <c r="E305" s="106" t="n">
        <v>1</v>
      </c>
      <c r="F305" s="109" t="inlineStr">
        <is>
          <t>Trend</t>
        </is>
      </c>
    </row>
    <row r="306" ht="15" customHeight="1" s="1">
      <c r="A306" s="106" t="inlineStr">
        <is>
          <t>기타</t>
        </is>
      </c>
      <c r="B306" s="106" t="inlineStr">
        <is>
          <t>4월 10일</t>
        </is>
      </c>
      <c r="C306" s="107" t="inlineStr">
        <is>
          <t>카톡 업데이트프로필 광고</t>
        </is>
      </c>
      <c r="D306" s="106" t="inlineStr">
        <is>
          <t>3.85%</t>
        </is>
      </c>
      <c r="E306" s="106" t="n">
        <v>1</v>
      </c>
      <c r="F306" s="111" t="inlineStr">
        <is>
          <t>Media</t>
        </is>
      </c>
    </row>
    <row r="307" ht="15" customHeight="1" s="1">
      <c r="A307" s="106" t="inlineStr">
        <is>
          <t>기타</t>
        </is>
      </c>
      <c r="B307" s="106" t="inlineStr">
        <is>
          <t>4월 10일</t>
        </is>
      </c>
      <c r="C307" s="107" t="inlineStr">
        <is>
          <t>카톡 프로필 업데이트 광고</t>
        </is>
      </c>
      <c r="D307" s="106" t="inlineStr">
        <is>
          <t>3.85%</t>
        </is>
      </c>
      <c r="E307" s="106" t="n">
        <v>1</v>
      </c>
      <c r="F307" s="111" t="inlineStr">
        <is>
          <t>Media</t>
        </is>
      </c>
    </row>
    <row r="308" ht="15" customHeight="1" s="1">
      <c r="A308" s="106" t="inlineStr">
        <is>
          <t>기타</t>
        </is>
      </c>
      <c r="B308" s="106" t="inlineStr">
        <is>
          <t>4월 12일</t>
        </is>
      </c>
      <c r="C308" s="107" t="inlineStr">
        <is>
          <t>2025년 뷰티 소비자 평균 지출 금액 알려주세요</t>
        </is>
      </c>
      <c r="D308" s="106" t="inlineStr">
        <is>
          <t>4.76%</t>
        </is>
      </c>
      <c r="E308" s="106" t="n">
        <v>1</v>
      </c>
      <c r="F308" s="109" t="inlineStr">
        <is>
          <t>Trend</t>
        </is>
      </c>
    </row>
    <row r="309" ht="15" customHeight="1" s="1">
      <c r="A309" s="106" t="inlineStr">
        <is>
          <t>기타</t>
        </is>
      </c>
      <c r="B309" s="106" t="inlineStr">
        <is>
          <t>4월 14일</t>
        </is>
      </c>
      <c r="C309" s="107" t="inlineStr">
        <is>
          <t>카톡 업데이트 광고</t>
        </is>
      </c>
      <c r="D309" s="106" t="inlineStr">
        <is>
          <t>0.78%</t>
        </is>
      </c>
      <c r="E309" s="106" t="n">
        <v>1</v>
      </c>
      <c r="F309" s="111" t="inlineStr">
        <is>
          <t>Media</t>
        </is>
      </c>
    </row>
    <row r="310" ht="15" customHeight="1" s="1">
      <c r="A310" s="106" t="inlineStr">
        <is>
          <t>기타</t>
        </is>
      </c>
      <c r="B310" s="106" t="inlineStr">
        <is>
          <t>4월 8일</t>
        </is>
      </c>
      <c r="C310" s="107" t="inlineStr">
        <is>
          <t>유저 세그먼트</t>
        </is>
      </c>
      <c r="D310" s="106" t="inlineStr">
        <is>
          <t>2.70%</t>
        </is>
      </c>
      <c r="E310" s="106" t="n">
        <v>1</v>
      </c>
      <c r="F310" s="115" t="inlineStr">
        <is>
          <t>Data</t>
        </is>
      </c>
    </row>
    <row r="311" ht="15" customHeight="1" s="1">
      <c r="A311" s="106" t="inlineStr">
        <is>
          <t>기타</t>
        </is>
      </c>
      <c r="B311" s="106" t="inlineStr">
        <is>
          <t>4월 14일</t>
        </is>
      </c>
      <c r="C311" s="107" t="inlineStr">
        <is>
          <t>카톡 업데이트 프로필광고 뜨서</t>
        </is>
      </c>
      <c r="D311" s="106" t="inlineStr">
        <is>
          <t>0.78%</t>
        </is>
      </c>
      <c r="E311" s="106" t="n">
        <v>1</v>
      </c>
      <c r="F311" s="111" t="inlineStr">
        <is>
          <t>Media</t>
        </is>
      </c>
    </row>
    <row r="312" ht="15" customHeight="1" s="1">
      <c r="A312" s="106" t="inlineStr">
        <is>
          <t>기타</t>
        </is>
      </c>
      <c r="B312" s="106" t="inlineStr">
        <is>
          <t>4월 9일</t>
        </is>
      </c>
      <c r="C312" s="107" t="inlineStr">
        <is>
          <t>컴패니언 로봇볼리 구매</t>
        </is>
      </c>
      <c r="D312" s="106" t="inlineStr">
        <is>
          <t>2.70%</t>
        </is>
      </c>
      <c r="E312" s="106" t="n">
        <v>1</v>
      </c>
      <c r="F312" s="109" t="inlineStr">
        <is>
          <t>Trend</t>
        </is>
      </c>
    </row>
    <row r="313" ht="15" customHeight="1" s="1">
      <c r="A313" s="106" t="inlineStr">
        <is>
          <t>기타</t>
        </is>
      </c>
      <c r="B313" s="106" t="inlineStr">
        <is>
          <t>4월 14일</t>
        </is>
      </c>
      <c r="C313" s="107" t="inlineStr">
        <is>
          <t>카톡 업데이트프로필 광고</t>
        </is>
      </c>
      <c r="D313" s="106" t="inlineStr">
        <is>
          <t>0.78%</t>
        </is>
      </c>
      <c r="E313" s="106" t="n">
        <v>1</v>
      </c>
      <c r="F313" s="111" t="inlineStr">
        <is>
          <t>Media</t>
        </is>
      </c>
    </row>
    <row r="314" ht="15" customHeight="1" s="1">
      <c r="A314" s="106" t="inlineStr">
        <is>
          <t>기타</t>
        </is>
      </c>
      <c r="B314" s="106" t="inlineStr">
        <is>
          <t>4월 8일</t>
        </is>
      </c>
      <c r="C314" s="107" t="inlineStr">
        <is>
          <t>의류중저가브렌드</t>
        </is>
      </c>
      <c r="D314" s="106" t="inlineStr">
        <is>
          <t>2.70%</t>
        </is>
      </c>
      <c r="E314" s="106" t="n">
        <v>1</v>
      </c>
      <c r="F314" s="109" t="inlineStr">
        <is>
          <t>Trend</t>
        </is>
      </c>
    </row>
    <row r="315" ht="15" customHeight="1" s="1">
      <c r="A315" s="106" t="inlineStr">
        <is>
          <t>기타</t>
        </is>
      </c>
      <c r="B315" s="106" t="inlineStr">
        <is>
          <t>4월 11일</t>
        </is>
      </c>
      <c r="C315" s="107" t="inlineStr">
        <is>
          <t>marketing mix modeling</t>
        </is>
      </c>
      <c r="D315" s="106" t="inlineStr">
        <is>
          <t>7.69%</t>
        </is>
      </c>
      <c r="E315" s="106" t="n">
        <v>1</v>
      </c>
      <c r="F315" s="109" t="inlineStr">
        <is>
          <t>Trend</t>
        </is>
      </c>
    </row>
    <row r="316" ht="15" customHeight="1" s="1">
      <c r="A316" s="106" t="inlineStr">
        <is>
          <t>기타</t>
        </is>
      </c>
      <c r="B316" s="106" t="inlineStr">
        <is>
          <t>4월 14일</t>
        </is>
      </c>
      <c r="C316" s="107" t="inlineStr">
        <is>
          <t>카톡 프로필 업데이트광고</t>
        </is>
      </c>
      <c r="D316" s="106" t="inlineStr">
        <is>
          <t>0.78%</t>
        </is>
      </c>
      <c r="E316" s="106" t="n">
        <v>1</v>
      </c>
      <c r="F316" s="111" t="inlineStr">
        <is>
          <t>Media</t>
        </is>
      </c>
    </row>
    <row r="317" ht="15" customHeight="1" s="1">
      <c r="A317" s="106" t="inlineStr">
        <is>
          <t>기타</t>
        </is>
      </c>
      <c r="B317" s="106" t="inlineStr">
        <is>
          <t>4월 12일</t>
        </is>
      </c>
      <c r="C317" s="107" t="inlineStr">
        <is>
          <t>TV광고 영향력</t>
        </is>
      </c>
      <c r="D317" s="106" t="inlineStr">
        <is>
          <t>4.76%</t>
        </is>
      </c>
      <c r="E317" s="106" t="n">
        <v>1</v>
      </c>
      <c r="F317" s="109" t="inlineStr">
        <is>
          <t>Trend</t>
        </is>
      </c>
    </row>
    <row r="318" ht="15" customHeight="1" s="1">
      <c r="A318" s="106" t="inlineStr">
        <is>
          <t>기타</t>
        </is>
      </c>
      <c r="B318" s="106" t="inlineStr">
        <is>
          <t>4월 13일</t>
        </is>
      </c>
      <c r="C318" s="107" t="inlineStr">
        <is>
          <t>릴스 트렌딩 광고 CPM 단가</t>
        </is>
      </c>
      <c r="D318" s="106" t="inlineStr">
        <is>
          <t>2.38%</t>
        </is>
      </c>
      <c r="E318" s="106" t="n">
        <v>1</v>
      </c>
      <c r="F318" s="108" t="inlineStr">
        <is>
          <t>About</t>
        </is>
      </c>
    </row>
    <row r="319" ht="15" customHeight="1" s="1">
      <c r="A319" s="106" t="inlineStr">
        <is>
          <t>기타</t>
        </is>
      </c>
      <c r="B319" s="106" t="inlineStr">
        <is>
          <t>4월 14일</t>
        </is>
      </c>
      <c r="C319" s="107" t="inlineStr">
        <is>
          <t>카톡 프로필 엽데이트 광고</t>
        </is>
      </c>
      <c r="D319" s="106" t="inlineStr">
        <is>
          <t>0.78%</t>
        </is>
      </c>
      <c r="E319" s="106" t="n">
        <v>1</v>
      </c>
      <c r="F319" s="111" t="inlineStr">
        <is>
          <t>Media</t>
        </is>
      </c>
    </row>
    <row r="320" ht="15" customHeight="1" s="1">
      <c r="A320" s="106" t="inlineStr">
        <is>
          <t>기타</t>
        </is>
      </c>
      <c r="B320" s="106" t="inlineStr">
        <is>
          <t>4월 9일</t>
        </is>
      </c>
      <c r="C320" s="107" t="inlineStr">
        <is>
          <t>소비자가 과거에 접한 광고나 마케팅 활동으로 인해</t>
        </is>
      </c>
      <c r="D320" s="106" t="inlineStr">
        <is>
          <t>2.70%</t>
        </is>
      </c>
      <c r="E320" s="106" t="n">
        <v>1</v>
      </c>
      <c r="F320" s="109" t="inlineStr">
        <is>
          <t>Trend</t>
        </is>
      </c>
    </row>
    <row r="321" ht="15" customHeight="1" s="1">
      <c r="A321" s="106" t="inlineStr">
        <is>
          <t>기타</t>
        </is>
      </c>
      <c r="B321" s="106" t="inlineStr">
        <is>
          <t>4월 10일</t>
        </is>
      </c>
      <c r="C321" s="107" t="inlineStr">
        <is>
          <t>F&amp;B 마케팅</t>
        </is>
      </c>
      <c r="D321" s="106" t="inlineStr">
        <is>
          <t>3.85%</t>
        </is>
      </c>
      <c r="E321" s="106" t="n">
        <v>1</v>
      </c>
      <c r="F321" s="108" t="inlineStr">
        <is>
          <t>About</t>
        </is>
      </c>
    </row>
    <row r="322" ht="15" customHeight="1" s="1">
      <c r="A322" s="106" t="inlineStr">
        <is>
          <t>기타</t>
        </is>
      </c>
      <c r="B322" s="106" t="inlineStr">
        <is>
          <t>4월 12일</t>
        </is>
      </c>
      <c r="C322" s="107" t="inlineStr">
        <is>
          <t>sns 비교</t>
        </is>
      </c>
      <c r="D322" s="106" t="inlineStr">
        <is>
          <t>4.76%</t>
        </is>
      </c>
      <c r="E322" s="106" t="n">
        <v>1</v>
      </c>
      <c r="F322" s="108" t="inlineStr">
        <is>
          <t>About</t>
        </is>
      </c>
    </row>
    <row r="323" ht="15" customHeight="1" s="1">
      <c r="A323" s="106" t="inlineStr">
        <is>
          <t>기타</t>
        </is>
      </c>
      <c r="B323" s="106" t="inlineStr">
        <is>
          <t>4월 13일</t>
        </is>
      </c>
      <c r="C323" s="107" t="inlineStr">
        <is>
          <t>엠넷플러스 광고상품소개서</t>
        </is>
      </c>
      <c r="D323" s="106" t="inlineStr">
        <is>
          <t>2.38%</t>
        </is>
      </c>
      <c r="E323" s="106" t="n">
        <v>1</v>
      </c>
      <c r="F323" s="111" t="inlineStr">
        <is>
          <t>Media</t>
        </is>
      </c>
    </row>
    <row r="324" ht="15" customHeight="1" s="1">
      <c r="A324" s="106" t="inlineStr">
        <is>
          <t>기타</t>
        </is>
      </c>
      <c r="B324" s="106" t="inlineStr">
        <is>
          <t>4월 8일</t>
        </is>
      </c>
      <c r="C324" s="107" t="inlineStr">
        <is>
          <t>20~40대는 AI를 가장 적극적으로 활용하는 동시에 높은 신뢰를 보이는 세대로, AI 생성물에 대한 비판적 검증 없이 수용하는 경향이 나타난다.</t>
        </is>
      </c>
      <c r="D324" s="106" t="inlineStr">
        <is>
          <t>2.70%</t>
        </is>
      </c>
      <c r="E324" s="106" t="n">
        <v>1</v>
      </c>
      <c r="F324" s="109" t="inlineStr">
        <is>
          <t>Trend</t>
        </is>
      </c>
    </row>
    <row r="325" ht="15" customHeight="1" s="1">
      <c r="A325" s="106" t="inlineStr">
        <is>
          <t>기타</t>
        </is>
      </c>
      <c r="B325" s="106" t="inlineStr">
        <is>
          <t>4월 10일</t>
        </is>
      </c>
      <c r="C325" s="107" t="inlineStr">
        <is>
          <t>소비자 구매 여정</t>
        </is>
      </c>
      <c r="D325" s="106" t="inlineStr">
        <is>
          <t>3.85%</t>
        </is>
      </c>
      <c r="E325" s="106" t="n">
        <v>1</v>
      </c>
      <c r="F325" s="108" t="inlineStr">
        <is>
          <t>About</t>
        </is>
      </c>
    </row>
    <row r="326" ht="15" customHeight="1" s="1">
      <c r="A326" s="106" t="inlineStr">
        <is>
          <t>기타</t>
        </is>
      </c>
      <c r="B326" s="106" t="inlineStr">
        <is>
          <t>4월 14일</t>
        </is>
      </c>
      <c r="C326" s="107" t="inlineStr">
        <is>
          <t>디타겟팅 뜻</t>
        </is>
      </c>
      <c r="D326" s="106" t="inlineStr">
        <is>
          <t>0.78%</t>
        </is>
      </c>
      <c r="E326" s="106" t="n">
        <v>1</v>
      </c>
      <c r="F326" s="111" t="inlineStr">
        <is>
          <t>Media</t>
        </is>
      </c>
    </row>
    <row r="327" ht="15" customHeight="1" s="1">
      <c r="A327" s="106" t="inlineStr">
        <is>
          <t>기타</t>
        </is>
      </c>
      <c r="B327" s="106" t="inlineStr">
        <is>
          <t>4월 8일</t>
        </is>
      </c>
      <c r="C327" s="107" t="inlineStr">
        <is>
          <t>유동인구분석</t>
        </is>
      </c>
      <c r="D327" s="106" t="inlineStr">
        <is>
          <t>2.70%</t>
        </is>
      </c>
      <c r="E327" s="106" t="n">
        <v>1</v>
      </c>
      <c r="F327" s="109" t="inlineStr">
        <is>
          <t>Trend</t>
        </is>
      </c>
    </row>
    <row r="328" ht="15" customHeight="1" s="1">
      <c r="A328" s="106" t="inlineStr">
        <is>
          <t>기타</t>
        </is>
      </c>
      <c r="B328" s="106" t="inlineStr">
        <is>
          <t>4월 9일</t>
        </is>
      </c>
      <c r="C328" s="107" t="inlineStr">
        <is>
          <t>GEO-D</t>
        </is>
      </c>
      <c r="D328" s="106" t="inlineStr">
        <is>
          <t>2.70%</t>
        </is>
      </c>
      <c r="E328" s="106" t="n">
        <v>1</v>
      </c>
      <c r="F328" s="108" t="inlineStr">
        <is>
          <t>About</t>
        </is>
      </c>
    </row>
    <row r="329" ht="15" customHeight="1" s="1">
      <c r="A329" s="106" t="inlineStr">
        <is>
          <t>기타</t>
        </is>
      </c>
      <c r="B329" s="106" t="inlineStr">
        <is>
          <t>4월 9일</t>
        </is>
      </c>
      <c r="C329" s="107" t="inlineStr">
        <is>
          <t>dooh</t>
        </is>
      </c>
      <c r="D329" s="106" t="inlineStr">
        <is>
          <t>2.70%</t>
        </is>
      </c>
      <c r="E329" s="106" t="n">
        <v>1</v>
      </c>
      <c r="F329" s="109" t="inlineStr">
        <is>
          <t>Trend</t>
        </is>
      </c>
    </row>
    <row r="330" ht="15" customHeight="1" s="1">
      <c r="A330" s="106" t="inlineStr">
        <is>
          <t>기타</t>
        </is>
      </c>
      <c r="B330" s="106" t="inlineStr">
        <is>
          <t>4월 14일</t>
        </is>
      </c>
      <c r="C330" s="107" t="inlineStr">
        <is>
          <t>미디어믹스</t>
        </is>
      </c>
      <c r="D330" s="106" t="inlineStr">
        <is>
          <t>0.78%</t>
        </is>
      </c>
      <c r="E330" s="106" t="n">
        <v>1</v>
      </c>
      <c r="F330" s="111" t="inlineStr">
        <is>
          <t>Media</t>
        </is>
      </c>
    </row>
    <row r="331" ht="15" customHeight="1" s="1">
      <c r="A331" s="106" t="inlineStr">
        <is>
          <t>기타</t>
        </is>
      </c>
      <c r="B331" s="106" t="inlineStr">
        <is>
          <t>4월 8일</t>
        </is>
      </c>
      <c r="C331" s="107" t="inlineStr">
        <is>
          <t>태풍상사 한컴타자</t>
        </is>
      </c>
      <c r="D331" s="106" t="inlineStr">
        <is>
          <t>2.70%</t>
        </is>
      </c>
      <c r="E331" s="106" t="n">
        <v>1</v>
      </c>
      <c r="F331" s="109" t="inlineStr">
        <is>
          <t>Trend</t>
        </is>
      </c>
    </row>
    <row r="332" ht="15" customHeight="1" s="1">
      <c r="A332" s="106" t="inlineStr">
        <is>
          <t>기타</t>
        </is>
      </c>
      <c r="B332" s="106" t="inlineStr">
        <is>
          <t>4월 9일</t>
        </is>
      </c>
      <c r="C332" s="107" t="inlineStr">
        <is>
          <t>모비엠 광고</t>
        </is>
      </c>
      <c r="D332" s="106" t="inlineStr">
        <is>
          <t>2.70%</t>
        </is>
      </c>
      <c r="E332" s="106" t="n">
        <v>1</v>
      </c>
      <c r="F332" s="108" t="inlineStr">
        <is>
          <t>About</t>
        </is>
      </c>
    </row>
    <row r="333" ht="15" customHeight="1" s="1">
      <c r="A333" s="106" t="inlineStr">
        <is>
          <t>기타</t>
        </is>
      </c>
      <c r="B333" s="106" t="inlineStr">
        <is>
          <t>4월 14일</t>
        </is>
      </c>
      <c r="C333" s="107" t="inlineStr">
        <is>
          <t>온드미디어</t>
        </is>
      </c>
      <c r="D333" s="106" t="inlineStr">
        <is>
          <t>0.78%</t>
        </is>
      </c>
      <c r="E333" s="106" t="n">
        <v>1</v>
      </c>
      <c r="F333" s="111" t="inlineStr">
        <is>
          <t>Media</t>
        </is>
      </c>
    </row>
    <row r="334" ht="15" customHeight="1" s="1">
      <c r="A334" s="106" t="inlineStr">
        <is>
          <t>기타</t>
        </is>
      </c>
      <c r="B334" s="106" t="inlineStr">
        <is>
          <t>4월 8일</t>
        </is>
      </c>
      <c r="C334" s="107" t="inlineStr">
        <is>
          <t>2025 건강기능식품 프리미엄시장</t>
        </is>
      </c>
      <c r="D334" s="106" t="inlineStr">
        <is>
          <t>2.70%</t>
        </is>
      </c>
      <c r="E334" s="106" t="n">
        <v>1</v>
      </c>
      <c r="F334" s="109" t="inlineStr">
        <is>
          <t>Trend</t>
        </is>
      </c>
    </row>
    <row r="335" ht="15" customHeight="1" s="1">
      <c r="A335" s="106" t="inlineStr">
        <is>
          <t>기타</t>
        </is>
      </c>
      <c r="B335" s="106" t="inlineStr">
        <is>
          <t>4월 14일</t>
        </is>
      </c>
      <c r="C335" s="107" t="inlineStr">
        <is>
          <t>패션 소비자는 제품보다 착용 스타일 탐색 선호</t>
        </is>
      </c>
      <c r="D335" s="106" t="inlineStr">
        <is>
          <t>0.78%</t>
        </is>
      </c>
      <c r="E335" s="106" t="n">
        <v>1</v>
      </c>
      <c r="F335" s="109" t="inlineStr">
        <is>
          <t>Trend</t>
        </is>
      </c>
    </row>
    <row r="336" ht="15" customHeight="1" s="1">
      <c r="A336" s="106" t="inlineStr">
        <is>
          <t>기타</t>
        </is>
      </c>
      <c r="B336" s="106" t="inlineStr">
        <is>
          <t>4월 15일</t>
        </is>
      </c>
      <c r="C336" s="107" t="inlineStr">
        <is>
          <t>Samsung Ads "Performance TV"</t>
        </is>
      </c>
      <c r="D336" s="106" t="inlineStr">
        <is>
          <t>0.87%</t>
        </is>
      </c>
      <c r="E336" s="106" t="n">
        <v>1</v>
      </c>
      <c r="F336" s="108" t="inlineStr">
        <is>
          <t>About</t>
        </is>
      </c>
    </row>
    <row r="337" ht="15" customHeight="1" s="1">
      <c r="A337" s="106" t="inlineStr">
        <is>
          <t>기타</t>
        </is>
      </c>
      <c r="B337" s="106" t="inlineStr">
        <is>
          <t>4월 20일</t>
        </is>
      </c>
      <c r="C337" s="107" t="inlineStr">
        <is>
          <t>2025 의류 구매 사용 채널 통계</t>
        </is>
      </c>
      <c r="D337" s="106" t="inlineStr">
        <is>
          <t>3.33%</t>
        </is>
      </c>
      <c r="E337" s="106" t="n">
        <v>1</v>
      </c>
      <c r="F337" s="109" t="inlineStr">
        <is>
          <t>Trend</t>
        </is>
      </c>
    </row>
    <row r="338" ht="15" customHeight="1" s="1">
      <c r="A338" s="106" t="inlineStr">
        <is>
          <t>기타</t>
        </is>
      </c>
      <c r="B338" s="106" t="inlineStr">
        <is>
          <t>4월 21일</t>
        </is>
      </c>
      <c r="C338" s="107" t="inlineStr">
        <is>
          <t>50대 이상 여성 → 화장품 구매금액 및 비중 지속 증가 방문판매 채널 → 중장년층 소비 증가로 회복세</t>
        </is>
      </c>
      <c r="D338" s="106" t="inlineStr">
        <is>
          <t>2.04%</t>
        </is>
      </c>
      <c r="E338" s="106" t="n">
        <v>1</v>
      </c>
      <c r="F338" s="109" t="inlineStr">
        <is>
          <t>Trend</t>
        </is>
      </c>
    </row>
    <row r="339" ht="15" customHeight="1" s="1">
      <c r="A339" s="106" t="inlineStr">
        <is>
          <t>기타</t>
        </is>
      </c>
      <c r="B339" s="106" t="inlineStr">
        <is>
          <t>4월 16일</t>
        </is>
      </c>
      <c r="C339" s="107" t="inlineStr">
        <is>
          <t>응원에 사자성어</t>
        </is>
      </c>
      <c r="D339" s="106" t="inlineStr">
        <is>
          <t>4.55%</t>
        </is>
      </c>
      <c r="E339" s="106" t="n">
        <v>2</v>
      </c>
      <c r="F339" s="109" t="inlineStr">
        <is>
          <t>Trend</t>
        </is>
      </c>
    </row>
    <row r="340" ht="15" customHeight="1" s="1">
      <c r="A340" s="106" t="inlineStr">
        <is>
          <t>기타</t>
        </is>
      </c>
      <c r="B340" s="106" t="inlineStr">
        <is>
          <t>4월 17일</t>
        </is>
      </c>
      <c r="C340" s="107" t="inlineStr">
        <is>
          <t>10년 장기근속 수상 소감 짧은 예시 알려주세요</t>
        </is>
      </c>
      <c r="D340" s="106" t="inlineStr">
        <is>
          <t>1.75%</t>
        </is>
      </c>
      <c r="E340" s="106" t="n">
        <v>1</v>
      </c>
      <c r="F340" s="108" t="inlineStr">
        <is>
          <t>About</t>
        </is>
      </c>
    </row>
    <row r="341" ht="15" customHeight="1" s="1">
      <c r="A341" s="106" t="inlineStr">
        <is>
          <t>기타</t>
        </is>
      </c>
      <c r="B341" s="106" t="inlineStr">
        <is>
          <t>4월 18일</t>
        </is>
      </c>
      <c r="C341" s="107" t="inlineStr">
        <is>
          <t>바나나우유 프로모션 굿즈</t>
        </is>
      </c>
      <c r="D341" s="106" t="inlineStr">
        <is>
          <t>11.11%</t>
        </is>
      </c>
      <c r="E341" s="106" t="n">
        <v>1</v>
      </c>
      <c r="F341" s="109" t="inlineStr">
        <is>
          <t>Trend</t>
        </is>
      </c>
    </row>
    <row r="342" ht="15" customHeight="1" s="1">
      <c r="A342" s="106" t="inlineStr">
        <is>
          <t>기타</t>
        </is>
      </c>
      <c r="B342" s="106" t="inlineStr">
        <is>
          <t>4월 19일</t>
        </is>
      </c>
      <c r="C342" s="107" t="inlineStr">
        <is>
          <t>다이소 뷰티 업계</t>
        </is>
      </c>
      <c r="D342" s="106" t="inlineStr">
        <is>
          <t>5.56%</t>
        </is>
      </c>
      <c r="E342" s="106" t="n">
        <v>1</v>
      </c>
      <c r="F342" s="109" t="inlineStr">
        <is>
          <t>Trend</t>
        </is>
      </c>
    </row>
    <row r="343" ht="15" customHeight="1" s="1">
      <c r="A343" s="106" t="inlineStr">
        <is>
          <t>기타</t>
        </is>
      </c>
      <c r="B343" s="106" t="inlineStr">
        <is>
          <t>4월 20일</t>
        </is>
      </c>
      <c r="C343" s="107" t="inlineStr">
        <is>
          <t>2025 의류 구매 채널 통계</t>
        </is>
      </c>
      <c r="D343" s="106" t="inlineStr">
        <is>
          <t>3.33%</t>
        </is>
      </c>
      <c r="E343" s="106" t="n">
        <v>1</v>
      </c>
      <c r="F343" s="109" t="inlineStr">
        <is>
          <t>Trend</t>
        </is>
      </c>
    </row>
    <row r="344" ht="15" customHeight="1" s="1">
      <c r="A344" s="106" t="inlineStr">
        <is>
          <t>기타</t>
        </is>
      </c>
      <c r="B344" s="106" t="inlineStr">
        <is>
          <t>4월 21일</t>
        </is>
      </c>
      <c r="C344" s="107" t="inlineStr">
        <is>
          <t>Lavidge &amp; Steiner 효과의 위계</t>
        </is>
      </c>
      <c r="D344" s="106" t="inlineStr">
        <is>
          <t>2.04%</t>
        </is>
      </c>
      <c r="E344" s="106" t="n">
        <v>1</v>
      </c>
      <c r="F344" s="115" t="inlineStr">
        <is>
          <t>Data</t>
        </is>
      </c>
    </row>
    <row r="345" ht="15" customHeight="1" s="1">
      <c r="A345" s="106" t="inlineStr">
        <is>
          <t>기타</t>
        </is>
      </c>
      <c r="B345" s="106" t="inlineStr">
        <is>
          <t>4월 15일</t>
        </is>
      </c>
      <c r="C345" s="107" t="inlineStr">
        <is>
          <t>다이소 뷰티 브랜드</t>
        </is>
      </c>
      <c r="D345" s="106" t="inlineStr">
        <is>
          <t>0.87%</t>
        </is>
      </c>
      <c r="E345" s="106" t="n">
        <v>1</v>
      </c>
      <c r="F345" s="109" t="inlineStr">
        <is>
          <t>Trend</t>
        </is>
      </c>
    </row>
    <row r="346" ht="15" customHeight="1" s="1">
      <c r="A346" s="106" t="inlineStr">
        <is>
          <t>기타</t>
        </is>
      </c>
      <c r="B346" s="106" t="inlineStr">
        <is>
          <t>4월 21일</t>
        </is>
      </c>
      <c r="C346" s="107" t="inlineStr">
        <is>
          <t>굿즈 소비 연령</t>
        </is>
      </c>
      <c r="D346" s="106" t="inlineStr">
        <is>
          <t>2.04%</t>
        </is>
      </c>
      <c r="E346" s="106" t="n">
        <v>1</v>
      </c>
      <c r="F346" s="109" t="inlineStr">
        <is>
          <t>Trend</t>
        </is>
      </c>
    </row>
    <row r="347" ht="15" customHeight="1" s="1">
      <c r="A347" s="106" t="inlineStr">
        <is>
          <t>기타</t>
        </is>
      </c>
      <c r="B347" s="106" t="inlineStr">
        <is>
          <t>4월 17일</t>
        </is>
      </c>
      <c r="C347" s="107" t="inlineStr">
        <is>
          <t>kb da 배너광고</t>
        </is>
      </c>
      <c r="D347" s="106" t="inlineStr">
        <is>
          <t>1.75%</t>
        </is>
      </c>
      <c r="E347" s="106" t="n">
        <v>1</v>
      </c>
      <c r="F347" s="108" t="inlineStr">
        <is>
          <t>About</t>
        </is>
      </c>
    </row>
    <row r="348" ht="15" customHeight="1" s="1">
      <c r="A348" s="106" t="inlineStr">
        <is>
          <t>기타</t>
        </is>
      </c>
      <c r="B348" s="106" t="inlineStr">
        <is>
          <t>4월 19일</t>
        </is>
      </c>
      <c r="C348" s="107" t="inlineStr">
        <is>
          <t>바이콧 2030 영향</t>
        </is>
      </c>
      <c r="D348" s="106" t="inlineStr">
        <is>
          <t>5.56%</t>
        </is>
      </c>
      <c r="E348" s="106" t="n">
        <v>1</v>
      </c>
      <c r="F348" s="109" t="inlineStr">
        <is>
          <t>Trend</t>
        </is>
      </c>
    </row>
    <row r="349" ht="15" customHeight="1" s="1">
      <c r="A349" s="106" t="inlineStr">
        <is>
          <t>기타</t>
        </is>
      </c>
      <c r="B349" s="106" t="inlineStr">
        <is>
          <t>4월 15일</t>
        </is>
      </c>
      <c r="C349" s="107" t="inlineStr">
        <is>
          <t>미디어월 매체 구매</t>
        </is>
      </c>
      <c r="D349" s="106" t="inlineStr">
        <is>
          <t>0.87%</t>
        </is>
      </c>
      <c r="E349" s="106" t="n">
        <v>1</v>
      </c>
      <c r="F349" s="108" t="inlineStr">
        <is>
          <t>About</t>
        </is>
      </c>
    </row>
    <row r="350" ht="15" customHeight="1" s="1">
      <c r="A350" s="106" t="inlineStr">
        <is>
          <t>기타</t>
        </is>
      </c>
      <c r="B350" s="106" t="inlineStr">
        <is>
          <t>4월 17일</t>
        </is>
      </c>
      <c r="C350" s="107" t="inlineStr">
        <is>
          <t>네이버나 구글 온라인광고에 도움을 줄 수 있는 AI</t>
        </is>
      </c>
      <c r="D350" s="106" t="inlineStr">
        <is>
          <t>1.75%</t>
        </is>
      </c>
      <c r="E350" s="106" t="n">
        <v>1</v>
      </c>
      <c r="F350" s="108" t="inlineStr">
        <is>
          <t>About</t>
        </is>
      </c>
    </row>
    <row r="351" ht="15" customHeight="1" s="1">
      <c r="A351" s="106" t="inlineStr">
        <is>
          <t>기타</t>
        </is>
      </c>
      <c r="B351" s="106" t="inlineStr">
        <is>
          <t>4월 18일</t>
        </is>
      </c>
      <c r="C351" s="107" t="inlineStr">
        <is>
          <t>하림odd 택배사</t>
        </is>
      </c>
      <c r="D351" s="106" t="inlineStr">
        <is>
          <t>11.11%</t>
        </is>
      </c>
      <c r="E351" s="106" t="n">
        <v>1</v>
      </c>
      <c r="F351" s="109" t="inlineStr">
        <is>
          <t>Trend</t>
        </is>
      </c>
    </row>
    <row r="352" ht="15" customHeight="1" s="1">
      <c r="A352" s="106" t="inlineStr">
        <is>
          <t>기타</t>
        </is>
      </c>
      <c r="B352" s="106" t="inlineStr">
        <is>
          <t>4월 15일</t>
        </is>
      </c>
      <c r="C352" s="107" t="inlineStr">
        <is>
          <t>아이돌 세계관</t>
        </is>
      </c>
      <c r="D352" s="106" t="inlineStr">
        <is>
          <t>0.87%</t>
        </is>
      </c>
      <c r="E352" s="106" t="n">
        <v>1</v>
      </c>
      <c r="F352" s="109" t="inlineStr">
        <is>
          <t>Trend</t>
        </is>
      </c>
    </row>
    <row r="353" ht="15" customHeight="1" s="1">
      <c r="A353" s="106" t="inlineStr">
        <is>
          <t>기타</t>
        </is>
      </c>
      <c r="B353" s="106" t="inlineStr">
        <is>
          <t>4월 17일</t>
        </is>
      </c>
      <c r="C353" s="107" t="inlineStr">
        <is>
          <t>세정티슈 니즈 물자국</t>
        </is>
      </c>
      <c r="D353" s="106" t="inlineStr">
        <is>
          <t>1.75%</t>
        </is>
      </c>
      <c r="E353" s="106" t="n">
        <v>1</v>
      </c>
      <c r="F353" s="108" t="inlineStr">
        <is>
          <t>About</t>
        </is>
      </c>
    </row>
    <row r="354" ht="15" customHeight="1" s="1">
      <c r="A354" s="106" t="inlineStr">
        <is>
          <t>기타</t>
        </is>
      </c>
      <c r="B354" s="106" t="inlineStr">
        <is>
          <t>4월 15일</t>
        </is>
      </c>
      <c r="C354" s="107" t="inlineStr">
        <is>
          <t>위버스 vod 썸네일</t>
        </is>
      </c>
      <c r="D354" s="106" t="inlineStr">
        <is>
          <t>0.87%</t>
        </is>
      </c>
      <c r="E354" s="106" t="n">
        <v>1</v>
      </c>
      <c r="F354" s="110" t="inlineStr">
        <is>
          <t>People</t>
        </is>
      </c>
    </row>
    <row r="355" ht="15" customHeight="1" s="1">
      <c r="A355" s="106" t="inlineStr">
        <is>
          <t>기타</t>
        </is>
      </c>
      <c r="B355" s="106" t="inlineStr">
        <is>
          <t>4월 16일</t>
        </is>
      </c>
      <c r="C355" s="107" t="inlineStr">
        <is>
          <t>생수시장</t>
        </is>
      </c>
      <c r="D355" s="106" t="inlineStr">
        <is>
          <t>2.27%</t>
        </is>
      </c>
      <c r="E355" s="106" t="n">
        <v>1</v>
      </c>
      <c r="F355" s="109" t="inlineStr">
        <is>
          <t>Trend</t>
        </is>
      </c>
    </row>
    <row r="356" ht="15" customHeight="1" s="1">
      <c r="A356" s="106" t="inlineStr">
        <is>
          <t>기타</t>
        </is>
      </c>
      <c r="B356" s="106" t="inlineStr">
        <is>
          <t>4월 17일</t>
        </is>
      </c>
      <c r="C356" s="107" t="inlineStr">
        <is>
          <t>ai 패션진단</t>
        </is>
      </c>
      <c r="D356" s="106" t="inlineStr">
        <is>
          <t>1.75%</t>
        </is>
      </c>
      <c r="E356" s="106" t="n">
        <v>1</v>
      </c>
      <c r="F356" s="109" t="inlineStr">
        <is>
          <t>Trend</t>
        </is>
      </c>
    </row>
    <row r="357" ht="15" customHeight="1" s="1">
      <c r="A357" s="106" t="inlineStr">
        <is>
          <t>기타</t>
        </is>
      </c>
      <c r="B357" s="106" t="inlineStr">
        <is>
          <t>4월 18일</t>
        </is>
      </c>
      <c r="C357" s="107" t="inlineStr">
        <is>
          <t>ai 기반 소비자 구매 여정 모델</t>
        </is>
      </c>
      <c r="D357" s="106" t="inlineStr">
        <is>
          <t>11.11%</t>
        </is>
      </c>
      <c r="E357" s="106" t="n">
        <v>1</v>
      </c>
      <c r="F357" s="111" t="inlineStr">
        <is>
          <t>Media</t>
        </is>
      </c>
    </row>
    <row r="358" ht="15" customHeight="1" s="1">
      <c r="A358" s="106" t="inlineStr">
        <is>
          <t>기타</t>
        </is>
      </c>
      <c r="B358" s="106" t="inlineStr">
        <is>
          <t>4월 20일</t>
        </is>
      </c>
      <c r="C358" s="107" t="inlineStr">
        <is>
          <t>이벤트 프로퍼티</t>
        </is>
      </c>
      <c r="D358" s="106" t="inlineStr">
        <is>
          <t>3.33%</t>
        </is>
      </c>
      <c r="E358" s="106" t="n">
        <v>1</v>
      </c>
      <c r="F358" s="115" t="inlineStr">
        <is>
          <t>Data</t>
        </is>
      </c>
    </row>
    <row r="359" ht="15" customHeight="1" s="1">
      <c r="A359" s="106" t="inlineStr">
        <is>
          <t>기타</t>
        </is>
      </c>
      <c r="B359" s="106" t="inlineStr">
        <is>
          <t>4월 16일</t>
        </is>
      </c>
      <c r="C359" s="107" t="inlineStr">
        <is>
          <t>카톡 업데이트 프로필 광고</t>
        </is>
      </c>
      <c r="D359" s="106" t="inlineStr">
        <is>
          <t>2.27%</t>
        </is>
      </c>
      <c r="E359" s="106" t="n">
        <v>1</v>
      </c>
      <c r="F359" s="111" t="inlineStr">
        <is>
          <t>Media</t>
        </is>
      </c>
    </row>
    <row r="360" ht="15" customHeight="1" s="1">
      <c r="A360" s="106" t="inlineStr">
        <is>
          <t>기타</t>
        </is>
      </c>
      <c r="B360" s="106" t="inlineStr">
        <is>
          <t>4월 18일</t>
        </is>
      </c>
      <c r="C360" s="107" t="inlineStr">
        <is>
          <t>가정용 ai 로봇</t>
        </is>
      </c>
      <c r="D360" s="106" t="inlineStr">
        <is>
          <t>11.11%</t>
        </is>
      </c>
      <c r="E360" s="106" t="n">
        <v>1</v>
      </c>
      <c r="F360" s="109" t="inlineStr">
        <is>
          <t>Trend</t>
        </is>
      </c>
    </row>
    <row r="361" ht="15" customHeight="1" s="1">
      <c r="A361" s="106" t="inlineStr">
        <is>
          <t>기타</t>
        </is>
      </c>
      <c r="B361" s="106" t="inlineStr">
        <is>
          <t>4월 20일</t>
        </is>
      </c>
      <c r="C361" s="107" t="inlineStr">
        <is>
          <t>중고나라 배너 가이드</t>
        </is>
      </c>
      <c r="D361" s="106" t="inlineStr">
        <is>
          <t>3.33%</t>
        </is>
      </c>
      <c r="E361" s="106" t="n">
        <v>1</v>
      </c>
      <c r="F361" s="108" t="inlineStr">
        <is>
          <t>About</t>
        </is>
      </c>
    </row>
    <row r="362" ht="15" customHeight="1" s="1">
      <c r="A362" s="106" t="inlineStr">
        <is>
          <t>기타</t>
        </is>
      </c>
      <c r="B362" s="106" t="inlineStr">
        <is>
          <t>4월 15일</t>
        </is>
      </c>
      <c r="C362" s="107" t="inlineStr">
        <is>
          <t>카톡 업데이트 프로필 누루면 광고가 나와요</t>
        </is>
      </c>
      <c r="D362" s="106" t="inlineStr">
        <is>
          <t>0.87%</t>
        </is>
      </c>
      <c r="E362" s="106" t="n">
        <v>1</v>
      </c>
      <c r="F362" s="111" t="inlineStr">
        <is>
          <t>Media</t>
        </is>
      </c>
    </row>
    <row r="363" ht="15" customHeight="1" s="1">
      <c r="A363" s="106" t="inlineStr">
        <is>
          <t>기타</t>
        </is>
      </c>
      <c r="B363" s="106" t="inlineStr">
        <is>
          <t>4월 16일</t>
        </is>
      </c>
      <c r="C363" s="107" t="inlineStr">
        <is>
          <t>리스닝마인드 2025 건강기능식품 시장 인텐트 데이터 리포트</t>
        </is>
      </c>
      <c r="D363" s="106" t="inlineStr">
        <is>
          <t>2.27%</t>
        </is>
      </c>
      <c r="E363" s="106" t="n">
        <v>1</v>
      </c>
      <c r="F363" s="115" t="inlineStr">
        <is>
          <t>Data</t>
        </is>
      </c>
    </row>
    <row r="364" ht="15" customHeight="1" s="1">
      <c r="A364" s="106" t="inlineStr">
        <is>
          <t>기타</t>
        </is>
      </c>
      <c r="B364" s="106" t="inlineStr">
        <is>
          <t>4월 15일</t>
        </is>
      </c>
      <c r="C364" s="107" t="inlineStr">
        <is>
          <t>카톡 업데이트 프로필 광고</t>
        </is>
      </c>
      <c r="D364" s="106" t="inlineStr">
        <is>
          <t>2.61%</t>
        </is>
      </c>
      <c r="E364" s="106" t="n">
        <v>3</v>
      </c>
      <c r="F364" s="111" t="inlineStr">
        <is>
          <t>Media</t>
        </is>
      </c>
    </row>
    <row r="365" ht="15" customHeight="1" s="1">
      <c r="A365" s="106" t="inlineStr">
        <is>
          <t>기타</t>
        </is>
      </c>
      <c r="B365" s="106" t="inlineStr">
        <is>
          <t>4월 16일</t>
        </is>
      </c>
      <c r="C365" s="107" t="inlineStr">
        <is>
          <t>삼신가전</t>
        </is>
      </c>
      <c r="D365" s="106" t="inlineStr">
        <is>
          <t>2.27%</t>
        </is>
      </c>
      <c r="E365" s="106" t="n">
        <v>1</v>
      </c>
      <c r="F365" s="109" t="inlineStr">
        <is>
          <t>Trend</t>
        </is>
      </c>
    </row>
    <row r="366" ht="15" customHeight="1" s="1">
      <c r="A366" s="106" t="inlineStr">
        <is>
          <t>기타</t>
        </is>
      </c>
      <c r="B366" s="106" t="inlineStr">
        <is>
          <t>4월 15일</t>
        </is>
      </c>
      <c r="C366" s="107" t="inlineStr">
        <is>
          <t>카톡 업데이트프로필 광고</t>
        </is>
      </c>
      <c r="D366" s="106" t="inlineStr">
        <is>
          <t>1.74%</t>
        </is>
      </c>
      <c r="E366" s="106" t="n">
        <v>2</v>
      </c>
      <c r="F366" s="111" t="inlineStr">
        <is>
          <t>Media</t>
        </is>
      </c>
    </row>
    <row r="367" ht="15" customHeight="1" s="1">
      <c r="A367" s="106" t="inlineStr">
        <is>
          <t>기타</t>
        </is>
      </c>
      <c r="B367" s="106" t="inlineStr">
        <is>
          <t>4월 16일</t>
        </is>
      </c>
      <c r="C367" s="107" t="inlineStr">
        <is>
          <t>전문가모드에서 카탈로그 광고는 어떻게 운영하나요?</t>
        </is>
      </c>
      <c r="D367" s="106" t="inlineStr">
        <is>
          <t>2.27%</t>
        </is>
      </c>
      <c r="E367" s="106" t="n">
        <v>1</v>
      </c>
      <c r="F367" s="111" t="inlineStr">
        <is>
          <t>Media</t>
        </is>
      </c>
    </row>
    <row r="368" ht="15" customHeight="1" s="1">
      <c r="A368" s="106" t="inlineStr">
        <is>
          <t>기타</t>
        </is>
      </c>
      <c r="B368" s="106" t="inlineStr">
        <is>
          <t>4월 20일</t>
        </is>
      </c>
      <c r="C368" s="107" t="inlineStr">
        <is>
          <t>모비엠</t>
        </is>
      </c>
      <c r="D368" s="106" t="inlineStr">
        <is>
          <t>3.33%</t>
        </is>
      </c>
      <c r="E368" s="106" t="n">
        <v>1</v>
      </c>
      <c r="F368" s="108" t="inlineStr">
        <is>
          <t>About</t>
        </is>
      </c>
    </row>
    <row r="369" ht="15" customHeight="1" s="1">
      <c r="A369" s="106" t="inlineStr">
        <is>
          <t>기타</t>
        </is>
      </c>
      <c r="B369" s="106" t="inlineStr">
        <is>
          <t>4월 20일</t>
        </is>
      </c>
      <c r="C369" s="107" t="inlineStr">
        <is>
          <t>스페셜 da 어포던스 영상</t>
        </is>
      </c>
      <c r="D369" s="106" t="inlineStr">
        <is>
          <t>3.33%</t>
        </is>
      </c>
      <c r="E369" s="106" t="n">
        <v>1</v>
      </c>
      <c r="F369" s="108" t="inlineStr">
        <is>
          <t>About</t>
        </is>
      </c>
    </row>
    <row r="370" ht="15" customHeight="1" s="1">
      <c r="A370" s="106" t="inlineStr">
        <is>
          <t>기타</t>
        </is>
      </c>
      <c r="B370" s="106" t="inlineStr">
        <is>
          <t>4월 20일</t>
        </is>
      </c>
      <c r="C370" s="107" t="inlineStr">
        <is>
          <t>오늘의 집 - 라이프스타일 슈퍼앱</t>
        </is>
      </c>
      <c r="D370" s="106" t="inlineStr">
        <is>
          <t>3.33%</t>
        </is>
      </c>
      <c r="E370" s="106" t="n">
        <v>1</v>
      </c>
      <c r="F370" s="111" t="inlineStr">
        <is>
          <t>Media</t>
        </is>
      </c>
    </row>
    <row r="371" ht="15" customHeight="1" s="1">
      <c r="A371" s="106" t="inlineStr">
        <is>
          <t>기타</t>
        </is>
      </c>
      <c r="B371" s="106" t="inlineStr">
        <is>
          <t>4월 15일</t>
        </is>
      </c>
      <c r="C371" s="107" t="inlineStr">
        <is>
          <t>스트림플레이션 뜻</t>
        </is>
      </c>
      <c r="D371" s="106" t="inlineStr">
        <is>
          <t>0.87%</t>
        </is>
      </c>
      <c r="E371" s="106" t="n">
        <v>1</v>
      </c>
      <c r="F371" s="109" t="inlineStr">
        <is>
          <t>Trend</t>
        </is>
      </c>
    </row>
    <row r="372" ht="15" customHeight="1" s="1">
      <c r="A372" s="106" t="inlineStr">
        <is>
          <t>기타</t>
        </is>
      </c>
      <c r="B372" s="106" t="inlineStr">
        <is>
          <t>4월 20일</t>
        </is>
      </c>
      <c r="C372" s="107" t="inlineStr">
        <is>
          <t>터치애드</t>
        </is>
      </c>
      <c r="D372" s="106" t="inlineStr">
        <is>
          <t>3.33%</t>
        </is>
      </c>
      <c r="E372" s="106" t="n">
        <v>1</v>
      </c>
      <c r="F372" s="108" t="inlineStr">
        <is>
          <t>About</t>
        </is>
      </c>
    </row>
    <row r="373" ht="15" customHeight="1" s="1">
      <c r="A373" s="106" t="inlineStr">
        <is>
          <t>기타</t>
        </is>
      </c>
      <c r="B373" s="106" t="inlineStr">
        <is>
          <t>4월 20일</t>
        </is>
      </c>
      <c r="C373" s="107" t="inlineStr">
        <is>
          <t>네이버 쇼핑 선물하기</t>
        </is>
      </c>
      <c r="D373" s="106" t="inlineStr">
        <is>
          <t>3.33%</t>
        </is>
      </c>
      <c r="E373" s="106" t="n">
        <v>1</v>
      </c>
      <c r="F373" s="111" t="inlineStr">
        <is>
          <t>Media</t>
        </is>
      </c>
    </row>
    <row r="374" ht="15" customHeight="1" s="1">
      <c r="A374" s="106" t="inlineStr">
        <is>
          <t>기타</t>
        </is>
      </c>
      <c r="B374" s="106" t="inlineStr">
        <is>
          <t>4월 15일</t>
        </is>
      </c>
      <c r="C374" s="107" t="inlineStr">
        <is>
          <t>2025년 나스미디어 화장품 트렌드 보고서 소비자는 SNS</t>
        </is>
      </c>
      <c r="D374" s="106" t="inlineStr">
        <is>
          <t>0.87%</t>
        </is>
      </c>
      <c r="E374" s="106" t="n">
        <v>1</v>
      </c>
      <c r="F374" s="111" t="inlineStr">
        <is>
          <t>Media</t>
        </is>
      </c>
    </row>
    <row r="375" ht="15" customHeight="1" s="1">
      <c r="A375" s="106" t="inlineStr">
        <is>
          <t>기타</t>
        </is>
      </c>
      <c r="B375" s="106" t="inlineStr">
        <is>
          <t>4월 15일</t>
        </is>
      </c>
      <c r="C375" s="107" t="inlineStr">
        <is>
          <t>sns비교</t>
        </is>
      </c>
      <c r="D375" s="106" t="inlineStr">
        <is>
          <t>0.87%</t>
        </is>
      </c>
      <c r="E375" s="106" t="n">
        <v>1</v>
      </c>
      <c r="F375" s="109" t="inlineStr">
        <is>
          <t>Trend</t>
        </is>
      </c>
    </row>
    <row r="376" ht="15" customHeight="1" s="1">
      <c r="A376" s="106" t="inlineStr">
        <is>
          <t>기타</t>
        </is>
      </c>
      <c r="B376" s="106" t="inlineStr">
        <is>
          <t>4월 20일</t>
        </is>
      </c>
      <c r="C376" s="107" t="inlineStr">
        <is>
          <t>설 명절 간편식 소비 증가</t>
        </is>
      </c>
      <c r="D376" s="106" t="inlineStr">
        <is>
          <t>3.33%</t>
        </is>
      </c>
      <c r="E376" s="106" t="n">
        <v>1</v>
      </c>
      <c r="F376" s="109" t="inlineStr">
        <is>
          <t>Trend</t>
        </is>
      </c>
    </row>
    <row r="377" ht="15" customHeight="1" s="1">
      <c r="A377" s="106" t="inlineStr">
        <is>
          <t>기타</t>
        </is>
      </c>
      <c r="B377" s="106" t="inlineStr">
        <is>
          <t>4월 22일</t>
        </is>
      </c>
      <c r="C377" s="107" t="inlineStr">
        <is>
          <t>매료 화장품</t>
        </is>
      </c>
      <c r="D377" s="106" t="inlineStr">
        <is>
          <t>3.70%</t>
        </is>
      </c>
      <c r="E377" s="106" t="n">
        <v>1</v>
      </c>
      <c r="F377" s="109" t="inlineStr">
        <is>
          <t>Trend</t>
        </is>
      </c>
    </row>
    <row r="378" ht="15" customHeight="1" s="1">
      <c r="A378" s="106" t="inlineStr">
        <is>
          <t>기타</t>
        </is>
      </c>
      <c r="B378" s="106" t="inlineStr">
        <is>
          <t>4월 25일</t>
        </is>
      </c>
      <c r="C378" s="107" t="inlineStr">
        <is>
          <t>nosp 치지직 lck</t>
        </is>
      </c>
      <c r="D378" s="106" t="inlineStr">
        <is>
          <t>10.00%</t>
        </is>
      </c>
      <c r="E378" s="106" t="n">
        <v>1</v>
      </c>
      <c r="F378" s="108" t="inlineStr">
        <is>
          <t>About</t>
        </is>
      </c>
    </row>
    <row r="379" ht="15" customHeight="1" s="1">
      <c r="A379" s="106" t="inlineStr">
        <is>
          <t>기타</t>
        </is>
      </c>
      <c r="B379" s="106" t="inlineStr">
        <is>
          <t>4월 27일</t>
        </is>
      </c>
      <c r="C379" s="107" t="inlineStr">
        <is>
          <t>2025 의류 업종 보고서 dmc</t>
        </is>
      </c>
      <c r="D379" s="106" t="inlineStr">
        <is>
          <t>1.72%</t>
        </is>
      </c>
      <c r="E379" s="106" t="n">
        <v>1</v>
      </c>
      <c r="F379" s="109" t="inlineStr">
        <is>
          <t>Trend</t>
        </is>
      </c>
    </row>
    <row r="380" ht="15" customHeight="1" s="1">
      <c r="A380" s="106" t="inlineStr">
        <is>
          <t>기타</t>
        </is>
      </c>
      <c r="B380" s="106" t="inlineStr">
        <is>
          <t>4월 22일</t>
        </is>
      </c>
      <c r="C380" s="107" t="inlineStr">
        <is>
          <t>삼신기 가전</t>
        </is>
      </c>
      <c r="D380" s="106" t="inlineStr">
        <is>
          <t>3.70%</t>
        </is>
      </c>
      <c r="E380" s="106" t="n">
        <v>1</v>
      </c>
      <c r="F380" s="109" t="inlineStr">
        <is>
          <t>Trend</t>
        </is>
      </c>
    </row>
    <row r="381" ht="15" customHeight="1" s="1">
      <c r="A381" s="106" t="inlineStr">
        <is>
          <t>기타</t>
        </is>
      </c>
      <c r="B381" s="106" t="inlineStr">
        <is>
          <t>4월 24일</t>
        </is>
      </c>
      <c r="C381" s="107" t="inlineStr">
        <is>
          <t>대학내일20대연구소, Z세대 소셜 미디어 이용 행태 조사 (2025)</t>
        </is>
      </c>
      <c r="D381" s="106" t="inlineStr">
        <is>
          <t>2.38%</t>
        </is>
      </c>
      <c r="E381" s="106" t="n">
        <v>1</v>
      </c>
      <c r="F381" s="111" t="inlineStr">
        <is>
          <t>Media</t>
        </is>
      </c>
    </row>
    <row r="382" ht="15" customHeight="1" s="1">
      <c r="A382" s="106" t="inlineStr">
        <is>
          <t>기타</t>
        </is>
      </c>
      <c r="B382" s="106" t="inlineStr">
        <is>
          <t>4월 25일</t>
        </is>
      </c>
      <c r="C382" s="107" t="inlineStr">
        <is>
          <t>디엠씨 건강관리</t>
        </is>
      </c>
      <c r="D382" s="106" t="inlineStr">
        <is>
          <t>10.00%</t>
        </is>
      </c>
      <c r="E382" s="106" t="n">
        <v>1</v>
      </c>
      <c r="F382" s="109" t="inlineStr">
        <is>
          <t>Trend</t>
        </is>
      </c>
    </row>
    <row r="383" ht="15" customHeight="1" s="1">
      <c r="A383" s="106" t="inlineStr">
        <is>
          <t>기타</t>
        </is>
      </c>
      <c r="B383" s="106" t="inlineStr">
        <is>
          <t>4월 26일</t>
        </is>
      </c>
      <c r="C383" s="107" t="inlineStr">
        <is>
          <t>온드 미디어 배경</t>
        </is>
      </c>
      <c r="D383" s="106" t="inlineStr">
        <is>
          <t>6.25%</t>
        </is>
      </c>
      <c r="E383" s="106" t="n">
        <v>1</v>
      </c>
      <c r="F383" s="111" t="inlineStr">
        <is>
          <t>Media</t>
        </is>
      </c>
    </row>
    <row r="384" ht="15" customHeight="1" s="1">
      <c r="A384" s="106" t="inlineStr">
        <is>
          <t>기타</t>
        </is>
      </c>
      <c r="B384" s="106" t="inlineStr">
        <is>
          <t>4월 22일</t>
        </is>
      </c>
      <c r="C384" s="107" t="inlineStr">
        <is>
          <t>세계 광고 기업 몰락 it 광고 성장중</t>
        </is>
      </c>
      <c r="D384" s="106" t="inlineStr">
        <is>
          <t>3.70%</t>
        </is>
      </c>
      <c r="E384" s="106" t="n">
        <v>1</v>
      </c>
      <c r="F384" s="109" t="inlineStr">
        <is>
          <t>Trend</t>
        </is>
      </c>
    </row>
    <row r="385" ht="15" customHeight="1" s="1">
      <c r="A385" s="106" t="inlineStr">
        <is>
          <t>기타</t>
        </is>
      </c>
      <c r="B385" s="106" t="inlineStr">
        <is>
          <t>4월 27일</t>
        </is>
      </c>
      <c r="C385" s="107" t="inlineStr">
        <is>
          <t>dooh 제안서</t>
        </is>
      </c>
      <c r="D385" s="106" t="inlineStr">
        <is>
          <t>1.72%</t>
        </is>
      </c>
      <c r="E385" s="106" t="n">
        <v>1</v>
      </c>
      <c r="F385" s="108" t="inlineStr">
        <is>
          <t>About</t>
        </is>
      </c>
    </row>
    <row r="386" ht="15" customHeight="1" s="1">
      <c r="A386" s="106" t="inlineStr">
        <is>
          <t>기타</t>
        </is>
      </c>
      <c r="B386" s="106" t="inlineStr">
        <is>
          <t>4월 27일</t>
        </is>
      </c>
      <c r="C386" s="107" t="inlineStr">
        <is>
          <t>네이버 스플래시 지도 광고</t>
        </is>
      </c>
      <c r="D386" s="106" t="inlineStr">
        <is>
          <t>1.72%</t>
        </is>
      </c>
      <c r="E386" s="106" t="n">
        <v>1</v>
      </c>
      <c r="F386" s="108" t="inlineStr">
        <is>
          <t>About</t>
        </is>
      </c>
    </row>
    <row r="387" ht="15" customHeight="1" s="1">
      <c r="A387" s="106" t="inlineStr">
        <is>
          <t>기타</t>
        </is>
      </c>
      <c r="B387" s="106" t="inlineStr">
        <is>
          <t>4월 28일</t>
        </is>
      </c>
      <c r="C387" s="107" t="inlineStr">
        <is>
          <t>하림장보기</t>
        </is>
      </c>
      <c r="D387" s="106" t="inlineStr">
        <is>
          <t>1.45%</t>
        </is>
      </c>
      <c r="E387" s="106" t="n">
        <v>1</v>
      </c>
      <c r="F387" s="109" t="inlineStr">
        <is>
          <t>Trend</t>
        </is>
      </c>
    </row>
    <row r="388" ht="15" customHeight="1" s="1">
      <c r="A388" s="106" t="inlineStr">
        <is>
          <t>기타</t>
        </is>
      </c>
      <c r="B388" s="106" t="inlineStr">
        <is>
          <t>4월 26일</t>
        </is>
      </c>
      <c r="C388" s="107" t="inlineStr">
        <is>
          <t>태풍상사 광고</t>
        </is>
      </c>
      <c r="D388" s="106" t="inlineStr">
        <is>
          <t>6.25%</t>
        </is>
      </c>
      <c r="E388" s="106" t="n">
        <v>1</v>
      </c>
      <c r="F388" s="109" t="inlineStr">
        <is>
          <t>Trend</t>
        </is>
      </c>
    </row>
    <row r="389" ht="15" customHeight="1" s="1">
      <c r="A389" s="106" t="inlineStr">
        <is>
          <t>기타</t>
        </is>
      </c>
      <c r="B389" s="106" t="inlineStr">
        <is>
          <t>4월 22일</t>
        </is>
      </c>
      <c r="C389" s="107" t="inlineStr">
        <is>
          <t>네이버 월드컵 방송 구좌</t>
        </is>
      </c>
      <c r="D389" s="106" t="inlineStr">
        <is>
          <t>7.41%</t>
        </is>
      </c>
      <c r="E389" s="106" t="n">
        <v>2</v>
      </c>
      <c r="F389" s="108" t="inlineStr">
        <is>
          <t>About</t>
        </is>
      </c>
    </row>
    <row r="390" ht="15" customHeight="1" s="1">
      <c r="A390" s="106" t="inlineStr">
        <is>
          <t>기타</t>
        </is>
      </c>
      <c r="B390" s="106" t="inlineStr">
        <is>
          <t>4월 27일</t>
        </is>
      </c>
      <c r="C390" s="107" t="inlineStr">
        <is>
          <t>미디어믹스</t>
        </is>
      </c>
      <c r="D390" s="106" t="inlineStr">
        <is>
          <t>1.72%</t>
        </is>
      </c>
      <c r="E390" s="106" t="n">
        <v>1</v>
      </c>
      <c r="F390" s="111" t="inlineStr">
        <is>
          <t>Media</t>
        </is>
      </c>
    </row>
    <row r="391" ht="15" customHeight="1" s="1">
      <c r="A391" s="106" t="inlineStr">
        <is>
          <t>기타</t>
        </is>
      </c>
      <c r="B391" s="106" t="inlineStr">
        <is>
          <t>4월 28일</t>
        </is>
      </c>
      <c r="C391" s="107" t="inlineStr">
        <is>
          <t>ip 챌린지</t>
        </is>
      </c>
      <c r="D391" s="106" t="inlineStr">
        <is>
          <t>1.45%</t>
        </is>
      </c>
      <c r="E391" s="106" t="n">
        <v>1</v>
      </c>
      <c r="F391" s="109" t="inlineStr">
        <is>
          <t>Trend</t>
        </is>
      </c>
    </row>
    <row r="392" ht="15" customHeight="1" s="1">
      <c r="A392" s="106" t="inlineStr">
        <is>
          <t>기타</t>
        </is>
      </c>
      <c r="B392" s="106" t="inlineStr">
        <is>
          <t>4월 26일</t>
        </is>
      </c>
      <c r="C392" s="107" t="inlineStr">
        <is>
          <t>효돌이 돌봄로봇</t>
        </is>
      </c>
      <c r="D392" s="106" t="inlineStr">
        <is>
          <t>6.25%</t>
        </is>
      </c>
      <c r="E392" s="106" t="n">
        <v>1</v>
      </c>
      <c r="F392" s="109" t="inlineStr">
        <is>
          <t>Trend</t>
        </is>
      </c>
    </row>
    <row r="393" ht="15" customHeight="1" s="1">
      <c r="A393" s="106" t="inlineStr">
        <is>
          <t>기타</t>
        </is>
      </c>
      <c r="B393" s="106" t="inlineStr">
        <is>
          <t>4월 27일</t>
        </is>
      </c>
      <c r="C393" s="107" t="inlineStr">
        <is>
          <t>열품타 mau</t>
        </is>
      </c>
      <c r="D393" s="106" t="inlineStr">
        <is>
          <t>1.72%</t>
        </is>
      </c>
      <c r="E393" s="106" t="n">
        <v>1</v>
      </c>
      <c r="F393" s="108" t="inlineStr">
        <is>
          <t>About</t>
        </is>
      </c>
    </row>
    <row r="394" ht="15" customHeight="1" s="1">
      <c r="A394" s="106" t="inlineStr">
        <is>
          <t>기타</t>
        </is>
      </c>
      <c r="B394" s="106" t="inlineStr">
        <is>
          <t>4월 28일</t>
        </is>
      </c>
      <c r="C394" s="107" t="inlineStr">
        <is>
          <t>가전 매장 구매 데이터</t>
        </is>
      </c>
      <c r="D394" s="106" t="inlineStr">
        <is>
          <t>1.45%</t>
        </is>
      </c>
      <c r="E394" s="106" t="n">
        <v>1</v>
      </c>
      <c r="F394" s="109" t="inlineStr">
        <is>
          <t>Trend</t>
        </is>
      </c>
    </row>
    <row r="395" ht="15" customHeight="1" s="1">
      <c r="A395" s="106" t="inlineStr">
        <is>
          <t>기타</t>
        </is>
      </c>
      <c r="B395" s="106" t="inlineStr">
        <is>
          <t>4월 22일</t>
        </is>
      </c>
      <c r="C395" s="107" t="inlineStr">
        <is>
          <t>압구정백야</t>
        </is>
      </c>
      <c r="D395" s="106" t="inlineStr">
        <is>
          <t>3.70%</t>
        </is>
      </c>
      <c r="E395" s="106" t="n">
        <v>1</v>
      </c>
      <c r="F395" s="109" t="inlineStr">
        <is>
          <t>Trend</t>
        </is>
      </c>
    </row>
    <row r="396" ht="15" customHeight="1" s="1">
      <c r="A396" s="106" t="inlineStr">
        <is>
          <t>기타</t>
        </is>
      </c>
      <c r="B396" s="106" t="inlineStr">
        <is>
          <t>4월 22일</t>
        </is>
      </c>
      <c r="C396" s="107" t="inlineStr">
        <is>
          <t>여기어때 mnet</t>
        </is>
      </c>
      <c r="D396" s="106" t="inlineStr">
        <is>
          <t>3.70%</t>
        </is>
      </c>
      <c r="E396" s="106" t="n">
        <v>1</v>
      </c>
      <c r="F396" s="109" t="inlineStr">
        <is>
          <t>Trend</t>
        </is>
      </c>
    </row>
    <row r="397" ht="15" customHeight="1" s="1">
      <c r="A397" s="106" t="inlineStr">
        <is>
          <t>기타</t>
        </is>
      </c>
      <c r="B397" s="106" t="inlineStr">
        <is>
          <t>4월 26일</t>
        </is>
      </c>
      <c r="C397" s="107" t="inlineStr">
        <is>
          <t>타겟 소비자들의 온라인몰 의류 구매 성향</t>
        </is>
      </c>
      <c r="D397" s="106" t="inlineStr">
        <is>
          <t>6.25%</t>
        </is>
      </c>
      <c r="E397" s="106" t="n">
        <v>1</v>
      </c>
      <c r="F397" s="109" t="inlineStr">
        <is>
          <t>Trend</t>
        </is>
      </c>
    </row>
    <row r="398" ht="15" customHeight="1" s="1">
      <c r="A398" s="106" t="inlineStr">
        <is>
          <t>기타</t>
        </is>
      </c>
      <c r="B398" s="106" t="inlineStr">
        <is>
          <t>4월 28일</t>
        </is>
      </c>
      <c r="C398" s="107" t="inlineStr">
        <is>
          <t>가전 다품목 구매 높음 데이터</t>
        </is>
      </c>
      <c r="D398" s="106" t="inlineStr">
        <is>
          <t>1.45%</t>
        </is>
      </c>
      <c r="E398" s="106" t="n">
        <v>1</v>
      </c>
      <c r="F398" s="109" t="inlineStr">
        <is>
          <t>Trend</t>
        </is>
      </c>
    </row>
    <row r="399" ht="15" customHeight="1" s="1">
      <c r="A399" s="106" t="inlineStr">
        <is>
          <t>기타</t>
        </is>
      </c>
      <c r="B399" s="106" t="inlineStr">
        <is>
          <t>4월 24일</t>
        </is>
      </c>
      <c r="C399" s="107" t="inlineStr">
        <is>
          <t>화장품 구매 경로</t>
        </is>
      </c>
      <c r="D399" s="106" t="inlineStr">
        <is>
          <t>2.38%</t>
        </is>
      </c>
      <c r="E399" s="106" t="n">
        <v>1</v>
      </c>
      <c r="F399" s="109" t="inlineStr">
        <is>
          <t>Trend</t>
        </is>
      </c>
    </row>
    <row r="400" ht="15" customHeight="1" s="1">
      <c r="A400" s="106" t="inlineStr">
        <is>
          <t>기타</t>
        </is>
      </c>
      <c r="B400" s="106" t="inlineStr">
        <is>
          <t>4월 27일</t>
        </is>
      </c>
      <c r="C400" s="107" t="inlineStr">
        <is>
          <t>디지털 플랫폼 온라인거래</t>
        </is>
      </c>
      <c r="D400" s="106" t="inlineStr">
        <is>
          <t>1.72%</t>
        </is>
      </c>
      <c r="E400" s="106" t="n">
        <v>1</v>
      </c>
      <c r="F400" s="109" t="inlineStr">
        <is>
          <t>Trend</t>
        </is>
      </c>
    </row>
    <row r="401" ht="15" customHeight="1" s="1">
      <c r="A401" s="106" t="inlineStr">
        <is>
          <t>기타</t>
        </is>
      </c>
      <c r="B401" s="106" t="inlineStr">
        <is>
          <t>4월 22일</t>
        </is>
      </c>
      <c r="C401" s="107" t="inlineStr">
        <is>
          <t>네이버 브랜드 스토어 광고</t>
        </is>
      </c>
      <c r="D401" s="106" t="inlineStr">
        <is>
          <t>3.70%</t>
        </is>
      </c>
      <c r="E401" s="106" t="n">
        <v>1</v>
      </c>
      <c r="F401" s="111" t="inlineStr">
        <is>
          <t>Media</t>
        </is>
      </c>
    </row>
    <row r="402" ht="15" customHeight="1" s="1">
      <c r="A402" s="106" t="inlineStr">
        <is>
          <t>기타</t>
        </is>
      </c>
      <c r="B402" s="106" t="inlineStr">
        <is>
          <t>4월 23일</t>
        </is>
      </c>
      <c r="C402" s="107" t="inlineStr">
        <is>
          <t>리테일미디어</t>
        </is>
      </c>
      <c r="D402" s="106" t="inlineStr">
        <is>
          <t>1.27%</t>
        </is>
      </c>
      <c r="E402" s="106" t="n">
        <v>1</v>
      </c>
      <c r="F402" s="108" t="inlineStr">
        <is>
          <t>About</t>
        </is>
      </c>
    </row>
    <row r="403" ht="15" customHeight="1" s="1">
      <c r="A403" s="106" t="inlineStr">
        <is>
          <t>기타</t>
        </is>
      </c>
      <c r="B403" s="106" t="inlineStr">
        <is>
          <t>4월 27일</t>
        </is>
      </c>
      <c r="C403" s="107" t="inlineStr">
        <is>
          <t>eldpaTl 미디어</t>
        </is>
      </c>
      <c r="D403" s="106" t="inlineStr">
        <is>
          <t>1.72%</t>
        </is>
      </c>
      <c r="E403" s="106" t="n">
        <v>1</v>
      </c>
      <c r="F403" s="108" t="inlineStr">
        <is>
          <t>About</t>
        </is>
      </c>
    </row>
    <row r="404" ht="15" customHeight="1" s="1">
      <c r="A404" s="106" t="inlineStr">
        <is>
          <t>기타</t>
        </is>
      </c>
      <c r="B404" s="106" t="inlineStr">
        <is>
          <t>4월 30일</t>
        </is>
      </c>
      <c r="C404" s="107" t="inlineStr">
        <is>
          <t>Admin night</t>
        </is>
      </c>
      <c r="D404" s="106" t="inlineStr">
        <is>
          <t>5.26%</t>
        </is>
      </c>
      <c r="E404" s="106" t="n">
        <v>1</v>
      </c>
      <c r="F404" s="109" t="inlineStr">
        <is>
          <t>Trend</t>
        </is>
      </c>
    </row>
    <row r="405" ht="15" customHeight="1" s="1">
      <c r="A405" s="106" t="inlineStr">
        <is>
          <t>기타</t>
        </is>
      </c>
      <c r="B405" s="106" t="inlineStr">
        <is>
          <t>4월 30일</t>
        </is>
      </c>
      <c r="C405" s="107" t="inlineStr">
        <is>
          <t>국내의류 중저가 명품브랜드</t>
        </is>
      </c>
      <c r="D405" s="106" t="inlineStr">
        <is>
          <t>5.26%</t>
        </is>
      </c>
      <c r="E405" s="106" t="n">
        <v>1</v>
      </c>
      <c r="F405" s="109" t="inlineStr">
        <is>
          <t>Trend</t>
        </is>
      </c>
    </row>
    <row r="406" ht="15" customHeight="1" s="1">
      <c r="A406" s="106" t="inlineStr">
        <is>
          <t>기타</t>
        </is>
      </c>
      <c r="B406" s="106" t="inlineStr">
        <is>
          <t>4월 29일</t>
        </is>
      </c>
      <c r="C406" s="107" t="inlineStr">
        <is>
          <t>온드</t>
        </is>
      </c>
      <c r="D406" s="106" t="inlineStr">
        <is>
          <t>2.63%</t>
        </is>
      </c>
      <c r="E406" s="106" t="n">
        <v>1</v>
      </c>
      <c r="F406" s="110" t="inlineStr">
        <is>
          <t>People</t>
        </is>
      </c>
    </row>
    <row r="407" ht="15" customHeight="1" s="1">
      <c r="A407" s="106" t="inlineStr">
        <is>
          <t>기타</t>
        </is>
      </c>
      <c r="B407" s="106" t="inlineStr">
        <is>
          <t>4월 30일</t>
        </is>
      </c>
      <c r="C407" s="107" t="inlineStr">
        <is>
          <t>트래블웰렛 광고 단가</t>
        </is>
      </c>
      <c r="D407" s="106" t="inlineStr">
        <is>
          <t>5.26%</t>
        </is>
      </c>
      <c r="E407" s="106" t="n">
        <v>1</v>
      </c>
      <c r="F407" s="108" t="inlineStr">
        <is>
          <t>About</t>
        </is>
      </c>
    </row>
    <row r="408" ht="15" customHeight="1" s="1">
      <c r="A408" s="106" t="inlineStr">
        <is>
          <t>기타</t>
        </is>
      </c>
      <c r="B408" s="106" t="inlineStr">
        <is>
          <t>4월 29일</t>
        </is>
      </c>
      <c r="C408" s="107" t="inlineStr">
        <is>
          <t>네이버 선물 지면</t>
        </is>
      </c>
      <c r="D408" s="106" t="inlineStr">
        <is>
          <t>2.63%</t>
        </is>
      </c>
      <c r="E408" s="106" t="n">
        <v>1</v>
      </c>
      <c r="F408" s="111" t="inlineStr">
        <is>
          <t>Media</t>
        </is>
      </c>
    </row>
    <row r="409" ht="15" customHeight="1" s="1">
      <c r="A409" s="106" t="inlineStr">
        <is>
          <t>기타</t>
        </is>
      </c>
      <c r="B409" s="106" t="inlineStr">
        <is>
          <t>4월 29일</t>
        </is>
      </c>
      <c r="C409" s="107" t="inlineStr">
        <is>
          <t>엠넷플러스 mau</t>
        </is>
      </c>
      <c r="D409" s="106" t="inlineStr">
        <is>
          <t>2.63%</t>
        </is>
      </c>
      <c r="E409" s="106" t="n">
        <v>1</v>
      </c>
      <c r="F409" s="111" t="inlineStr">
        <is>
          <t>Media</t>
        </is>
      </c>
    </row>
  </sheetData>
  <autoFilter ref="A1:F409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2026-06-04T06:12:41Z</dcterms:created>
  <dcterms:modified xmlns:dcterms="http://purl.org/dc/terms/" xmlns:xsi="http://www.w3.org/2001/XMLSchema-instance" xsi:type="dcterms:W3CDTF">2026-08-05T02:50:35Z</dcterms:modified>
  <cp:lastModifiedBy>LG</cp:lastModifiedBy>
  <cp:revision>0</cp:revision>
</cp:coreProperties>
</file>