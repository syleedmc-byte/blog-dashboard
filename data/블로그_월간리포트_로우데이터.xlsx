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G\Desktop\클로드\"/>
    </mc:Choice>
  </mc:AlternateContent>
  <bookViews>
    <workbookView xWindow="0" yWindow="0" windowWidth="16380" windowHeight="8196" tabRatio="644" firstSheet="4" activeTab="4"/>
  </bookViews>
  <sheets>
    <sheet name="블로그 데이터(10월)" sheetId="1" r:id="rId1"/>
    <sheet name="키워드 분석(10월)" sheetId="2" r:id="rId2"/>
    <sheet name="카테고리 분류(10월)" sheetId="3" r:id="rId3"/>
    <sheet name="블로그 데이터(9월)" sheetId="4" r:id="rId4"/>
    <sheet name="키워드 분석(9월)" sheetId="5" r:id="rId5"/>
    <sheet name="카테고리 분류(9월)" sheetId="6" r:id="rId6"/>
    <sheet name="블로그 데이터(8월)" sheetId="7" r:id="rId7"/>
    <sheet name="키워드 분석(8월)" sheetId="8" r:id="rId8"/>
    <sheet name="카테고리 분류(8월)" sheetId="9" r:id="rId9"/>
    <sheet name="블로그 데이터(7월)" sheetId="10" r:id="rId10"/>
    <sheet name="키워드 분석(7월)" sheetId="11" r:id="rId11"/>
    <sheet name="카테고리 분류(7월)" sheetId="12" r:id="rId12"/>
    <sheet name="블로그 데이터(6월)" sheetId="13" r:id="rId13"/>
    <sheet name="키워드 분석(6월)" sheetId="14" r:id="rId14"/>
    <sheet name="카테고리 분류(6월)" sheetId="15" r:id="rId15"/>
    <sheet name="블로그 데이터(5월)" sheetId="16" r:id="rId16"/>
    <sheet name="키워드 분석5월)" sheetId="17" r:id="rId17"/>
    <sheet name="카테고리 분류(5월)" sheetId="18" r:id="rId18"/>
    <sheet name="블로그 데이터(4월)" sheetId="19" r:id="rId19"/>
    <sheet name="키워드 분석(4월)" sheetId="20" r:id="rId20"/>
    <sheet name="카테고리 분류(4월)" sheetId="21" r:id="rId21"/>
  </sheets>
  <definedNames>
    <definedName name="_xlnm._FilterDatabase" localSheetId="2" hidden="1">'카테고리 분류(10월)'!$A$1:$F$1</definedName>
    <definedName name="_xlnm._FilterDatabase" localSheetId="20" hidden="1">'카테고리 분류(4월)'!$A$1:$F$409</definedName>
    <definedName name="_xlnm._FilterDatabase" localSheetId="17" hidden="1">'카테고리 분류(5월)'!$A$1:$F$268</definedName>
    <definedName name="_xlnm._FilterDatabase" localSheetId="14" hidden="1">'카테고리 분류(6월)'!$A$1:$F$1</definedName>
    <definedName name="_xlnm._FilterDatabase" localSheetId="11" hidden="1">'카테고리 분류(7월)'!$A$1:$F$1</definedName>
    <definedName name="_xlnm._FilterDatabase" localSheetId="8" hidden="1">'카테고리 분류(8월)'!$A$1:$F$1</definedName>
    <definedName name="_xlnm._FilterDatabase" localSheetId="5" hidden="1">'카테고리 분류(9월)'!$A$1:$F$1</definedName>
  </definedNames>
  <calcPr calcId="162913"/>
</workbook>
</file>

<file path=xl/calcChain.xml><?xml version="1.0" encoding="utf-8"?>
<calcChain xmlns="http://schemas.openxmlformats.org/spreadsheetml/2006/main">
  <c r="G95" i="19" l="1"/>
  <c r="D95" i="19"/>
  <c r="A95" i="19"/>
  <c r="S74" i="19"/>
  <c r="P74" i="19"/>
  <c r="M74" i="19"/>
  <c r="J74" i="19"/>
  <c r="G74" i="19"/>
  <c r="D74" i="19"/>
  <c r="A74" i="19"/>
  <c r="S26" i="19"/>
  <c r="P26" i="19"/>
  <c r="M26" i="19"/>
  <c r="J26" i="19"/>
  <c r="G26" i="19"/>
  <c r="D26" i="19"/>
  <c r="A26" i="19"/>
  <c r="S3" i="19"/>
  <c r="P3" i="19"/>
  <c r="M3" i="19"/>
  <c r="J3" i="19"/>
  <c r="G3" i="19"/>
  <c r="D3" i="19"/>
  <c r="A3" i="19"/>
  <c r="G89" i="16"/>
  <c r="D89" i="16"/>
  <c r="A89" i="16"/>
  <c r="S68" i="16"/>
  <c r="P68" i="16"/>
  <c r="M68" i="16"/>
  <c r="J68" i="16"/>
  <c r="G68" i="16"/>
  <c r="D68" i="16"/>
  <c r="A68" i="16"/>
  <c r="S47" i="16"/>
  <c r="P47" i="16"/>
  <c r="M47" i="16"/>
  <c r="J47" i="16"/>
  <c r="G47" i="16"/>
  <c r="D47" i="16"/>
  <c r="A47" i="16"/>
  <c r="S22" i="16"/>
  <c r="P22" i="16"/>
  <c r="M22" i="16"/>
  <c r="J22" i="16"/>
  <c r="G22" i="16"/>
  <c r="D22" i="16"/>
  <c r="A22" i="16"/>
  <c r="S3" i="16"/>
  <c r="P3" i="16"/>
  <c r="M3" i="16"/>
  <c r="J3" i="16"/>
  <c r="G3" i="16"/>
  <c r="D3" i="16"/>
  <c r="A3" i="16"/>
  <c r="G88" i="13"/>
  <c r="D88" i="13"/>
  <c r="A88" i="13"/>
  <c r="S66" i="13"/>
  <c r="P66" i="13"/>
  <c r="M66" i="13"/>
  <c r="J66" i="13"/>
  <c r="G66" i="13"/>
  <c r="D66" i="13"/>
  <c r="A66" i="13"/>
  <c r="S45" i="13"/>
  <c r="P45" i="13"/>
  <c r="M45" i="13"/>
  <c r="J45" i="13"/>
  <c r="G45" i="13"/>
  <c r="D45" i="13"/>
  <c r="A45" i="13"/>
  <c r="S24" i="13"/>
  <c r="P24" i="13"/>
  <c r="M24" i="13"/>
  <c r="J24" i="13"/>
  <c r="G24" i="13"/>
  <c r="D24" i="13"/>
  <c r="A24" i="13"/>
  <c r="S3" i="13"/>
  <c r="P3" i="13"/>
  <c r="M3" i="13"/>
  <c r="J3" i="13"/>
  <c r="G3" i="13"/>
  <c r="D3" i="13"/>
  <c r="A3" i="13"/>
  <c r="H95" i="10"/>
  <c r="E95" i="10"/>
  <c r="B95" i="10"/>
  <c r="T73" i="10"/>
  <c r="Q73" i="10"/>
  <c r="N73" i="10"/>
  <c r="K73" i="10"/>
  <c r="H73" i="10"/>
  <c r="E73" i="10"/>
  <c r="B73" i="10"/>
  <c r="T47" i="10"/>
  <c r="Q47" i="10"/>
  <c r="N47" i="10"/>
  <c r="K47" i="10"/>
  <c r="H47" i="10"/>
  <c r="E47" i="10"/>
  <c r="B47" i="10"/>
  <c r="T24" i="10"/>
  <c r="Q24" i="10"/>
  <c r="N24" i="10"/>
  <c r="K24" i="10"/>
  <c r="H24" i="10"/>
  <c r="E24" i="10"/>
  <c r="B24" i="10"/>
  <c r="T3" i="10"/>
  <c r="Q3" i="10"/>
  <c r="N3" i="10"/>
  <c r="K3" i="10"/>
  <c r="H3" i="10"/>
  <c r="E3" i="10"/>
  <c r="B3" i="10"/>
  <c r="H96" i="7"/>
  <c r="E96" i="7"/>
  <c r="B96" i="7"/>
  <c r="T74" i="7"/>
  <c r="Q74" i="7"/>
  <c r="N74" i="7"/>
  <c r="K74" i="7"/>
  <c r="H74" i="7"/>
  <c r="E74" i="7"/>
  <c r="B74" i="7"/>
  <c r="T48" i="7"/>
  <c r="Q48" i="7"/>
  <c r="N48" i="7"/>
  <c r="K48" i="7"/>
  <c r="H48" i="7"/>
  <c r="E48" i="7"/>
  <c r="B48" i="7"/>
  <c r="T24" i="7"/>
  <c r="Q24" i="7"/>
  <c r="N24" i="7"/>
  <c r="K24" i="7"/>
  <c r="H24" i="7"/>
  <c r="E24" i="7"/>
  <c r="B24" i="7"/>
  <c r="T3" i="7"/>
  <c r="Q3" i="7"/>
  <c r="N3" i="7"/>
  <c r="K3" i="7"/>
  <c r="H3" i="7"/>
  <c r="E3" i="7"/>
  <c r="B3" i="7"/>
  <c r="H95" i="4"/>
  <c r="E95" i="4"/>
  <c r="B95" i="4"/>
  <c r="T73" i="4"/>
  <c r="Q73" i="4"/>
  <c r="N73" i="4"/>
  <c r="K73" i="4"/>
  <c r="H73" i="4"/>
  <c r="E73" i="4"/>
  <c r="B73" i="4"/>
  <c r="T47" i="4"/>
  <c r="Q47" i="4"/>
  <c r="N47" i="4"/>
  <c r="K47" i="4"/>
  <c r="H47" i="4"/>
  <c r="E47" i="4"/>
  <c r="B47" i="4"/>
  <c r="T24" i="4"/>
  <c r="Q24" i="4"/>
  <c r="N24" i="4"/>
  <c r="K24" i="4"/>
  <c r="H24" i="4"/>
  <c r="E24" i="4"/>
  <c r="B24" i="4"/>
  <c r="T3" i="4"/>
  <c r="Q3" i="4"/>
  <c r="N3" i="4"/>
  <c r="K3" i="4"/>
  <c r="H3" i="4"/>
  <c r="E3" i="4"/>
  <c r="B3" i="4"/>
  <c r="H95" i="1"/>
  <c r="E95" i="1"/>
  <c r="B95" i="1"/>
  <c r="T73" i="1"/>
  <c r="Q73" i="1"/>
  <c r="N73" i="1"/>
  <c r="K73" i="1"/>
  <c r="H73" i="1"/>
  <c r="E73" i="1"/>
  <c r="B73" i="1"/>
  <c r="T47" i="1"/>
  <c r="Q47" i="1"/>
  <c r="N47" i="1"/>
  <c r="K47" i="1"/>
  <c r="H47" i="1"/>
  <c r="E47" i="1"/>
  <c r="B47" i="1"/>
  <c r="T24" i="1"/>
  <c r="Q24" i="1"/>
  <c r="N24" i="1"/>
  <c r="K24" i="1"/>
  <c r="H24" i="1"/>
  <c r="E24" i="1"/>
  <c r="B24" i="1"/>
  <c r="T3" i="1"/>
  <c r="Q3" i="1"/>
  <c r="N3" i="1"/>
  <c r="K3" i="1"/>
  <c r="H3" i="1"/>
  <c r="E3" i="1"/>
  <c r="B3" i="1"/>
</calcChain>
</file>

<file path=xl/sharedStrings.xml><?xml version="1.0" encoding="utf-8"?>
<sst xmlns="http://schemas.openxmlformats.org/spreadsheetml/2006/main" count="14195" uniqueCount="1614">
  <si>
    <t>월 설정</t>
  </si>
  <si>
    <t>← B1 셀에서 월을 선택하면 날짜가 자동으로 바뀝니다</t>
  </si>
  <si>
    <t>키워드</t>
  </si>
  <si>
    <t>비중</t>
  </si>
  <si>
    <t>섹션</t>
  </si>
  <si>
    <t>7월 데이터</t>
  </si>
  <si>
    <t>월간 방문 분석</t>
  </si>
  <si>
    <t>유입분석</t>
  </si>
  <si>
    <t>인기게시물 Top 10</t>
  </si>
  <si>
    <t>조회수</t>
  </si>
  <si>
    <t>순방문자수</t>
  </si>
  <si>
    <t>방문횟수</t>
  </si>
  <si>
    <t>재방문율</t>
  </si>
  <si>
    <t>평균사용시간</t>
  </si>
  <si>
    <t>월간조회수 추이</t>
  </si>
  <si>
    <t>기기별 분포</t>
  </si>
  <si>
    <t>모바일</t>
  </si>
  <si>
    <t>PC</t>
  </si>
  <si>
    <t>AI 브리핑 인용수</t>
  </si>
  <si>
    <t>9월</t>
  </si>
  <si>
    <t>유입 검색어</t>
  </si>
  <si>
    <t>합계</t>
  </si>
  <si>
    <t>카테고리</t>
  </si>
  <si>
    <t>날짜</t>
  </si>
  <si>
    <t>비중(%)</t>
  </si>
  <si>
    <t>환산 횟수</t>
  </si>
  <si>
    <t>eldpaTlaleldj</t>
  </si>
  <si>
    <t>People</t>
  </si>
  <si>
    <t>랜덤비빔밥 재료</t>
  </si>
  <si>
    <t>나이트 런링이 좋은 이유로 매거진이 설명한 것은?</t>
  </si>
  <si>
    <t>디엠씨미디어</t>
  </si>
  <si>
    <t>디엠씨는몇호선</t>
  </si>
  <si>
    <t>라로슈포제 국적</t>
  </si>
  <si>
    <t>Trend</t>
  </si>
  <si>
    <t>google 태그 설치</t>
  </si>
  <si>
    <t>Data</t>
  </si>
  <si>
    <t>jy.dmc 회사</t>
  </si>
  <si>
    <t>About</t>
  </si>
  <si>
    <t>네이버 지도 스플래시 일반형</t>
  </si>
  <si>
    <t>랜덤 비빔밥 재료</t>
  </si>
  <si>
    <t>삼성 스마트글래스</t>
  </si>
  <si>
    <t>타불라 광고</t>
  </si>
  <si>
    <t>Media</t>
  </si>
  <si>
    <t>디엠씨미디어 이준희</t>
  </si>
  <si>
    <t>외국계 디엠씨 회사</t>
  </si>
  <si>
    <t>챌린저스 고객센터 전화번호</t>
  </si>
  <si>
    <t>가전제품 삼신기</t>
  </si>
  <si>
    <t>매불쇼 광고 상품 구매 방법</t>
  </si>
  <si>
    <t>디엠씨미디어 블로그</t>
  </si>
  <si>
    <t>에이치엠미디어</t>
  </si>
  <si>
    <t>오늘의집 유저들의 스타일링샷</t>
  </si>
  <si>
    <t>랜덤비빔밥 상추</t>
  </si>
  <si>
    <t>더블크라운 동영상 확장</t>
  </si>
  <si>
    <t>온드데이터</t>
  </si>
  <si>
    <t>디엠씨미디어 연봉</t>
  </si>
  <si>
    <t>카카오모먼트 아이콘</t>
  </si>
  <si>
    <t>랜덤비빔밥 소고기</t>
  </si>
  <si>
    <t>카카오T 스플래시 모션형</t>
  </si>
  <si>
    <t>여성의류 중저가 브랜드</t>
  </si>
  <si>
    <t>크리테오 OpenAI</t>
  </si>
  <si>
    <t>메타글래스2026</t>
  </si>
  <si>
    <t>타불라 네이티브 소재</t>
  </si>
  <si>
    <t>크리테오</t>
  </si>
  <si>
    <t>크리테오 gpt 광고</t>
  </si>
  <si>
    <t>헬만스 마요네즈</t>
  </si>
  <si>
    <t>랜덤비빔밥 양푼</t>
  </si>
  <si>
    <t>닥터나우 마음자로</t>
  </si>
  <si>
    <t>렙사</t>
  </si>
  <si>
    <t>마케터 AI 활용법 오가닉 트래픽</t>
  </si>
  <si>
    <t>타뷸라 광고</t>
  </si>
  <si>
    <t>Tubble True Bubble</t>
  </si>
  <si>
    <t>디엠씨미디어 면접</t>
  </si>
  <si>
    <t>Tubble True Bubble가격</t>
  </si>
  <si>
    <t>디타겟팅 뜻</t>
  </si>
  <si>
    <t>삼신가전</t>
  </si>
  <si>
    <t>dmcmedia</t>
  </si>
  <si>
    <t>chatgpt 광고 쇼핑</t>
  </si>
  <si>
    <t>디즈니 하인즈</t>
  </si>
  <si>
    <t>메타 ai 글라스 오라</t>
  </si>
  <si>
    <t>랜덤비빔밥</t>
  </si>
  <si>
    <t>국내 비수기 침체 통계자료</t>
  </si>
  <si>
    <t>노션 왕과사는남자</t>
  </si>
  <si>
    <t>엠넷플러스 타깃</t>
  </si>
  <si>
    <t>타불라</t>
  </si>
  <si>
    <t>사내 경진대회 아이디어</t>
  </si>
  <si>
    <t>다운스트림 세일즈</t>
  </si>
  <si>
    <t>샤오미 ai 스마트 글래스</t>
  </si>
  <si>
    <t>카카오톡 선물하기 편집 작성</t>
  </si>
  <si>
    <t>사내 데이터 발굴 경진대회</t>
  </si>
  <si>
    <t>창립 몇주년 현수막</t>
  </si>
  <si>
    <t>엠넷플러스 마케팅</t>
  </si>
  <si>
    <t>요노(YONO): 'You Only Need One'의 약자로, 꼭 필요한 단 하나에 집중하는 소비 성향을 뜻합니다.</t>
  </si>
  <si>
    <t>타블라광고</t>
  </si>
  <si>
    <t>터블 세제 백화점</t>
  </si>
  <si>
    <t>메타디스플레이 국내 출시일</t>
  </si>
  <si>
    <t>카카오 숏폼 광고</t>
  </si>
  <si>
    <t>토스 프리미엄보드</t>
  </si>
  <si>
    <t>AI를 통한 소비자 구매 여정 변화</t>
  </si>
  <si>
    <t>리테일 미디어 뜻</t>
  </si>
  <si>
    <t>AI 경진대회 사내 공모</t>
  </si>
  <si>
    <t>네이버 브랜드스토어 퍼포먼스 광고</t>
  </si>
  <si>
    <t>zmflxpdh</t>
  </si>
  <si>
    <t>랜덤비빔밥 참치</t>
  </si>
  <si>
    <t>닥터마우 마음자로</t>
  </si>
  <si>
    <t>크리테오 쳇gpt 광고</t>
  </si>
  <si>
    <t>타불라코리아</t>
  </si>
  <si>
    <t>삼성스마트글래스 메타</t>
  </si>
  <si>
    <t>DMC미디어 퍼포먼스</t>
  </si>
  <si>
    <t>가야미디어 대리</t>
  </si>
  <si>
    <t>트라이앵글 아이돌</t>
  </si>
  <si>
    <t>삼성 메타글라스</t>
  </si>
  <si>
    <t>핀터레스트 프리미어 스포트라이트</t>
  </si>
  <si>
    <t>랜덤비빔밥 그릇</t>
  </si>
  <si>
    <t>터블 파워클린 욕실</t>
  </si>
  <si>
    <t>가야미디어 사원</t>
  </si>
  <si>
    <t>중저가브랜드의류</t>
  </si>
  <si>
    <t>네이티브 광고 플랫폼 타불라</t>
  </si>
  <si>
    <t>2025년 소비 트렌드</t>
  </si>
  <si>
    <t>AI를 활용한 마케팅 콘텐츠 제작 증가</t>
  </si>
  <si>
    <t>메타 ai 디스플레이 글래스</t>
  </si>
  <si>
    <t>화장품소비자 트렌드 프리미엄</t>
  </si>
  <si>
    <t>11번가 리테일 미디어</t>
  </si>
  <si>
    <t>디지털디바이스</t>
  </si>
  <si>
    <t>레이밴 메타 옵틱스</t>
  </si>
  <si>
    <t>미각보이즈 청룡</t>
  </si>
  <si>
    <t>틱톡 크리에이티브 스튜디오</t>
  </si>
  <si>
    <t>위챗 앱푸쉬</t>
  </si>
  <si>
    <t>샤요미 글라스 도수추가</t>
  </si>
  <si>
    <t>토스애즈</t>
  </si>
  <si>
    <t>랜덤비빔밥 마요네즈</t>
  </si>
  <si>
    <t>왕과 사는 남자 노션</t>
  </si>
  <si>
    <t>카카오톡채널 친구아닌 사람들에게 채널초대메시지 보내기</t>
  </si>
  <si>
    <t>크레테오 gpt</t>
  </si>
  <si>
    <t>토스 애즈</t>
  </si>
  <si>
    <t>토스애즈 광고</t>
  </si>
  <si>
    <t>ai글래스 시험</t>
  </si>
  <si>
    <t>이인성 박사</t>
  </si>
  <si>
    <t>타블라 광고</t>
  </si>
  <si>
    <t>라로슈포제 선플루이드 논코매도제닉</t>
  </si>
  <si>
    <t>카카오채널 문의종류</t>
  </si>
  <si>
    <t>타뷸라</t>
  </si>
  <si>
    <t>랜덤 비빔밥</t>
  </si>
  <si>
    <t>회사 직책자 근속축하</t>
  </si>
  <si>
    <t>당근 빌더데이</t>
  </si>
  <si>
    <t>크리테오 광고</t>
  </si>
  <si>
    <t>웬디스 웬즈데이</t>
  </si>
  <si>
    <t>넷플릭스 광고대행사</t>
  </si>
  <si>
    <t>마음자로</t>
  </si>
  <si>
    <t>오가닉 조회수 공개조회수</t>
  </si>
  <si>
    <t>dmc미디어조직도</t>
  </si>
  <si>
    <t>미각보이즈</t>
  </si>
  <si>
    <t>왕사남 촬영실록</t>
  </si>
  <si>
    <t>카카오 모빌리티 광고 가이드</t>
  </si>
  <si>
    <t>온드미디어 ai시대</t>
  </si>
  <si>
    <t>디엠씨미디어근무하기 어때요</t>
  </si>
  <si>
    <t>쇼박스 촬영실록</t>
  </si>
  <si>
    <t>카카오 채널 메시지 전용소식</t>
  </si>
  <si>
    <t>엠플리튜드</t>
  </si>
  <si>
    <t>카톡 플친 메시지 제목 내용</t>
  </si>
  <si>
    <t>메타 VR 글래스</t>
  </si>
  <si>
    <t>메타 ai 글라스 정식</t>
  </si>
  <si>
    <t>쇼박스노션</t>
  </si>
  <si>
    <t>파니니 스포츠 마케팅</t>
  </si>
  <si>
    <t>하인즈 마요네즈 병</t>
  </si>
  <si>
    <t>AI 글래스 메타 판매량</t>
  </si>
  <si>
    <t>안드로이드 메타 ai 글라스</t>
  </si>
  <si>
    <t>에스파 핀터레스트 계정</t>
  </si>
  <si>
    <t>소고기애호박볶음 랜덤비빔밥</t>
  </si>
  <si>
    <t>크리테오 GPT</t>
  </si>
  <si>
    <t>dmc 미디어</t>
  </si>
  <si>
    <t>미디어렙</t>
  </si>
  <si>
    <t>하인즈 브랜드</t>
  </si>
  <si>
    <t>유튜브 숏폼 상품 광고 사례</t>
  </si>
  <si>
    <t>임직원 럭키드로우 상품</t>
  </si>
  <si>
    <t>토스애즈 광고소개</t>
  </si>
  <si>
    <t>vt코스메틱 500</t>
  </si>
  <si>
    <t>당근 카탈로그 상품 광고 노출 지면</t>
  </si>
  <si>
    <t>네이버 시승신청 광고</t>
  </si>
  <si>
    <t>GA, Amplitude 등 분석 툴</t>
  </si>
  <si>
    <t>열품타 dau</t>
  </si>
  <si>
    <t>열품타 mau</t>
  </si>
  <si>
    <t>하인즈 월드컵</t>
  </si>
  <si>
    <t>랜덤양푼비빔밥</t>
  </si>
  <si>
    <t>애즈광고</t>
  </si>
  <si>
    <t>왕사남 촬영 실록</t>
  </si>
  <si>
    <t>인앱랜딩</t>
  </si>
  <si>
    <t>크리테오 GPT광고</t>
  </si>
  <si>
    <t>토스광고</t>
  </si>
  <si>
    <t>9월 데이터</t>
  </si>
  <si>
    <t>네이버 블로그_PC</t>
  </si>
  <si>
    <t>격주 DMCian | 알면 알수록 좋아~ 함께할수록 더 좋아~ 디엠씨미디어에 쏙 스며든 경력직 3인방</t>
  </si>
  <si>
    <t>gw.dmcmedia.co.kr</t>
  </si>
  <si>
    <t>격주 DMCian | 신입 Lv.1에서 직장인 Lv.5까지 폭풍 레벨업한 장기근속자 그룹인터뷰</t>
  </si>
  <si>
    <t>네이버 블로그_모바일</t>
  </si>
  <si>
    <t>아주 사적인 디엠씨 | DMCian의 특별한 한끼, 랜덤비빔밥</t>
  </si>
  <si>
    <t>네이버 통합검색_모바일</t>
  </si>
  <si>
    <t>챗GPT 검색 결과에 우리 브랜드를 띄우는 방법(feat.크리테오)</t>
  </si>
  <si>
    <t>3m 22s</t>
  </si>
  <si>
    <t>네이버 통합검색_PC</t>
  </si>
  <si>
    <t>닥터나우의 가상 비만치료제 '마음자로', 소비자의 심리적 만족 충족+서비스 접근성 높이는 콘텐츠로 호평</t>
  </si>
  <si>
    <t>AI 기술로 진화한 네이티브 광고 플랫폼 '타불라' 핵심 요약</t>
  </si>
  <si>
    <t>디엠씨미디어의 8월 모임, 월간 디톡스(D.talks) 현장 스케치</t>
  </si>
  <si>
    <t>격주 DMCian | 고민은 RED! 도전은 GREEN! 도가니 사리지 않고 디엠씨미디어에서 새롭게 시작한 세사람</t>
  </si>
  <si>
    <t>격주 DMCian l 때로는 나침반~ 때로는 버팀목~ 바쁘다바빠 디엠씨미디어 리더 사회♬</t>
  </si>
  <si>
    <t>격주 DMCian l AI 활용 경진대회 'D.match 2026' 비공식 상품 = 수상팀·수상자 인터뷰</t>
  </si>
  <si>
    <t>9월 1일</t>
  </si>
  <si>
    <t>0.90%</t>
  </si>
  <si>
    <t>1.80%</t>
  </si>
  <si>
    <t>9월 2일</t>
  </si>
  <si>
    <t>1.39%</t>
  </si>
  <si>
    <t>9월 3일</t>
  </si>
  <si>
    <t>1.61%</t>
  </si>
  <si>
    <t>3.23%</t>
  </si>
  <si>
    <t>9월 4일</t>
  </si>
  <si>
    <t>2.50%</t>
  </si>
  <si>
    <t>1.25%</t>
  </si>
  <si>
    <t>3.75%</t>
  </si>
  <si>
    <t>9월 5일</t>
  </si>
  <si>
    <t>12.50%</t>
  </si>
  <si>
    <t>9월 7일</t>
  </si>
  <si>
    <t>3.08%</t>
  </si>
  <si>
    <t>1.54%</t>
  </si>
  <si>
    <t>9월 8일</t>
  </si>
  <si>
    <t>4.65%</t>
  </si>
  <si>
    <t>2.33%</t>
  </si>
  <si>
    <t>9월 9일</t>
  </si>
  <si>
    <t>1.85%</t>
  </si>
  <si>
    <t>9월 11일</t>
  </si>
  <si>
    <t>4.26%</t>
  </si>
  <si>
    <t>2.13%</t>
  </si>
  <si>
    <t>9월 12일</t>
  </si>
  <si>
    <t>11.11%</t>
  </si>
  <si>
    <t>9월 14일</t>
  </si>
  <si>
    <t>1.89%</t>
  </si>
  <si>
    <t>9월 15일</t>
  </si>
  <si>
    <t>3.13%</t>
  </si>
  <si>
    <t>9월 16일</t>
  </si>
  <si>
    <t>3.33%</t>
  </si>
  <si>
    <t>9월 17일</t>
  </si>
  <si>
    <t>1.67%</t>
  </si>
  <si>
    <t>9월 19일</t>
  </si>
  <si>
    <t>20.00%</t>
  </si>
  <si>
    <t>9월 23일</t>
  </si>
  <si>
    <t>3.16%</t>
  </si>
  <si>
    <t>1.05%</t>
  </si>
  <si>
    <t>9월 25일</t>
  </si>
  <si>
    <t>9월 28일</t>
  </si>
  <si>
    <t>2.38%</t>
  </si>
  <si>
    <t>9월 29일</t>
  </si>
  <si>
    <t>3.03%</t>
  </si>
  <si>
    <t>9월 30일</t>
  </si>
  <si>
    <t>2.17%</t>
  </si>
  <si>
    <t>3.70%</t>
  </si>
  <si>
    <t>9월 10일</t>
  </si>
  <si>
    <t>1.33%</t>
  </si>
  <si>
    <t>6.25%</t>
  </si>
  <si>
    <t>6.67%</t>
  </si>
  <si>
    <t>9월 18일</t>
  </si>
  <si>
    <t>1.41%</t>
  </si>
  <si>
    <t>9.09%</t>
  </si>
  <si>
    <t>4.35%</t>
  </si>
  <si>
    <t>6.38%</t>
  </si>
  <si>
    <t>22.22%</t>
  </si>
  <si>
    <t>2.11%</t>
  </si>
  <si>
    <t>9월 24일</t>
  </si>
  <si>
    <t>33.33%</t>
  </si>
  <si>
    <t>44.44%</t>
  </si>
  <si>
    <t>9월 26일</t>
  </si>
  <si>
    <t>5.88%</t>
  </si>
  <si>
    <t>9월 27일</t>
  </si>
  <si>
    <t>16.67%</t>
  </si>
  <si>
    <t>9월 13일</t>
  </si>
  <si>
    <t>2.78%</t>
  </si>
  <si>
    <t>9월 6일</t>
  </si>
  <si>
    <t>9월 21일</t>
  </si>
  <si>
    <t>5.00%</t>
  </si>
  <si>
    <t>8.33%</t>
  </si>
  <si>
    <t>AI 스마트글래스</t>
  </si>
  <si>
    <t>카카오톡</t>
  </si>
  <si>
    <t>왕과 사는 남자</t>
  </si>
  <si>
    <t>K-POP 마케팅 트렌드</t>
  </si>
  <si>
    <t>기타</t>
  </si>
  <si>
    <t>9월 20일</t>
  </si>
  <si>
    <t>50.00%</t>
  </si>
  <si>
    <t>9월 22일</t>
  </si>
  <si>
    <t>6.06%</t>
  </si>
  <si>
    <t>월드컵 코카콜라 스티커</t>
  </si>
  <si>
    <t>2026월드컵스카우트리포트 스티커</t>
  </si>
  <si>
    <t>청룡 미각보이즈</t>
  </si>
  <si>
    <t>취사병 미각보이즈</t>
  </si>
  <si>
    <t>데일리 메일링</t>
  </si>
  <si>
    <t>jy.dmc</t>
  </si>
  <si>
    <t>ai 경진대회 수상작</t>
  </si>
  <si>
    <t>코카콜라 월드컵스티커</t>
  </si>
  <si>
    <t>코카콜라 마케팅 전략</t>
  </si>
  <si>
    <t>jydmc 대표</t>
  </si>
  <si>
    <t>네이티브 광고</t>
  </si>
  <si>
    <t>트라이앵글 m카운트다운</t>
  </si>
  <si>
    <t>타뷸라광고 방법</t>
  </si>
  <si>
    <t>디엠씨미디어 채용</t>
  </si>
  <si>
    <t>마음자로 가상주사</t>
  </si>
  <si>
    <t>무신사 스플래시 광고</t>
  </si>
  <si>
    <t>티불라</t>
  </si>
  <si>
    <t>GPT 크리테오 광고</t>
  </si>
  <si>
    <t>네이버 브랜드배너 광고 성과</t>
  </si>
  <si>
    <t>메시지 수신 인물형태 감지 앱</t>
  </si>
  <si>
    <t>타불라 주가</t>
  </si>
  <si>
    <t>왁뿌볼 앱 마음자로</t>
  </si>
  <si>
    <t>타불라코리아 리얼라이즈</t>
  </si>
  <si>
    <t>넷플릭스 광고 상품 타이틀 스폰서십</t>
  </si>
  <si>
    <t>최신 화장품 소비자분석</t>
  </si>
  <si>
    <t>네이버 멤버쉽 신선식품 배달</t>
  </si>
  <si>
    <t>파니니 코카콜라</t>
  </si>
  <si>
    <t>롯데 브레인껌 CF</t>
  </si>
  <si>
    <t>(주)디엠씨미디어</t>
  </si>
  <si>
    <t>닥터나우 마케팅</t>
  </si>
  <si>
    <t>메타 IGCM</t>
  </si>
  <si>
    <t>아메카</t>
  </si>
  <si>
    <t>'TOUCH:Able(터처블) 2026'</t>
  </si>
  <si>
    <t>카카오모빌리티 광고 매체 센터</t>
  </si>
  <si>
    <t>디맨드젠 평균 ctr</t>
  </si>
  <si>
    <t>토스애즈 데이터</t>
  </si>
  <si>
    <t>코카콜라 파니니 야말</t>
  </si>
  <si>
    <t>크리테오 상품 피드 광고</t>
  </si>
  <si>
    <t>토스 잠재고객양식</t>
  </si>
  <si>
    <t>중저가 의류 브랜드</t>
  </si>
  <si>
    <t>오늘의 집 브랜드</t>
  </si>
  <si>
    <t>2025년 뷰티트렌드</t>
  </si>
  <si>
    <t>디엠씨미디어 회계</t>
  </si>
  <si>
    <t>bls 가능한 광고 매체</t>
  </si>
  <si>
    <t>닥터나우</t>
  </si>
  <si>
    <t>카카오플친 채널메시지 유형</t>
  </si>
  <si>
    <t>월드컵 스티커북</t>
  </si>
  <si>
    <t>당근마켓 전문가모드 광고 종류</t>
  </si>
  <si>
    <t>코카콜라 월드컵 스티커</t>
  </si>
  <si>
    <t>디지털 디바이스 뜻</t>
  </si>
  <si>
    <t>MNET PLUS 광고 상품</t>
  </si>
  <si>
    <t>토스 두근두근 1등 광고의 주요 기능은 무엇인가요?</t>
  </si>
  <si>
    <t>카카오커머스 메타 협력광고</t>
  </si>
  <si>
    <t>토스애드</t>
  </si>
  <si>
    <t>러닝패션 월별 매출</t>
  </si>
  <si>
    <t>굿즈 인기 설문조사 선호도</t>
  </si>
  <si>
    <t>dmcian ai</t>
  </si>
  <si>
    <t>카카오톡 플친 메시지 형태</t>
  </si>
  <si>
    <t>데이터 사이언티스트 이인성 박사</t>
  </si>
  <si>
    <t>앰플리튜드 성과 측정 툴 Mau</t>
  </si>
  <si>
    <t>헌혈의집 아이돌</t>
  </si>
  <si>
    <t>코카콜라 파니니 스티커</t>
  </si>
  <si>
    <t>카카오톡 광고 구좌</t>
  </si>
  <si>
    <t>웬즈데이 마케팅</t>
  </si>
  <si>
    <t>믹스드 미디어(Mixed-Media) 팝업스토어/브랜드 숏폼 광고</t>
  </si>
  <si>
    <t>카카오톡 선물하기 메타 협력광고</t>
  </si>
  <si>
    <t>dmc미디어 AEO</t>
  </si>
  <si>
    <t>크리테오 gpt</t>
  </si>
  <si>
    <t>토스에즈</t>
  </si>
  <si>
    <t>닥터나우 마음자로 효과</t>
  </si>
  <si>
    <t>넷플릭스 웬즈데이 마케팅</t>
  </si>
  <si>
    <t>이준희 디엠씨미디어</t>
  </si>
  <si>
    <t>크리테오 챗지피티</t>
  </si>
  <si>
    <t>디엠씨미디어 해운대</t>
  </si>
  <si>
    <t>크리테오 GPT 광고</t>
  </si>
  <si>
    <t>크리테오 gpt광고</t>
  </si>
  <si>
    <t>랜덤비빔밥 몇명</t>
  </si>
  <si>
    <t>디엠씨미디어 디톡스</t>
  </si>
  <si>
    <t>cpt 광고</t>
  </si>
  <si>
    <t>로레알파리 infallible matte resistance</t>
  </si>
  <si>
    <t>구글 tag</t>
  </si>
  <si>
    <t>모비엠</t>
  </si>
  <si>
    <t>파니니 스티커</t>
  </si>
  <si>
    <t>앰플리튜드 활용방법</t>
  </si>
  <si>
    <t>왕사남 노션</t>
  </si>
  <si>
    <t>에스파 핀터레스트 무드보드</t>
  </si>
  <si>
    <t>디엠씨미디어 창립기념일</t>
  </si>
  <si>
    <t>챗gpt 크리테오</t>
  </si>
  <si>
    <t>크리테오 GPT GEO 광고</t>
  </si>
  <si>
    <t>토스 애즈 광고</t>
  </si>
  <si>
    <t>advoost max 예시</t>
  </si>
  <si>
    <t>디엠씨미디어 인사총무팀</t>
  </si>
  <si>
    <t>파니니 월드컵 2026</t>
  </si>
  <si>
    <t>안뗄리오스 선플루이드</t>
  </si>
  <si>
    <t>챗GPT 광고 크리테오</t>
  </si>
  <si>
    <t>dmc미디어 넷플릭스</t>
  </si>
  <si>
    <t>챗gpt에 노출되는 광고</t>
  </si>
  <si>
    <t>디엠씨미디어 면접 후기</t>
  </si>
  <si>
    <t>DMC 미디어 GEO</t>
  </si>
  <si>
    <t>앰플리튜드</t>
  </si>
  <si>
    <t>의류 생산팀 월루하면서 볼거</t>
  </si>
  <si>
    <t>prompt smart ads 크리테오</t>
  </si>
  <si>
    <t>코카콜라 파니니</t>
  </si>
  <si>
    <t>㈜ 디엠씨미디어</t>
  </si>
  <si>
    <t>창립기념일 럭키드로우 선물</t>
  </si>
  <si>
    <t>창립기념일 행사 아이디어</t>
  </si>
  <si>
    <t>크리테오 노출지면 예시</t>
  </si>
  <si>
    <t>클라이언트들의 활기찬 모습과 자기 생각을</t>
  </si>
  <si>
    <t>랜덤비빔밥 반찬</t>
  </si>
  <si>
    <t>gpt 환각 할루시네이션 세종대왕 맥프로 던짐</t>
  </si>
  <si>
    <t>요즘 화장품 소비자 트렌드</t>
  </si>
  <si>
    <t>닥터나우 마음자로 하는법</t>
  </si>
  <si>
    <t>닥터나우 마음자로 링크</t>
  </si>
  <si>
    <t>dmcmeDIA</t>
  </si>
  <si>
    <t>8월 신규 광고 상품 소개서</t>
  </si>
  <si>
    <t>마음자로 음식만안와요</t>
  </si>
  <si>
    <t>ddooh</t>
  </si>
  <si>
    <t>마음자로 닥터나우</t>
  </si>
  <si>
    <t>리테일미디어 디지털 광고 뜻</t>
  </si>
  <si>
    <t>ADvoost 노출 예시</t>
  </si>
  <si>
    <t>유튜브 셀렉트 라인업 trending now</t>
  </si>
  <si>
    <t>블레이저 옵티스</t>
  </si>
  <si>
    <t>월드컵 스티커 콜라</t>
  </si>
  <si>
    <t>라로슈포제 캠페인</t>
  </si>
  <si>
    <t>스마트 글래스 오프라인 구매</t>
  </si>
  <si>
    <t>미디어 인턴십</t>
  </si>
  <si>
    <t>디엠씨미디어 2차면접</t>
  </si>
  <si>
    <t>탸불라</t>
  </si>
  <si>
    <t>삼성전자시력교정안경</t>
  </si>
  <si>
    <t>웬즈데이 웬디스</t>
  </si>
  <si>
    <t>앰플리튜드 api</t>
  </si>
  <si>
    <t>호평동 마운자로 처방병원</t>
  </si>
  <si>
    <t>파워클린 다목적 세정티슈</t>
  </si>
  <si>
    <t>디엠씨 디톡스</t>
  </si>
  <si>
    <t>기업 AI 콘텐츠 제작 활용 현황</t>
  </si>
  <si>
    <t>dmc미디어블로그</t>
  </si>
  <si>
    <t>네이버 지도 스플래시 전면형 배너</t>
  </si>
  <si>
    <t>제이와이디엠씨</t>
  </si>
  <si>
    <t>타불라 광고 지면</t>
  </si>
  <si>
    <t>디엠씨미디어채용</t>
  </si>
  <si>
    <t>창립기념일 아이디어 장기근속 선물</t>
  </si>
  <si>
    <t>입사기념현수막</t>
  </si>
  <si>
    <t>특이한 비빔밥 랜덤</t>
  </si>
  <si>
    <t>토스 고객 행동 데이터 활용사례</t>
  </si>
  <si>
    <t>우수사원 포상식</t>
  </si>
  <si>
    <t>파니니 콜라</t>
  </si>
  <si>
    <t>디엠씨 미디어 면접 후기</t>
  </si>
  <si>
    <t>핀터레스트 광고</t>
  </si>
  <si>
    <t>핀터레스트 컬렉션 광고</t>
  </si>
  <si>
    <t>마음자로 앱</t>
  </si>
  <si>
    <t>admin night 뜻</t>
  </si>
  <si>
    <t>닥터나우 마음자로 앱</t>
  </si>
  <si>
    <t>네이버사업자광고하기</t>
  </si>
  <si>
    <t>코카콜라 2026 월드컵 스티커</t>
  </si>
  <si>
    <t>닥터나우 마음자로 진동</t>
  </si>
  <si>
    <t>왕사남 노션 촬영실록</t>
  </si>
  <si>
    <t>디엠씨미디어 복지</t>
  </si>
  <si>
    <t>DMC미디어 AEO</t>
  </si>
  <si>
    <t>터블 롯데백화점</t>
  </si>
  <si>
    <t>8월 데이터</t>
  </si>
  <si>
    <t>2026.04</t>
  </si>
  <si>
    <t>8월</t>
  </si>
  <si>
    <t>8.3천</t>
  </si>
  <si>
    <t>8월 5일</t>
  </si>
  <si>
    <t>8월 6일</t>
  </si>
  <si>
    <t>16.07%</t>
  </si>
  <si>
    <t>3.57%</t>
  </si>
  <si>
    <t>1.79%</t>
  </si>
  <si>
    <t>14.29%</t>
  </si>
  <si>
    <t>5.36%</t>
  </si>
  <si>
    <t>8월 7일</t>
  </si>
  <si>
    <t>8월 9일</t>
  </si>
  <si>
    <t>78.13%</t>
  </si>
  <si>
    <t>8월 10일</t>
  </si>
  <si>
    <t>18.29%</t>
  </si>
  <si>
    <t>4.57%</t>
  </si>
  <si>
    <t>8월 11일</t>
  </si>
  <si>
    <t>14.07%</t>
  </si>
  <si>
    <t>8월 12일</t>
  </si>
  <si>
    <t>44.83%</t>
  </si>
  <si>
    <t>8.62%</t>
  </si>
  <si>
    <t>8월 13일</t>
  </si>
  <si>
    <t>18.18%</t>
  </si>
  <si>
    <t>4.13%</t>
  </si>
  <si>
    <t>1.65%</t>
  </si>
  <si>
    <t>0.83%</t>
  </si>
  <si>
    <t>8월 14일</t>
  </si>
  <si>
    <t>21.57%</t>
  </si>
  <si>
    <t>0.98%</t>
  </si>
  <si>
    <t>1.96%</t>
  </si>
  <si>
    <t>8월 15일</t>
  </si>
  <si>
    <t>52.50%</t>
  </si>
  <si>
    <t>8월 16일</t>
  </si>
  <si>
    <t>51.16%</t>
  </si>
  <si>
    <t>8월 17일</t>
  </si>
  <si>
    <t>51.46%</t>
  </si>
  <si>
    <t>9.71%</t>
  </si>
  <si>
    <t>0.97%</t>
  </si>
  <si>
    <t>8월 18일</t>
  </si>
  <si>
    <t>38.24%</t>
  </si>
  <si>
    <t>4.41%</t>
  </si>
  <si>
    <t>8월 19일</t>
  </si>
  <si>
    <t>13.46%</t>
  </si>
  <si>
    <t>5.77%</t>
  </si>
  <si>
    <t>1.92%</t>
  </si>
  <si>
    <t>8월 20일</t>
  </si>
  <si>
    <t>8월 21일</t>
  </si>
  <si>
    <t>5.75%</t>
  </si>
  <si>
    <t>1.15%</t>
  </si>
  <si>
    <t>8월 22일</t>
  </si>
  <si>
    <t>43.75%</t>
  </si>
  <si>
    <t>8월 23일</t>
  </si>
  <si>
    <t>23.53%</t>
  </si>
  <si>
    <t>8월 24일</t>
  </si>
  <si>
    <t>5.56%</t>
  </si>
  <si>
    <t>8월 25일</t>
  </si>
  <si>
    <t>4.00%</t>
  </si>
  <si>
    <t>8월 26일</t>
  </si>
  <si>
    <t>11.67%</t>
  </si>
  <si>
    <t>8월 27일</t>
  </si>
  <si>
    <t>2.22%</t>
  </si>
  <si>
    <t>8월 28일</t>
  </si>
  <si>
    <t>10.34%</t>
  </si>
  <si>
    <t>3.45%</t>
  </si>
  <si>
    <t>8월 29일</t>
  </si>
  <si>
    <t>21.05%</t>
  </si>
  <si>
    <t>10.53%</t>
  </si>
  <si>
    <t>8월 30일</t>
  </si>
  <si>
    <t>15.79%</t>
  </si>
  <si>
    <t>5.26%</t>
  </si>
  <si>
    <t>8월 31일</t>
  </si>
  <si>
    <t>8.57%</t>
  </si>
  <si>
    <t>5.71%</t>
  </si>
  <si>
    <t>2.86%</t>
  </si>
  <si>
    <t>8월 2일</t>
  </si>
  <si>
    <t>3.85%</t>
  </si>
  <si>
    <t>8월 3일</t>
  </si>
  <si>
    <t>8월 4일</t>
  </si>
  <si>
    <t>7.14%</t>
  </si>
  <si>
    <t>7.50%</t>
  </si>
  <si>
    <t>8월 8일</t>
  </si>
  <si>
    <t>26.09%</t>
  </si>
  <si>
    <t>0.57%</t>
  </si>
  <si>
    <t>2.96%</t>
  </si>
  <si>
    <t>0.74%</t>
  </si>
  <si>
    <t>1.94%</t>
  </si>
  <si>
    <t>2.94%</t>
  </si>
  <si>
    <t>1.47%</t>
  </si>
  <si>
    <t>2.04%</t>
  </si>
  <si>
    <t>6.90%</t>
  </si>
  <si>
    <t>8월 1일</t>
  </si>
  <si>
    <t>2.29%</t>
  </si>
  <si>
    <t>1.48%</t>
  </si>
  <si>
    <t>1.72%</t>
  </si>
  <si>
    <t>2.48%</t>
  </si>
  <si>
    <t>9.30%</t>
  </si>
  <si>
    <t>37.50%</t>
  </si>
  <si>
    <t>4.08%</t>
  </si>
  <si>
    <t>8.70%</t>
  </si>
  <si>
    <t>화장품 트렌드</t>
  </si>
  <si>
    <t>의류·패션</t>
  </si>
  <si>
    <t>9.38%</t>
  </si>
  <si>
    <t>2026 월드컵 코카콜라 스티커</t>
  </si>
  <si>
    <t>코카콜라 2026월드컵</t>
  </si>
  <si>
    <t>코카콜라 북중미</t>
  </si>
  <si>
    <t>소셜 미디어를 사용하는 20대들의 특이한 행동</t>
  </si>
  <si>
    <t>코카콜라 월드컵 라벨</t>
  </si>
  <si>
    <t>콜라 월드컵 스티커</t>
  </si>
  <si>
    <t>네이버 지도앱 스플래시 배너 이미지 특수형</t>
  </si>
  <si>
    <t>언플러그 시크</t>
  </si>
  <si>
    <t>2026 북중미 월드컵 코카콜라 스티커</t>
  </si>
  <si>
    <t>dmc 이준희</t>
  </si>
  <si>
    <t>메타 BLS m3</t>
  </si>
  <si>
    <t>월드컵 선수 스티커북</t>
  </si>
  <si>
    <t>더마코스메틱 화장품</t>
  </si>
  <si>
    <t>la roche posay 국적</t>
  </si>
  <si>
    <t>AI 진단부터 멀티 브랜드 조합까지, 치열해지는 '가전 구독' 시장 전략</t>
  </si>
  <si>
    <t>하이네켄 페스티벌</t>
  </si>
  <si>
    <t>프리미엄 생수 시장 성장 전망과 수익성 알려주세요</t>
  </si>
  <si>
    <t>사내 AI 경진대회</t>
  </si>
  <si>
    <t>카카오톡 채널 채팅메시지 엑셀 추출 방법 알려주세요</t>
  </si>
  <si>
    <t>디엠씨미디어 창립</t>
  </si>
  <si>
    <t>디엠씨미디어 재무회계</t>
  </si>
  <si>
    <t>하이네켄페스티벌</t>
  </si>
  <si>
    <t>온드 미디어</t>
  </si>
  <si>
    <t>Marketing Mix Modeling 방법론</t>
  </si>
  <si>
    <t>어드민 나이트</t>
  </si>
  <si>
    <t>코카콜라 북중미 스티커</t>
  </si>
  <si>
    <t>타뷸라광고</t>
  </si>
  <si>
    <t>카카오채널 특정인에게 메시지 발송</t>
  </si>
  <si>
    <t>니치콘텐츠</t>
  </si>
  <si>
    <t>월드컵 코카콜라</t>
  </si>
  <si>
    <t>클링커밴드</t>
  </si>
  <si>
    <t>카카오채널 모먼트와 플러스친구 메세지 차이</t>
  </si>
  <si>
    <t>지제이모빌리티 택시차량광고</t>
  </si>
  <si>
    <t>코카콜라 축구 스티커</t>
  </si>
  <si>
    <t>dooh</t>
  </si>
  <si>
    <t>타불라 계정 생성</t>
  </si>
  <si>
    <t>타불라 코리아</t>
  </si>
  <si>
    <t>CPT</t>
  </si>
  <si>
    <t>네이버 da상품 종류</t>
  </si>
  <si>
    <t>타불라 디스플레이</t>
  </si>
  <si>
    <t>코카콜라 월드컵 에디션</t>
  </si>
  <si>
    <t>브랜드 콜라보 굿즈가 불필요한 소비를 유발하는 문제</t>
  </si>
  <si>
    <t>메이크업 제품과 지속력 팁</t>
  </si>
  <si>
    <t>메타 카탈로그 광고 노출 포맷 확장</t>
  </si>
  <si>
    <t>창립기념축사</t>
  </si>
  <si>
    <t>온드미디어</t>
  </si>
  <si>
    <t>고택스캡슐의 주요 성분과 효능이 궁금해요</t>
  </si>
  <si>
    <t>창립기념일 행사 이벤트 아이디어</t>
  </si>
  <si>
    <t>디엠씨미디어 커머스산업</t>
  </si>
  <si>
    <t>월드컵2026 스티커북</t>
  </si>
  <si>
    <t>코카콜라 스티커</t>
  </si>
  <si>
    <t>dmc미디어 메타공식대행사</t>
  </si>
  <si>
    <t>코카콜라 게이미피케이션</t>
  </si>
  <si>
    <t>지도스플래시패키지 과금방식</t>
  </si>
  <si>
    <t>dmc미디어 메타광고</t>
  </si>
  <si>
    <t>코카콜라 북중미 월드컵</t>
  </si>
  <si>
    <t>파니니 월드컵 북</t>
  </si>
  <si>
    <t>코카콜라 선수 스티커</t>
  </si>
  <si>
    <t>벰파이어 아이돌</t>
  </si>
  <si>
    <t>북중미 월드컵 띠부실</t>
  </si>
  <si>
    <t>코카콜라 월드컵 선수 카드</t>
  </si>
  <si>
    <t>Shu-Chew Beats</t>
  </si>
  <si>
    <t>월드컵 2026 파니니</t>
  </si>
  <si>
    <t>에스파 핀터레스트</t>
  </si>
  <si>
    <t>어드민나이트</t>
  </si>
  <si>
    <t>brand lift study</t>
  </si>
  <si>
    <t>오늘 축구 중계 채널 시청률</t>
  </si>
  <si>
    <t>카카오톡 채널 알림톡을 이용한 마케팅 사례를 알려주세요</t>
  </si>
  <si>
    <t>디엠씨미디어 상장</t>
  </si>
  <si>
    <t>파니니 2026 월드컵</t>
  </si>
  <si>
    <t>월드컵 파니니 스티커</t>
  </si>
  <si>
    <t>코카콜라 월드컵</t>
  </si>
  <si>
    <t>월드컵 스티커 북</t>
  </si>
  <si>
    <t>카카오톡채널 첫인사메시지</t>
  </si>
  <si>
    <t>창립기념일 현수막</t>
  </si>
  <si>
    <t>월드컵 한정 코카콜라</t>
  </si>
  <si>
    <t>코카콜라 마케팅</t>
  </si>
  <si>
    <t>2026 파니니 월드컵 스티커</t>
  </si>
  <si>
    <t>피파 월드컵 2026 스티커북</t>
  </si>
  <si>
    <t>코카콜라북중미월드컵</t>
  </si>
  <si>
    <t>프로젝트 종료 리프레시 휴가</t>
  </si>
  <si>
    <t>dmc미디어</t>
  </si>
  <si>
    <t>하이네켄 캠페인</t>
  </si>
  <si>
    <t>카카오톡 채널추가 안내메세지 사진</t>
  </si>
  <si>
    <t>사내ai경진대회</t>
  </si>
  <si>
    <t>웬디스 콜라보</t>
  </si>
  <si>
    <t>2026 북중미 월드컵 코카콜라 비밀</t>
  </si>
  <si>
    <t>파니니 26 월드컵</t>
  </si>
  <si>
    <t>더블크라운 DA</t>
  </si>
  <si>
    <t>2026 월드컵 파니니 스티커</t>
  </si>
  <si>
    <t>창립기념 행사</t>
  </si>
  <si>
    <t>2026 월드컵 스티커</t>
  </si>
  <si>
    <t>jtbc월드컵 화면 점수아래</t>
  </si>
  <si>
    <t>2026 북중미월드컵 코카콜라 비밀</t>
  </si>
  <si>
    <t>2026 월드컵 파니니</t>
  </si>
  <si>
    <t>사내 AI 대회</t>
  </si>
  <si>
    <t>코카콜라 스티커모으기</t>
  </si>
  <si>
    <t>advoost max</t>
  </si>
  <si>
    <t>nosp소재 상태값</t>
  </si>
  <si>
    <t>dooh 성과</t>
  </si>
  <si>
    <t>건강기능식품 트렌드 리포트 2025</t>
  </si>
  <si>
    <t>타불라란</t>
  </si>
  <si>
    <t>코카콜라 축구선수 스티커</t>
  </si>
  <si>
    <t>네이티브 배너광고</t>
  </si>
  <si>
    <t>토스애즈 CPT 상품</t>
  </si>
  <si>
    <t>타불라 디지털 광고 상품</t>
  </si>
  <si>
    <t>하이네켄 대화 캠페인</t>
  </si>
  <si>
    <t>셀퍼 메타광고</t>
  </si>
  <si>
    <t>Selper</t>
  </si>
  <si>
    <t>FIFA 월드컵 스티커</t>
  </si>
  <si>
    <t>디엠씨미디어 인턴</t>
  </si>
  <si>
    <t>dmc미디어 이준희</t>
  </si>
  <si>
    <t>오늘의집 유저들의스타일링샷</t>
  </si>
  <si>
    <t>taboola</t>
  </si>
  <si>
    <t>뉴멀 뜻</t>
  </si>
  <si>
    <t>Doubleverify 연동 매체</t>
  </si>
  <si>
    <t>Taboola Ai</t>
  </si>
  <si>
    <t>only on youtube package</t>
  </si>
  <si>
    <t>더블크라운 홈 우측 지면</t>
  </si>
  <si>
    <t>dmc 태풍상사</t>
  </si>
  <si>
    <t>네이버비지니스광고 키워드변경</t>
  </si>
  <si>
    <t>디엠씨미디어 채용전환</t>
  </si>
  <si>
    <t>구글애즈 광고의 자금 출처</t>
  </si>
  <si>
    <t>콜라 월드컵 씰</t>
  </si>
  <si>
    <t>코카콜라 축구카드</t>
  </si>
  <si>
    <t>스페셜 DA 이미지 확장형</t>
  </si>
  <si>
    <t>파니니 월드컵 스티커 2026</t>
  </si>
  <si>
    <t>에스파 핀터레스트 홍보</t>
  </si>
  <si>
    <t>피파월드컵 스티커</t>
  </si>
  <si>
    <t>창림기념일 현수막</t>
  </si>
  <si>
    <t>codex 대회</t>
  </si>
  <si>
    <t>카카오 비즈보드 광고</t>
  </si>
  <si>
    <t>콜라 피파스티커</t>
  </si>
  <si>
    <t>웬디스데이</t>
  </si>
  <si>
    <t>창립기념 현수막</t>
  </si>
  <si>
    <t>cta 버튼명</t>
  </si>
  <si>
    <t>2026 월드컵 코카콜라</t>
  </si>
  <si>
    <t>창립기념현수막</t>
  </si>
  <si>
    <t>taboola 광고</t>
  </si>
  <si>
    <t>뜬뜬 마케팅</t>
  </si>
  <si>
    <t>코카콜라 피파 스티커</t>
  </si>
  <si>
    <t>코카콜라안에 스티커</t>
  </si>
  <si>
    <t>파니니 스티커 2026</t>
  </si>
  <si>
    <t>2026년 파니니 월드컵</t>
  </si>
  <si>
    <t>네이티브광고</t>
  </si>
  <si>
    <t>넷플릭스 일시정지 qr코드 광고</t>
  </si>
  <si>
    <t>마운드미디어</t>
  </si>
  <si>
    <t>타불라 앱광고</t>
  </si>
  <si>
    <t>피그마 활용 경진대회</t>
  </si>
  <si>
    <t>디엠씨미디어 인턴 면접</t>
  </si>
  <si>
    <t>응원하는 사자성어</t>
  </si>
  <si>
    <t>jydmc</t>
  </si>
  <si>
    <t>adid 타겟팅</t>
  </si>
  <si>
    <t>dmc 쿠팡플레이</t>
  </si>
  <si>
    <t>광고 네이티브</t>
  </si>
  <si>
    <t>코카콜라 파니니라벨 스티커</t>
  </si>
  <si>
    <t>미국 코카콜라 월드컵스티커</t>
  </si>
  <si>
    <t>토스애즈 touch:able</t>
  </si>
  <si>
    <t>디지털디바이스뜻</t>
  </si>
  <si>
    <t>디엠씨미디어 the dap</t>
  </si>
  <si>
    <t>DMC미디어 리포트 자기관리 루틴</t>
  </si>
  <si>
    <t>그로스 마케팅</t>
  </si>
  <si>
    <t>파니니 스티커북</t>
  </si>
  <si>
    <t>50대 여자 소구</t>
  </si>
  <si>
    <t>카카오톡 채널 표시할 수 없는 메시지입니다</t>
  </si>
  <si>
    <t>기업ai 팀명</t>
  </si>
  <si>
    <t>파니니 코카콜라 스티커</t>
  </si>
  <si>
    <t>조직문화 창립기념행사</t>
  </si>
  <si>
    <t>네이버 광고 AD BOOST MAX 기능</t>
  </si>
  <si>
    <t>네이버에서 종목 검색 시 주가 정보 영역 하단에 노출되는 광고 상품</t>
  </si>
  <si>
    <t>디엠씨미디어 광고</t>
  </si>
  <si>
    <t>더마 코스메틱 동향</t>
  </si>
  <si>
    <t>코키콜라 월드컵 스티커</t>
  </si>
  <si>
    <t>하이네켄 소셜 캠페인</t>
  </si>
  <si>
    <t>피파 콜라 라벨</t>
  </si>
  <si>
    <t>피파 코카콜라 스티커</t>
  </si>
  <si>
    <t>한국야쿠르트 견학 나이</t>
  </si>
  <si>
    <t>디엠씨미디어 인턴면접</t>
  </si>
  <si>
    <t>디엠씨미디어연봉</t>
  </si>
  <si>
    <t>공무원 농촌일손돕기‧수해복구․산불진화 참여로</t>
  </si>
  <si>
    <t>가전 삼신기</t>
  </si>
  <si>
    <t>당근 전문가모드 네이티브 카탈로그</t>
  </si>
  <si>
    <t>북중미 월드컵 코카콜라 캠페인</t>
  </si>
  <si>
    <t>더마 설문조사</t>
  </si>
  <si>
    <t>월드컵 코카콜라 파니니</t>
  </si>
  <si>
    <t>디엠씨미디어 허재우</t>
  </si>
  <si>
    <t>(주)디엠씨미디어 면접</t>
  </si>
  <si>
    <t>디엠씨미디어 서류</t>
  </si>
  <si>
    <t>‘ADVoost Max’ 병의원</t>
  </si>
  <si>
    <t>코카콜라 월드컵 캐인 라벨</t>
  </si>
  <si>
    <t>카카오채널로 메시지 커머스와 피드의 차이점은?</t>
  </si>
  <si>
    <t>타불라광고</t>
  </si>
  <si>
    <t>미미미누 광고단가</t>
  </si>
  <si>
    <t>타불라 뉴스</t>
  </si>
  <si>
    <t>토스애즈 비용</t>
  </si>
  <si>
    <t>디엠씨미디어 IPO 철회</t>
  </si>
  <si>
    <t>미각보이즈 배우</t>
  </si>
  <si>
    <t>코르티스 redred 파트별 가사</t>
  </si>
  <si>
    <t>스티커 1개가 만드는 반복구매의 비밀! 2026월드컵 앞둔 코카콜라 마케팅 전략 분석</t>
  </si>
  <si>
    <t>디엠씨미디어 창립 24주년 기념행사 현장 스케치 + D.match 2026 시상식</t>
  </si>
  <si>
    <t>격주 DMCian l 회사에서 AI 활용 경진대회를 연다면 이렇게 하면 되...'D.match 2026' 비하인드</t>
  </si>
  <si>
    <t>4m 0s</t>
  </si>
  <si>
    <t>www.dmcmedia.co.kr</t>
  </si>
  <si>
    <t>디엠씨미디어, 실행을 잇는 D.Frame으로 통합그로스 마케팅 전략 제시</t>
  </si>
  <si>
    <t>2026.03</t>
  </si>
  <si>
    <t>스크린을 뚫고 나온 아이돌?! '트라이앵글'과 '미각보이즈'로 보는 세계관 현실화 마케팅</t>
  </si>
  <si>
    <t>격주 DMCian l "성장 야호~" 업무 적응 종료→폭풍 활약 준비가 한창인 디엠씨미디어의 루키들</t>
  </si>
  <si>
    <t>디엠씨미디어의 사내 AI 활용 경진대회 'D.match 2026', 본선PT 현장 스케치</t>
  </si>
  <si>
    <t>7월</t>
  </si>
  <si>
    <t>7월 1일</t>
  </si>
  <si>
    <t>7월 2일</t>
  </si>
  <si>
    <t>2.90%</t>
  </si>
  <si>
    <t>1.45%</t>
  </si>
  <si>
    <t>7월 3일</t>
  </si>
  <si>
    <t>7월 6일</t>
  </si>
  <si>
    <t>7.58%</t>
  </si>
  <si>
    <t>1.52%</t>
  </si>
  <si>
    <t>7월 8일</t>
  </si>
  <si>
    <t>2.97%</t>
  </si>
  <si>
    <t>0.99%</t>
  </si>
  <si>
    <t>1.98%</t>
  </si>
  <si>
    <t>7월 9일</t>
  </si>
  <si>
    <t>2.70%</t>
  </si>
  <si>
    <t>7월 10일</t>
  </si>
  <si>
    <t>7월 11일</t>
  </si>
  <si>
    <t>4.76%</t>
  </si>
  <si>
    <t>7월 12일</t>
  </si>
  <si>
    <t>7월 13일</t>
  </si>
  <si>
    <t>7월 14일</t>
  </si>
  <si>
    <t>7월 15일</t>
  </si>
  <si>
    <t>1.23%</t>
  </si>
  <si>
    <t>7월 16일</t>
  </si>
  <si>
    <t>7월 17일</t>
  </si>
  <si>
    <t>7월 18일</t>
  </si>
  <si>
    <t>7월 19일</t>
  </si>
  <si>
    <t>7월 20일</t>
  </si>
  <si>
    <t>1.02%</t>
  </si>
  <si>
    <t>7월 21일</t>
  </si>
  <si>
    <t>0.73%</t>
  </si>
  <si>
    <t>2.19%</t>
  </si>
  <si>
    <t>7월 22일</t>
  </si>
  <si>
    <t>2.20%</t>
  </si>
  <si>
    <t>1.10%</t>
  </si>
  <si>
    <t>3.30%</t>
  </si>
  <si>
    <t>7월 23일</t>
  </si>
  <si>
    <t>3.88%</t>
  </si>
  <si>
    <t>7월 24일</t>
  </si>
  <si>
    <t>7월 25일</t>
  </si>
  <si>
    <t>7월 26일</t>
  </si>
  <si>
    <t>13.33%</t>
  </si>
  <si>
    <t>7월 27일</t>
  </si>
  <si>
    <t>7월 28일</t>
  </si>
  <si>
    <t>7월 29일</t>
  </si>
  <si>
    <t>7월 30일</t>
  </si>
  <si>
    <t>1.28%</t>
  </si>
  <si>
    <t>7월 31일</t>
  </si>
  <si>
    <t>7.69%</t>
  </si>
  <si>
    <t>7월 4일</t>
  </si>
  <si>
    <t>7월 5일</t>
  </si>
  <si>
    <t>7월 7일</t>
  </si>
  <si>
    <t>1.27%</t>
  </si>
  <si>
    <t>10.00%</t>
  </si>
  <si>
    <t>2.56%</t>
  </si>
  <si>
    <t>10.71%</t>
  </si>
  <si>
    <t>5.06%</t>
  </si>
  <si>
    <t>5.41%</t>
  </si>
  <si>
    <t>8.00%</t>
  </si>
  <si>
    <t>1.46%</t>
  </si>
  <si>
    <t>카카오톡 채널</t>
  </si>
  <si>
    <t>ABBE 프레임워크</t>
  </si>
  <si>
    <t>디지털 마케팅 suprt</t>
  </si>
  <si>
    <t>50대의 독립</t>
  </si>
  <si>
    <t>abbe</t>
  </si>
  <si>
    <t>공식 에스파 핀터레스트</t>
  </si>
  <si>
    <t>핀테크 디지털 마케팅 활용 사례 알려주세요</t>
  </si>
  <si>
    <t>모디슈머 증가</t>
  </si>
  <si>
    <t>ai로 네이버광고 집행방법</t>
  </si>
  <si>
    <t>네이버AI광고방법</t>
  </si>
  <si>
    <t>네이버 팝업스토어 솔루션 패키지</t>
  </si>
  <si>
    <t>sns가 유행식품소비확산에 미치는영향</t>
  </si>
  <si>
    <t>네이버검색광고 키워드별 랜딩</t>
  </si>
  <si>
    <t>로레알 파리 립스틱</t>
  </si>
  <si>
    <t>tubble 제조사</t>
  </si>
  <si>
    <t>중고거래 플랫폼 비교</t>
  </si>
  <si>
    <t>tv홈쇼핑 스킨케어 순위 2025</t>
  </si>
  <si>
    <t>앰플리튜드 고유 유저가 중복 집계되는 경우</t>
  </si>
  <si>
    <t>뷰티 브랜드 카카오 플러스친구 운영 성공 사례 알려주세요</t>
  </si>
  <si>
    <t>쇼박스 노션</t>
  </si>
  <si>
    <t>독일 슈퍼마켓 페니</t>
  </si>
  <si>
    <t>토스 광고 CPC 계산 방법 알려주세요</t>
  </si>
  <si>
    <t>카카오 asap프로그램</t>
  </si>
  <si>
    <t>카카오채널 웰컴메시지 템플릿 예시 알려주세요</t>
  </si>
  <si>
    <t>젠슨 황 CPT만듬</t>
  </si>
  <si>
    <t>네이버 쇼핑 선물하기</t>
  </si>
  <si>
    <t>왕과 사는 남자 노션 마케팅</t>
  </si>
  <si>
    <t>sns 사회비교 이론 10대 청소년</t>
  </si>
  <si>
    <t>타불라 AI</t>
  </si>
  <si>
    <t>AI가 검색어 광고의 효율성을 높이는 방법은?</t>
  </si>
  <si>
    <t>타뷸라코리아</t>
  </si>
  <si>
    <t>카카오톡 채널 문자메세지의공유하기 방법</t>
  </si>
  <si>
    <t>dmc미디어 창립기념일</t>
  </si>
  <si>
    <t>토스리워드광고</t>
  </si>
  <si>
    <t>올리브영 터블</t>
  </si>
  <si>
    <t>더마 코스메틱 브랜드</t>
  </si>
  <si>
    <t>메타 슬라이드형 광고</t>
  </si>
  <si>
    <t>디지털 플랫폼 거래란</t>
  </si>
  <si>
    <t>라로슈포제 시너</t>
  </si>
  <si>
    <t>시고르잡화점 캐릭터 굿즈 만든계기 및 캐릭터</t>
  </si>
  <si>
    <t>크리테오 실행사</t>
  </si>
  <si>
    <t>라로슈포제 안뗄리오스 공식</t>
  </si>
  <si>
    <t>소비자리포트 루태인 지아잔틴 고르는법</t>
  </si>
  <si>
    <t>왕과사는남자 촬영실록</t>
  </si>
  <si>
    <t>인스턴트 메신저 종류</t>
  </si>
  <si>
    <t>카카오톡 프로필 광고</t>
  </si>
  <si>
    <t>핀터 에스파 공식계정</t>
  </si>
  <si>
    <t>토스광고 리워드</t>
  </si>
  <si>
    <t>토스애즈 페르소나</t>
  </si>
  <si>
    <t>헌혈 아이돌</t>
  </si>
  <si>
    <t>야닉시너</t>
  </si>
  <si>
    <t>CPT 배너 단가</t>
  </si>
  <si>
    <t>크리테오ㅍclv</t>
  </si>
  <si>
    <t>DMC 미디어</t>
  </si>
  <si>
    <t>구글 크리에이터 파트너십 부스트</t>
  </si>
  <si>
    <t>DMC미디어</t>
  </si>
  <si>
    <t>GA4 앰플리튜드 이벤트 네이밍 컨벤션</t>
  </si>
  <si>
    <t>DMC선크림</t>
  </si>
  <si>
    <t>더마 브랜드 캠페인 일상</t>
  </si>
  <si>
    <t>토스 리워드광고 비용은 얼마나 되나요?</t>
  </si>
  <si>
    <t>타블라 노출지면</t>
  </si>
  <si>
    <t>육아 삼신기</t>
  </si>
  <si>
    <t>GEO 솔루션(D.SaiO</t>
  </si>
  <si>
    <t>크리테오 광고 뜻</t>
  </si>
  <si>
    <t>디프레임 디엠씨</t>
  </si>
  <si>
    <t>디엠씨미디어 CRM</t>
  </si>
  <si>
    <t>하이네켄 the clinker</t>
  </si>
  <si>
    <t>왕과 사는 남자 촬영실록</t>
  </si>
  <si>
    <t>ai seo aeo geo 솔루션</t>
  </si>
  <si>
    <t>소비자가 광고를 통해 상품 구매</t>
  </si>
  <si>
    <t>중저가 로드샵 화장품 브랜드</t>
  </si>
  <si>
    <t>네이버쇼핑 선물하기</t>
  </si>
  <si>
    <t>하이네켄 하우스 코첼라</t>
  </si>
  <si>
    <t>dmc 미디어 해운대</t>
  </si>
  <si>
    <t>프로스포츠 굿즈 유형별 판매량 분석</t>
  </si>
  <si>
    <t>하이네켄</t>
  </si>
  <si>
    <t>격주</t>
  </si>
  <si>
    <t>토스애즈 터처블 2026</t>
  </si>
  <si>
    <t>더마코스메틱 브랜드</t>
  </si>
  <si>
    <t>DMC리포트 디지털 광고 효율 분석표</t>
  </si>
  <si>
    <t>메타광고 CTR 공식 벤치마크</t>
  </si>
  <si>
    <t>왕사남 마케팅</t>
  </si>
  <si>
    <t>DMC 방탈출</t>
  </si>
  <si>
    <t>Search에서 Answer로 : AI 검색이 바꾸는 소비자 구매 여정과 대응 전략</t>
  </si>
  <si>
    <t>티맵 로컬 핀 광고</t>
  </si>
  <si>
    <t>nosp 부킹 브랜딩 DA 적용 타겟팅</t>
  </si>
  <si>
    <t>tubble</t>
  </si>
  <si>
    <t>카카오 asap 프로그램</t>
  </si>
  <si>
    <t>대규모 개편 이후의 카카오톡 광고상품 변화</t>
  </si>
  <si>
    <t>라로슈포제 더마코스메틱</t>
  </si>
  <si>
    <t>타불라 간식 이벤트</t>
  </si>
  <si>
    <t>네이버 스페셜 da 9:16</t>
  </si>
  <si>
    <t>네이버 advoost 광고소재</t>
  </si>
  <si>
    <t>케이스티파이 케릭터상품이 예전만못하고 디자인도 상품도없다</t>
  </si>
  <si>
    <t>앰플리튜드 event</t>
  </si>
  <si>
    <t>챌린저스 앱</t>
  </si>
  <si>
    <t>로스트 웬디스</t>
  </si>
  <si>
    <t>컬리n마트 보고서</t>
  </si>
  <si>
    <t>왕사남 촬영실록 노션</t>
  </si>
  <si>
    <t>앰플리튜드 세그먼트 차트</t>
  </si>
  <si>
    <t>터블공식몰</t>
  </si>
  <si>
    <t>카카오톡 비즈보드 광고</t>
  </si>
  <si>
    <t>디엠씨미디어 광고팀</t>
  </si>
  <si>
    <t>카카오톡 채널 요일별 메시지 전략 알려주세요</t>
  </si>
  <si>
    <t>디프레임</t>
  </si>
  <si>
    <t>버티컬 매체 추천</t>
  </si>
  <si>
    <t>타불라 신청</t>
  </si>
  <si>
    <t>스플래시 매체 엠넷플러스</t>
  </si>
  <si>
    <t>amplitude MTU</t>
  </si>
  <si>
    <t>nosp 부킹 일정</t>
  </si>
  <si>
    <t>광고 cpt</t>
  </si>
  <si>
    <t>20대 여성 인기 초저가 의류 플랫폼 추천해 주세요</t>
  </si>
  <si>
    <t>스페셜da 9:16</t>
  </si>
  <si>
    <t>구글 디맨드젠 신규 기능</t>
  </si>
  <si>
    <t>네이버 메인화면 6월 dmc미디어</t>
  </si>
  <si>
    <t>네이버 검색광고 업종별 cvr</t>
  </si>
  <si>
    <t>롯데 칸초광고</t>
  </si>
  <si>
    <t>구글 pmax</t>
  </si>
  <si>
    <t>네이버대행사 dmc</t>
  </si>
  <si>
    <t>디엠씨</t>
  </si>
  <si>
    <t>라로슈포제 플루이드</t>
  </si>
  <si>
    <t>월드컵 코카콜라 광고</t>
  </si>
  <si>
    <t>Mnet Plus 광고 상품</t>
  </si>
  <si>
    <t>카카오톡 낚시 메시지 예시를 알려주세요</t>
  </si>
  <si>
    <t>타불라 광고영역</t>
  </si>
  <si>
    <t>SAIO</t>
  </si>
  <si>
    <t>카카오톡 6-1008번 채널 정체 알려주세요</t>
  </si>
  <si>
    <t>가전 구매 리포트</t>
  </si>
  <si>
    <t>코카콜라 축구선수 스티카ㅗ</t>
  </si>
  <si>
    <t>디엠씨미디어 소셜미디어 이용행태</t>
  </si>
  <si>
    <t>d.saio</t>
  </si>
  <si>
    <t>왕과사는 남자 노션</t>
  </si>
  <si>
    <t>헌혈 아이돌 앨범</t>
  </si>
  <si>
    <t>파니니 월드컵 스티커</t>
  </si>
  <si>
    <t>그사람이 바로 나에요</t>
  </si>
  <si>
    <t>Taboola AI</t>
  </si>
  <si>
    <t>Taboola realize 오픈웹</t>
  </si>
  <si>
    <t>타불라 이벤트</t>
  </si>
  <si>
    <t>NDA 광고 과금방식</t>
  </si>
  <si>
    <t>TOSS ADS</t>
  </si>
  <si>
    <t>dmc미디어 geo</t>
  </si>
  <si>
    <t>네이버 검색 프로모션 에스파</t>
  </si>
  <si>
    <t>더마코스메틱 대상</t>
  </si>
  <si>
    <t>식품업계에서 모디슈머를 활용한 마케팅 방법은?</t>
  </si>
  <si>
    <t>월드컵 마케팅</t>
  </si>
  <si>
    <t>창립기념일 이벤트 벤치마킹</t>
  </si>
  <si>
    <t>유튜브 마스트헤드 최신 가이드</t>
  </si>
  <si>
    <t>카카오톡 채널톡 문의사항 종류별로</t>
  </si>
  <si>
    <t>유튜브에서 '야호'라는 표현이 자주 쓰이는 맥락은 무엇인가요?</t>
  </si>
  <si>
    <t>2026 월드컵에디션</t>
  </si>
  <si>
    <t>10명 중 8명은 숏폼 시청 경험 유튜브</t>
  </si>
  <si>
    <t>amplitude 축</t>
  </si>
  <si>
    <t>쇼박스 왕사남 촬영 실록</t>
  </si>
  <si>
    <t>코카콜라 2026 월드컵</t>
  </si>
  <si>
    <t>6월 데이터</t>
  </si>
  <si>
    <t>순위</t>
  </si>
  <si>
    <t>4m 46s</t>
  </si>
  <si>
    <t>디엠씨미디어 창립 24주년 기념행사 현장 스케치</t>
  </si>
  <si>
    <t>2040 여성 10명 중 4명이 아는 더마 코스메틱 브랜드, 라로슈포제가 그림자를 홍보대사로 발탁한 이유는?</t>
  </si>
  <si>
    <t>격주 DMCian l 디엠씨미디어가 라디오 프로그램이라면, 이 경력직 3인방은 고정 게스트일거야</t>
  </si>
  <si>
    <t>2026.02</t>
  </si>
  <si>
    <t>디엠씨미디어, ‘디싸이오(D.SaiO)’ 전략 고도화… GEO 측정 체계 강화</t>
  </si>
  <si>
    <t>격주 DMCian l 스트레스 많이 받을거지만 운동 많이 될 굿파트너, 승진자 그룹인터뷰</t>
  </si>
  <si>
    <t>월간순방문자 추이</t>
  </si>
  <si>
    <t>6월 10일</t>
  </si>
  <si>
    <t>0.87%</t>
  </si>
  <si>
    <t>1.74%</t>
  </si>
  <si>
    <t>6월 11일</t>
  </si>
  <si>
    <t>5.13%</t>
  </si>
  <si>
    <t>6월 12일</t>
  </si>
  <si>
    <t>4.17%</t>
  </si>
  <si>
    <t>6월 13일</t>
  </si>
  <si>
    <t>6월 14일</t>
  </si>
  <si>
    <t>6월 15일</t>
  </si>
  <si>
    <t>6월 16일</t>
  </si>
  <si>
    <t>6.12%</t>
  </si>
  <si>
    <t>6월 17일</t>
  </si>
  <si>
    <t>9.68%</t>
  </si>
  <si>
    <t>6.45%</t>
  </si>
  <si>
    <t>6월 18일</t>
  </si>
  <si>
    <t>3.26%</t>
  </si>
  <si>
    <t>1.09%</t>
  </si>
  <si>
    <t>6월 19일</t>
  </si>
  <si>
    <t>3.51%</t>
  </si>
  <si>
    <t>1.75%</t>
  </si>
  <si>
    <t>6월 1일</t>
  </si>
  <si>
    <t>6월 20일</t>
  </si>
  <si>
    <t>6월 21일</t>
  </si>
  <si>
    <t>6월 22일</t>
  </si>
  <si>
    <t>6월 23일</t>
  </si>
  <si>
    <t>6월 24일</t>
  </si>
  <si>
    <t>6월 25일</t>
  </si>
  <si>
    <t>0.96%</t>
  </si>
  <si>
    <t>6월 27일</t>
  </si>
  <si>
    <t>6월 28일</t>
  </si>
  <si>
    <t>6월 29일</t>
  </si>
  <si>
    <t>2.27%</t>
  </si>
  <si>
    <t>6월 2일</t>
  </si>
  <si>
    <t>6월 30일</t>
  </si>
  <si>
    <t>0.84%</t>
  </si>
  <si>
    <t>1.68%</t>
  </si>
  <si>
    <t>6월 4일</t>
  </si>
  <si>
    <t>6월 5일</t>
  </si>
  <si>
    <t>6월 6일</t>
  </si>
  <si>
    <t>6월 7일</t>
  </si>
  <si>
    <t>6월 8일</t>
  </si>
  <si>
    <t>2.08%</t>
  </si>
  <si>
    <t>6월 26일</t>
  </si>
  <si>
    <t>6월 9일</t>
  </si>
  <si>
    <t>더마코스메틱</t>
  </si>
  <si>
    <t>64.29%</t>
  </si>
  <si>
    <t>23.08%</t>
  </si>
  <si>
    <t>6월 3일</t>
  </si>
  <si>
    <t>디지털 마케팅</t>
  </si>
  <si>
    <t>2.61%</t>
  </si>
  <si>
    <t>7.55%</t>
  </si>
  <si>
    <t>트렌드/캠페인</t>
  </si>
  <si>
    <t>5.33%</t>
  </si>
  <si>
    <t>토스</t>
  </si>
  <si>
    <t>25.00%</t>
  </si>
  <si>
    <t>네이버</t>
  </si>
  <si>
    <t>카카오톡/카카오</t>
  </si>
  <si>
    <t>왕과사는남자/촬영실록</t>
  </si>
  <si>
    <t>Amplitude</t>
  </si>
  <si>
    <t>쿠팡플레이 티빙</t>
  </si>
  <si>
    <t>배민방학도시락 캠페인</t>
  </si>
  <si>
    <t>식음료 트렌드 리포트</t>
  </si>
  <si>
    <t>ADVoost 검색광고 AI 자동 최적화 기능 알려주세요</t>
  </si>
  <si>
    <t>GA 원본 데이터 추출</t>
  </si>
  <si>
    <t>dframe GEO</t>
  </si>
  <si>
    <t>admin night</t>
  </si>
  <si>
    <t>의류 플랫폼</t>
  </si>
  <si>
    <t>당근 돗자리</t>
  </si>
  <si>
    <t>ADVoost와 기존 네이버 광고 차이점이 궁금해요</t>
  </si>
  <si>
    <t>네이버광고 AI 비용</t>
  </si>
  <si>
    <t>리테일 미디어 네트워크 뜻</t>
  </si>
  <si>
    <t>쿠팡플레이 광고</t>
  </si>
  <si>
    <t>자외선영양제</t>
  </si>
  <si>
    <t>D.SaiO</t>
  </si>
  <si>
    <t>엠넷 kpop</t>
  </si>
  <si>
    <t>쇼박스 촬영실록 링크</t>
  </si>
  <si>
    <t>MZ세대 금융 투자 정보 탐색 채널</t>
  </si>
  <si>
    <t>비주얼아이덴티티</t>
  </si>
  <si>
    <t>앰플리튜드 차트</t>
  </si>
  <si>
    <t>DMC 미디어 AEO</t>
  </si>
  <si>
    <t>주류트렌드보고서 저당</t>
  </si>
  <si>
    <t>디프레임 aeo 분석</t>
  </si>
  <si>
    <t>온라인 오프라인 커뮤니케이션</t>
  </si>
  <si>
    <t>휴머노이드 짤</t>
  </si>
  <si>
    <t>쇼셜미디어데이터</t>
  </si>
  <si>
    <t>DMC미디어 블로그</t>
  </si>
  <si>
    <t>중저가패션</t>
  </si>
  <si>
    <t>gs홈쇼핑 인터넷</t>
  </si>
  <si>
    <t>메타 세팅 관련 미디어</t>
  </si>
  <si>
    <t>앰플리튜드 개념</t>
  </si>
  <si>
    <t>공과금 내는 모임</t>
  </si>
  <si>
    <t>앰플리튜드 프로퍼티</t>
  </si>
  <si>
    <t>동료입사 10주년 선물</t>
  </si>
  <si>
    <t>엠플리튜드 UID 확인</t>
  </si>
  <si>
    <t>세븐일레븐 소용량 화장품</t>
  </si>
  <si>
    <t>쿠팡 티빙 광고</t>
  </si>
  <si>
    <t>스트림플레이션 뜻</t>
  </si>
  <si>
    <t>DMC 미디어 디지털 광고 효과 2026</t>
  </si>
  <si>
    <t>촬영실록</t>
  </si>
  <si>
    <t>티빙 광고 대행사</t>
  </si>
  <si>
    <t>[한국OOH광고학회] 2026 춘계 정기학술대회</t>
  </si>
  <si>
    <t>소비자 53.2% '내 피부 적합성' 최우선 / 25~29세 여성 65.7% 2025년 뷰티 소비 트렌드 조사</t>
  </si>
  <si>
    <t>m브랜딩 da</t>
  </si>
  <si>
    <t>DMC 리포트 매체별 리포트</t>
  </si>
  <si>
    <t>d saio</t>
  </si>
  <si>
    <t>마케팅 웨비나</t>
  </si>
  <si>
    <t>로켓위젯</t>
  </si>
  <si>
    <t>dmc AEO GEO</t>
  </si>
  <si>
    <t>앰플리튜드 Conversion</t>
  </si>
  <si>
    <t>넷플릭스 광고 대행</t>
  </si>
  <si>
    <t>dmc미디어 웨비나</t>
  </si>
  <si>
    <t>pDOOH</t>
  </si>
  <si>
    <t>ADVoost 쇼핑 광고 비용 계산 방법</t>
  </si>
  <si>
    <t>ga gtm 권한부여</t>
  </si>
  <si>
    <t>의류브랜드 쉬인</t>
  </si>
  <si>
    <t>아이돌 세계관</t>
  </si>
  <si>
    <t>pdooh</t>
  </si>
  <si>
    <t>네이버지도 스플래시</t>
  </si>
  <si>
    <t>DMC미디어 ABBE</t>
  </si>
  <si>
    <t>디엠씨미디어 렙사</t>
  </si>
  <si>
    <t>마케팅 셀퍼란</t>
  </si>
  <si>
    <t>네이버 쇼케이스 EAST</t>
  </si>
  <si>
    <t>메타 스티커 CTA</t>
  </si>
  <si>
    <t>쿠팡 광고 리테일 미디어</t>
  </si>
  <si>
    <t>우천시 창립기념행사</t>
  </si>
  <si>
    <t>여성중저가의류브랜드</t>
  </si>
  <si>
    <t>카카오 플친 메세지 소재 형태별 특징</t>
  </si>
  <si>
    <t>네이버 보상형 광고 nosp</t>
  </si>
  <si>
    <t>잡화 트렌드</t>
  </si>
  <si>
    <t>영화 왕과사는남자 마케팅</t>
  </si>
  <si>
    <t>왕사남 노션 실록</t>
  </si>
  <si>
    <t>톡딜 선물하기와 일반 선물하기의 차이점이 궁금해요</t>
  </si>
  <si>
    <t>로켓 위젯 앱</t>
  </si>
  <si>
    <t>wendy’s 브랜드페르소나</t>
  </si>
  <si>
    <t>왕과사는남자 비하인드 notion</t>
  </si>
  <si>
    <t>촬영 실록 노션 페이지 링크</t>
  </si>
  <si>
    <t>무신사 스플래시 배너</t>
  </si>
  <si>
    <t>디엠씨미디어 인사총무</t>
  </si>
  <si>
    <t>캐릭터콜라보 제품 나이별 구매비중</t>
  </si>
  <si>
    <t>데이터 기반 퍼포먼스 마케팅 원리</t>
  </si>
  <si>
    <t>식음료업종 트렌드</t>
  </si>
  <si>
    <t>쿠팡플레이 티빙 광고대행</t>
  </si>
  <si>
    <t>크리테오 프로스펙팅</t>
  </si>
  <si>
    <t>감다살 브랜드</t>
  </si>
  <si>
    <t>리테일 미디어 사례</t>
  </si>
  <si>
    <t>콜라보 굿즈 레포트</t>
  </si>
  <si>
    <t>토스 게임 광고</t>
  </si>
  <si>
    <t>토스애즈 커스텀 타겟팅</t>
  </si>
  <si>
    <t>메타 트랜딩 애즈</t>
  </si>
  <si>
    <t>SNT미디어가 제공하는 광고 상품 종류는 무엇인가요?</t>
  </si>
  <si>
    <t>카톡 프로필 업데이트 광고</t>
  </si>
  <si>
    <t>그로타치온유통기안6개월넘는데먹어되나요</t>
  </si>
  <si>
    <t>쉬인 플랫폼</t>
  </si>
  <si>
    <t>중가 옷브랜드</t>
  </si>
  <si>
    <t>카카오톡 선물하기와 톡스토어의 차이점이 궁금해요</t>
  </si>
  <si>
    <t>코비 유튜브 프리미엄 유저 타겟팅</t>
  </si>
  <si>
    <t>Pinterest video downloader</t>
  </si>
  <si>
    <t>amplitude organization 만들기</t>
  </si>
  <si>
    <t>da 광고 성과 목표</t>
  </si>
  <si>
    <t>휴먼파티데이터</t>
  </si>
  <si>
    <t>메타버스와 관련된 웨어러블 기기 종류 알려주세요</t>
  </si>
  <si>
    <t>dmc미디어 블로그</t>
  </si>
  <si>
    <t>DMC미디어 이인성</t>
  </si>
  <si>
    <t>옷 협찬을 받을 수 있는 플랫폼에는 어떤 것이 있나요</t>
  </si>
  <si>
    <t>dmc미디어 쿠팡플레이</t>
  </si>
  <si>
    <t>ga 계정 관리</t>
  </si>
  <si>
    <t>ai 인간 짤</t>
  </si>
  <si>
    <t>미디어믹스</t>
  </si>
  <si>
    <t>리테일 미디어 네트워크 제 3의 물결</t>
  </si>
  <si>
    <t>카카오 메타</t>
  </si>
  <si>
    <t>다이소 전용 서브 브랜드</t>
  </si>
  <si>
    <t>세종대왕 맥북프로 던짐사건</t>
  </si>
  <si>
    <t>메타 릴스 트렌딩 광고</t>
  </si>
  <si>
    <t>온드미디어 geo 15%</t>
  </si>
  <si>
    <t>핀터레스트 가수 홍보</t>
  </si>
  <si>
    <t>AEO마케팅 제안서</t>
  </si>
  <si>
    <t>키친플래그 후기</t>
  </si>
  <si>
    <t>당근광고 동영상</t>
  </si>
  <si>
    <t>MZ세대 대상 한정판 마케팅 효과 통계 자료 알려주세요</t>
  </si>
  <si>
    <t>헌혈의집 마케팅</t>
  </si>
  <si>
    <t>다이소 서브브랜드</t>
  </si>
  <si>
    <t>의류 소비트렌드 데이터</t>
  </si>
  <si>
    <t>LightweightMMM</t>
  </si>
  <si>
    <t>레디코어 트렌드에서 MZ세대가 선호하는 합리적인 가격대 뷰티 제품 알려주세요</t>
  </si>
  <si>
    <t>토스 지나친 광고</t>
  </si>
  <si>
    <t>디싸이오</t>
  </si>
  <si>
    <t>네이버 ai탭 광고</t>
  </si>
  <si>
    <t>최신 자동차 광고 카피</t>
  </si>
  <si>
    <t>집안 삼신기</t>
  </si>
  <si>
    <t>옷 앱 순위</t>
  </si>
  <si>
    <t>네이버 플레이스 4월 노출 지면</t>
  </si>
  <si>
    <t>2025년 뷰티 제품 소비 빅데이터 트렌드 알려주세요</t>
  </si>
  <si>
    <t>카카오 알림톡, 카플친</t>
  </si>
  <si>
    <t>쿠팡콜라보클럽 협업 캐릭터 상품 목록 알려주세요</t>
  </si>
  <si>
    <t>해운대 미디어타워 미디어폴 입찰</t>
  </si>
  <si>
    <t>중가여성의류</t>
  </si>
  <si>
    <t>넷플릭스 광고판매대행사</t>
  </si>
  <si>
    <t>적십자 아이돌 뱀파이어</t>
  </si>
  <si>
    <t>왕과사는남자 마케팅</t>
  </si>
  <si>
    <t>앰플리튜드 계정 조직 연결</t>
  </si>
  <si>
    <t>웨비나 매체</t>
  </si>
  <si>
    <t>카카오톡 채널 친구추가 처음뜨는 메시지</t>
  </si>
  <si>
    <t>비지오 TV</t>
  </si>
  <si>
    <t>노션 아카이브 만들기</t>
  </si>
  <si>
    <t>카카오톡채널 카달로그형</t>
  </si>
  <si>
    <t>웬디스데이 뜻</t>
  </si>
  <si>
    <t>타불라 지면</t>
  </si>
  <si>
    <t>공식블로그 네이버블로그</t>
  </si>
  <si>
    <t>토스 리워드 광고</t>
  </si>
  <si>
    <t>DMC d.saio</t>
  </si>
  <si>
    <t>토쓰애즈 광고 효율</t>
  </si>
  <si>
    <t>aespa pinterest</t>
  </si>
  <si>
    <t>초저가 의류 소비는 합리적소비?</t>
  </si>
  <si>
    <t>040mbcon육ㄱ킹남육아대디39회</t>
  </si>
  <si>
    <t>pdooh 경매</t>
  </si>
  <si>
    <t>타불라 마케팅</t>
  </si>
  <si>
    <t>대한적십자사 아이돌</t>
  </si>
  <si>
    <t>인디 셀링포인트 건강기능식품</t>
  </si>
  <si>
    <t>토스ads</t>
  </si>
  <si>
    <t>각자 할 일하는 모임</t>
  </si>
  <si>
    <t>롯데 자일리톨 껌 브랜드 노후화</t>
  </si>
  <si>
    <t>젠지 세대 대상 고급 브랜드 디지털 프로모션 사례 알려주세요</t>
  </si>
  <si>
    <t>반복되는리포트앱데이터를AI 토스</t>
  </si>
  <si>
    <t>카카오톡에 Z013 추가하고 "888"음 보내시면</t>
  </si>
  <si>
    <t>패션 CS 담당자 네트워크</t>
  </si>
  <si>
    <t>디토소비 예시 광고</t>
  </si>
  <si>
    <t>메타 전환캠페인 슬라이드</t>
  </si>
  <si>
    <t>앰플리튜드 CDP</t>
  </si>
  <si>
    <t>5월 데이터</t>
  </si>
  <si>
    <t>디엠씨미디어 '디프레임', 데이터·GEO 웨비나로 마케팅 성과 극대화 전략 공유</t>
  </si>
  <si>
    <t>4m 54s</t>
  </si>
  <si>
    <t>Google</t>
  </si>
  <si>
    <t>디엠씨미디어, AI 브랜드 측정 체계 'ABBE' 통한 D.SaiO 중심 GEO 전략 고도화</t>
  </si>
  <si>
    <t>알쏭달쏭한 카카오 채널 메시지 유형 구분해보기</t>
  </si>
  <si>
    <t>디엠씨미디어, 넷플릭스·티빙·쿠팡플레이까지…OTT 광고시장의 'Key Player'</t>
  </si>
  <si>
    <t>2026.01</t>
  </si>
  <si>
    <t>연령이 낮을수록 유용한 습관(루틴) 형성 의향 낮아 … 서로 독려하며 각자 할 일을 해내는 오프라인 모임, 어드민 나이트(Admin Night) 부상</t>
  </si>
  <si>
    <t>영화 ‘왕과 사는 남자’ 열풍의 숨은 공신 쇼박스, 관객과 소통하기 위해 공유한 ‘촬영 실록’ 콘텐츠를 흥행의 동력으로 전환</t>
  </si>
  <si>
    <t>디엠씨미디어의 4월 모임, 월간 디톡스(D-talks) 현장 스케치</t>
  </si>
  <si>
    <t>월간 순방문자 추이</t>
  </si>
  <si>
    <t>디엠씨미디어의 5월 모임, 월간 디톡스(D-talks) 현장 스케치</t>
  </si>
  <si>
    <t>5월 11일</t>
  </si>
  <si>
    <t>5월 12일</t>
  </si>
  <si>
    <t>5월 13일</t>
  </si>
  <si>
    <t>5월 14일</t>
  </si>
  <si>
    <t>5월 15일</t>
  </si>
  <si>
    <t>5월 18일</t>
  </si>
  <si>
    <t>5월 19일</t>
  </si>
  <si>
    <t>5월 20일</t>
  </si>
  <si>
    <t>5월 21일</t>
  </si>
  <si>
    <t>5월 22일</t>
  </si>
  <si>
    <t>5월 23일</t>
  </si>
  <si>
    <t>4.55%</t>
  </si>
  <si>
    <t>5월 26일</t>
  </si>
  <si>
    <t>5월 27일</t>
  </si>
  <si>
    <t>5월 28일</t>
  </si>
  <si>
    <t>5월 29일</t>
  </si>
  <si>
    <t>5월 30일</t>
  </si>
  <si>
    <t>5월 31일</t>
  </si>
  <si>
    <t>7.41%</t>
  </si>
  <si>
    <t>5월 4일</t>
  </si>
  <si>
    <t>5월 6일</t>
  </si>
  <si>
    <t>5월 7일</t>
  </si>
  <si>
    <t>1.49%</t>
  </si>
  <si>
    <t>2.99%</t>
  </si>
  <si>
    <t>5월 8일</t>
  </si>
  <si>
    <t>5월 10일</t>
  </si>
  <si>
    <t>5월 24일</t>
  </si>
  <si>
    <t>5월 2일</t>
  </si>
  <si>
    <t>5월 5일</t>
  </si>
  <si>
    <t>8.51%</t>
  </si>
  <si>
    <t>5월 17일</t>
  </si>
  <si>
    <t>5월 16일</t>
  </si>
  <si>
    <t>5월 1일</t>
  </si>
  <si>
    <t>5월 25일</t>
  </si>
  <si>
    <t>쿠팡플레이/티빙</t>
  </si>
  <si>
    <t>5월 3일</t>
  </si>
  <si>
    <t>People/기타</t>
  </si>
  <si>
    <t>네이버 AI광고</t>
  </si>
  <si>
    <t>5월 9일</t>
  </si>
  <si>
    <t>식음료/뷰티 트렌드</t>
  </si>
  <si>
    <t>중저가 의류</t>
  </si>
  <si>
    <t>리테일 미디어/OOH</t>
  </si>
  <si>
    <t>메타</t>
  </si>
  <si>
    <t>에스파/핀터레스트</t>
  </si>
  <si>
    <t>헌혈 캠페인</t>
  </si>
  <si>
    <t>당근마켓</t>
  </si>
  <si>
    <t>넷플릭스</t>
  </si>
  <si>
    <t>스트리밍/OTT</t>
  </si>
  <si>
    <t>개인화 AI 희망하는 소비자 연령대</t>
  </si>
  <si>
    <t>컬리n마트</t>
  </si>
  <si>
    <t>한국광고학회 학술대회</t>
  </si>
  <si>
    <t>No 1. 패션 B2B 커머스 플랫폼</t>
  </si>
  <si>
    <t>로켓위쳇</t>
  </si>
  <si>
    <t>rocket widget</t>
  </si>
  <si>
    <t>글로벌 소비 트렌드 2025-26 그래프</t>
  </si>
  <si>
    <t>다이소 뷰티 브랜드</t>
  </si>
  <si>
    <t>직급 SA 뜻</t>
  </si>
  <si>
    <t>넷플릭스 정주행광고모음</t>
  </si>
  <si>
    <t>ifme 사이즈</t>
  </si>
  <si>
    <t>옷 플랫폼</t>
  </si>
  <si>
    <t>당근마켓 동영상 광고</t>
  </si>
  <si>
    <t>카카오톡 선물하기에서 성공한 브랜드 사례를 알려주세요</t>
  </si>
  <si>
    <t>당근 전문가모드 하는법</t>
  </si>
  <si>
    <t>옷플랫폼</t>
  </si>
  <si>
    <t>로켓 위젯</t>
  </si>
  <si>
    <t>카카오톡 플친 웰컴메시지 ★★★★★ 해당 문자 조합 알려주세요</t>
  </si>
  <si>
    <t>쇼박스 실록</t>
  </si>
  <si>
    <t>웬디스 national roast day</t>
  </si>
  <si>
    <t>무신사 당근 카탈로그 광고 기반 개인화</t>
  </si>
  <si>
    <t>컬리N마트</t>
  </si>
  <si>
    <t>스페셜da 모바일 의료기관</t>
  </si>
  <si>
    <t>옷 플랫품</t>
  </si>
  <si>
    <t>태풍상사 마케팅</t>
  </si>
  <si>
    <t>중저가 브랜드 여성의류</t>
  </si>
  <si>
    <t>왕과 사는 남자 촬영 실록</t>
  </si>
  <si>
    <t>토스애즈잠재고객</t>
  </si>
  <si>
    <t>헌혈 참여독려</t>
  </si>
  <si>
    <t>태풍상사 마케팅 사례</t>
  </si>
  <si>
    <t>ga 세션수 뜻</t>
  </si>
  <si>
    <t>컬리n마트 멤버십</t>
  </si>
  <si>
    <t>하이퍼 로컬 마케팅</t>
  </si>
  <si>
    <t>헌혈캠페인</t>
  </si>
  <si>
    <t>네이버 검색광고 에셋 텍스트</t>
  </si>
  <si>
    <t>티몬 대체할 수 있는 중저가 의류 쇼핑몰 알려주세요</t>
  </si>
  <si>
    <t>중저가 패션 브랜드</t>
  </si>
  <si>
    <t>당근 전문가모드 맞춤타겟</t>
  </si>
  <si>
    <t>헌혈 인식</t>
  </si>
  <si>
    <t>카톡플친 메세지 소식올리기 차이</t>
  </si>
  <si>
    <t>카카오t 택시 핀테마</t>
  </si>
  <si>
    <t>키친플래그</t>
  </si>
  <si>
    <t>디엠씨미디어 D.SaiO</t>
  </si>
  <si>
    <t>카카오 플친 유형</t>
  </si>
  <si>
    <t>여성 중저가 의류 브랜드</t>
  </si>
  <si>
    <t>키워드마스터</t>
  </si>
  <si>
    <t>디엠씨미디어 솔루션</t>
  </si>
  <si>
    <t>카카오t rse광고</t>
  </si>
  <si>
    <t>한국광고학회 가을철 학술대회 2024</t>
  </si>
  <si>
    <t>패션잡화 업종 보고서</t>
  </si>
  <si>
    <t>DMC미디어 무료 광고 리포트 종류와 열람 방법 그래프</t>
  </si>
  <si>
    <t>두산베어스 케릭터</t>
  </si>
  <si>
    <t>당근 동영상</t>
  </si>
  <si>
    <t>한국광고학회 학술대회 2025</t>
  </si>
  <si>
    <t>모디슈머 제품</t>
  </si>
  <si>
    <t>ai 연령대 별 접근 표</t>
  </si>
  <si>
    <t>왕과사는남자 촬영실록비하인드  2.70%</t>
  </si>
  <si>
    <t>컬리N마트 거래액</t>
  </si>
  <si>
    <t>한국광고학회 춘계 학술대회</t>
  </si>
  <si>
    <t>광고학회 학술대회 2026</t>
  </si>
  <si>
    <t>근속 수상 소감문 작성 팁 알려주세요</t>
  </si>
  <si>
    <t>토스 CPC광고</t>
  </si>
  <si>
    <t>2026년 방송 디지털 광고</t>
  </si>
  <si>
    <t>DMC리포트</t>
  </si>
  <si>
    <t>모란네이버인스타메타회사위치</t>
  </si>
  <si>
    <t>2030건강 보험 상품 치수</t>
  </si>
  <si>
    <t>저당 제품 소비자 연령 조사 결과</t>
  </si>
  <si>
    <t>옷 쇼핑앱 순위</t>
  </si>
  <si>
    <t>의류 플래폼</t>
  </si>
  <si>
    <t>토스 리드폼으로 잠재고객 모으기 방법은?</t>
  </si>
  <si>
    <t>f&amp;b 마케팅</t>
  </si>
  <si>
    <t>엠넷 스플래시 배너</t>
  </si>
  <si>
    <t>ai구독료 가전제품 30 만원이상</t>
  </si>
  <si>
    <t>mmm 구글</t>
  </si>
  <si>
    <t>카톡 업데이트 프로필 광고</t>
  </si>
  <si>
    <t>휴먼 파티 데이터</t>
  </si>
  <si>
    <t>당근마켓 전문가모드와 간편모드의 차이점이 궁금해요</t>
  </si>
  <si>
    <t>DMC미디어 생일복지</t>
  </si>
  <si>
    <t>2025년 의류 생산량 알려주세요</t>
  </si>
  <si>
    <t>두산 망그러진곰 유니폼</t>
  </si>
  <si>
    <t>옷 플렛폼</t>
  </si>
  <si>
    <t>SNS 비교</t>
  </si>
  <si>
    <t>네이버 비지니스 키워드</t>
  </si>
  <si>
    <t>왕과 사는 남자 소품팀</t>
  </si>
  <si>
    <t>AI최적화 DMC 담당자</t>
  </si>
  <si>
    <t>amplitude api</t>
  </si>
  <si>
    <t>업데이트 프로필 광고</t>
  </si>
  <si>
    <t>의류플랫폼</t>
  </si>
  <si>
    <t>sns 마케팅이 의류구매에 미치는 영향</t>
  </si>
  <si>
    <t>카톡 업데이트프로필 광고</t>
  </si>
  <si>
    <t>중저가의류브렌드</t>
  </si>
  <si>
    <t>엔하이픈 뱀파이어 세계관</t>
  </si>
  <si>
    <t>컬리 n</t>
  </si>
  <si>
    <t>2025년 뷰티 소비자 평균 지출 금액 알려주세요</t>
  </si>
  <si>
    <t>카톡 업데이트 광고</t>
  </si>
  <si>
    <t>유저 세그먼트</t>
  </si>
  <si>
    <t>D SAIO</t>
  </si>
  <si>
    <t>DMC 리포트 의류 소셜미디어</t>
  </si>
  <si>
    <t>대한적십자사 헌혈캠페인</t>
  </si>
  <si>
    <t>카톡 업데이트 프로필광고 뜨서</t>
  </si>
  <si>
    <t>의류 플렛폼</t>
  </si>
  <si>
    <t>컴패니언 로봇볼리 구매</t>
  </si>
  <si>
    <t>DMC 블로그</t>
  </si>
  <si>
    <t>크리테오 어워즈 선물</t>
  </si>
  <si>
    <t>디엠씨미디어 SEO 솔루션</t>
  </si>
  <si>
    <t>의류중저가브렌드</t>
  </si>
  <si>
    <t>당근 간편모드 전문가모드</t>
  </si>
  <si>
    <t>카카오채널 메세지와 모먼트 차이</t>
  </si>
  <si>
    <t>marketing mix modeling</t>
  </si>
  <si>
    <t>카톡 프로필 업데이트광고</t>
  </si>
  <si>
    <t>카카오톡 선물하기 광고 수상작</t>
  </si>
  <si>
    <t>TV광고 영향력</t>
  </si>
  <si>
    <t>릴스 트렌딩 광고 CPM 단가</t>
  </si>
  <si>
    <t>카톡 프로필 엽데이트 광고</t>
  </si>
  <si>
    <t>소비자가 과거에 접한 광고나 마케팅 활동으로 인해</t>
  </si>
  <si>
    <t>F&amp;B 마케팅</t>
  </si>
  <si>
    <t>sns 비교</t>
  </si>
  <si>
    <t>엠넷플러스 광고상품소개서</t>
  </si>
  <si>
    <t>D.saio</t>
  </si>
  <si>
    <t>20~40대는 AI를 가장 적극적으로 활용하는 동시에 높은 신뢰를 보이는 세대로, AI 생성물에 대한 비판적 검증 없이 수용하는 경향이 나타난다.</t>
  </si>
  <si>
    <t>카카오 모밀리티 매체 광고 건</t>
  </si>
  <si>
    <t>디엠씨미디어 후기</t>
  </si>
  <si>
    <t>DMC미디어 디지털 광고 성과 보고</t>
  </si>
  <si>
    <t>카카오모먼트 카플친</t>
  </si>
  <si>
    <t>소비자 구매 여정</t>
  </si>
  <si>
    <t>토스애즈 광고 방법</t>
  </si>
  <si>
    <t>네이버 ADVoost쇼핑 광고 노출 위치</t>
  </si>
  <si>
    <t>핀터레스트 색상 검색</t>
  </si>
  <si>
    <t>유동인구분석</t>
  </si>
  <si>
    <t>GEO-D</t>
  </si>
  <si>
    <t>촬영 실록</t>
  </si>
  <si>
    <t>디엠씨 비엔나</t>
  </si>
  <si>
    <t>태풍상사 한컴타자</t>
  </si>
  <si>
    <t>모비엠 광고</t>
  </si>
  <si>
    <t>엔하이픈 세계관 헌혈</t>
  </si>
  <si>
    <t>2025 건강기능식품 프리미엄시장</t>
  </si>
  <si>
    <t>카카오채널 메시지 이미지</t>
  </si>
  <si>
    <t>토스 성과 페이지</t>
  </si>
  <si>
    <t>패션 소비자는 제품보다 착용 스타일 탐색 선호</t>
  </si>
  <si>
    <t>앰플리튜드 경로분석</t>
  </si>
  <si>
    <t>카카오 플친톡 카탈로그 광고</t>
  </si>
  <si>
    <t>4월 15일</t>
  </si>
  <si>
    <t>4월 16일</t>
  </si>
  <si>
    <t>4월 17일</t>
  </si>
  <si>
    <t>4월 18일</t>
  </si>
  <si>
    <t>4월 19일</t>
  </si>
  <si>
    <t>4월 20일</t>
  </si>
  <si>
    <t>4월 21일</t>
  </si>
  <si>
    <t>Samsung Ads "Performance TV"</t>
  </si>
  <si>
    <t>디엠씨미디어 공채</t>
  </si>
  <si>
    <t>dmc공식몰</t>
  </si>
  <si>
    <t>2025 의류 구매 사용 채널 통계</t>
  </si>
  <si>
    <t>50대 이상 여성 → 화장품 구매금액 및 비중 지속 증가 방문판매 채널 → 중장년층 소비 증가로 회복세</t>
  </si>
  <si>
    <t>응원에 사자성어</t>
  </si>
  <si>
    <t>10년 장기근속 수상 소감 짧은 예시 알려주세요</t>
  </si>
  <si>
    <t>바나나우유 프로모션 굿즈</t>
  </si>
  <si>
    <t>다이소 뷰티 업계</t>
  </si>
  <si>
    <t>2025 의류 구매 채널 통계</t>
  </si>
  <si>
    <t>Lavidge &amp; Steiner 효과의 위계</t>
  </si>
  <si>
    <t>GA4 권한부여</t>
  </si>
  <si>
    <t>굿즈 소비 연령</t>
  </si>
  <si>
    <t>당근 전문가모드광고방법</t>
  </si>
  <si>
    <t>kb da 배너광고</t>
  </si>
  <si>
    <t>바이콧 2030 영향</t>
  </si>
  <si>
    <t>당근마켓 광고 전문가모드</t>
  </si>
  <si>
    <t>왕과사는남자 실록 노션</t>
  </si>
  <si>
    <t>미디어월 매체 구매</t>
  </si>
  <si>
    <t>당근마켓광고전문가모드사업자</t>
  </si>
  <si>
    <t>네이버나 구글 온라인광고에 도움을 줄 수 있는 AI</t>
  </si>
  <si>
    <t>하림odd 택배사</t>
  </si>
  <si>
    <t>중저가의류브랜드</t>
  </si>
  <si>
    <t>세정티슈 니즈 물자국</t>
  </si>
  <si>
    <t>헌혈캠페인뜻</t>
  </si>
  <si>
    <t>앰플리튜드 유저 아이디</t>
  </si>
  <si>
    <t>위버스 vod 썸네일</t>
  </si>
  <si>
    <t>생수시장</t>
  </si>
  <si>
    <t>ai 패션진단</t>
  </si>
  <si>
    <t>ai 기반 소비자 구매 여정 모델</t>
  </si>
  <si>
    <t>이벤트 프로퍼티</t>
  </si>
  <si>
    <t>당근 전문가모드 제휴마케팅</t>
  </si>
  <si>
    <t>가정용 ai 로봇</t>
  </si>
  <si>
    <t>중고나라 배너 가이드</t>
  </si>
  <si>
    <t>amplitude ga 차이</t>
  </si>
  <si>
    <t>카톡 업데이트 프로필 누루면 광고가 나와요</t>
  </si>
  <si>
    <t>locket 광고</t>
  </si>
  <si>
    <t>네이버 AI광고 학습제한</t>
  </si>
  <si>
    <t>핀터레스트 신곡홍보</t>
  </si>
  <si>
    <t>팬덤 헌혈 캠페인</t>
  </si>
  <si>
    <t>헌혈 인식 팝업</t>
  </si>
  <si>
    <t>리스닝마인드 2025 건강기능식품 시장 인텐트 데이터 리포트</t>
  </si>
  <si>
    <t>렙사 디엠씨</t>
  </si>
  <si>
    <t>명품화장품과 중저가화장품 품질비교</t>
  </si>
  <si>
    <t>amplitude</t>
  </si>
  <si>
    <t>전문가모드에서 카탈로그 광고는 어떻게 운영하나요?</t>
  </si>
  <si>
    <t>앰플리튜드 퍼널 바 차트</t>
  </si>
  <si>
    <t>디엠씨미디어 당근</t>
  </si>
  <si>
    <t>토스 데이터 수집</t>
  </si>
  <si>
    <t>스페셜 da 어포던스 영상</t>
  </si>
  <si>
    <t>토스애즈 광고 입찰</t>
  </si>
  <si>
    <t>오늘의 집 - 라이프스타일 슈퍼앱</t>
  </si>
  <si>
    <t>터치애드</t>
  </si>
  <si>
    <t>패션커머스</t>
  </si>
  <si>
    <t>카카오톡 소식 조회수</t>
  </si>
  <si>
    <t>2025년 나스미디어 화장품 트렌드 보고서 소비자는 SNS</t>
  </si>
  <si>
    <t>sns비교</t>
  </si>
  <si>
    <t>설 명절 간편식 소비 증가</t>
  </si>
  <si>
    <t>매료 화장품</t>
  </si>
  <si>
    <t>네이버 AI광고 노출 올리는법</t>
  </si>
  <si>
    <t>nosp 치지직 lck</t>
  </si>
  <si>
    <t>tving 광고대행사</t>
  </si>
  <si>
    <t>2025 의류 업종 보고서 dmc</t>
  </si>
  <si>
    <t>삼신기 가전</t>
  </si>
  <si>
    <t>uv유입용 토스</t>
  </si>
  <si>
    <t>대학내일20대연구소, Z세대 소셜 미디어 이용 행태 조사 (2025)</t>
  </si>
  <si>
    <t>디엠씨 건강관리</t>
  </si>
  <si>
    <t>온드 미디어 배경</t>
  </si>
  <si>
    <t>세계 광고 기업 몰락 it 광고 성장중</t>
  </si>
  <si>
    <t>엔하이픈 헌혈</t>
  </si>
  <si>
    <t>dooh 제안서</t>
  </si>
  <si>
    <t>dmc패션몰</t>
  </si>
  <si>
    <t>쇼박스 마케팅</t>
  </si>
  <si>
    <t>네이버 스플래시 지도 광고</t>
  </si>
  <si>
    <t>하림장보기</t>
  </si>
  <si>
    <t>왕과 사는 남자 촬영실록 노션 페이지 접속 방법 알려주세요</t>
  </si>
  <si>
    <t>태풍상사 광고</t>
  </si>
  <si>
    <t>네이버 월드컵 방송 구좌</t>
  </si>
  <si>
    <t>크리테오 최신 트렌드 리포트</t>
  </si>
  <si>
    <t>왕과사는 남자 쇼박스 노션</t>
  </si>
  <si>
    <t>핀터레스트 검색 팁</t>
  </si>
  <si>
    <t>ip 챌린지</t>
  </si>
  <si>
    <t>ADVoost 쇼핑 자사몰</t>
  </si>
  <si>
    <t>카카오톡 체널 메세지 카카오모먼트 차이</t>
  </si>
  <si>
    <t>효돌이 돌봄로봇</t>
  </si>
  <si>
    <t>가전 매장 구매 데이터</t>
  </si>
  <si>
    <t>압구정백야</t>
  </si>
  <si>
    <t>네이버AI광고 어디에 어떻게 노출되나요?</t>
  </si>
  <si>
    <t>DMC레포트</t>
  </si>
  <si>
    <t>여기어때 mnet</t>
  </si>
  <si>
    <t>디엠씨미디어 실무자를 위한 데이터 기반 마케팅</t>
  </si>
  <si>
    <t>당근에 동영상 광고</t>
  </si>
  <si>
    <t>타겟 소비자들의 온라인몰 의류 구매 성향</t>
  </si>
  <si>
    <t>핀터레스트 에스파 계정</t>
  </si>
  <si>
    <t>가전 다품목 구매 높음 데이터</t>
  </si>
  <si>
    <t>d.metrics</t>
  </si>
  <si>
    <t>dmc미디어 장기근속</t>
  </si>
  <si>
    <t>locket widget</t>
  </si>
  <si>
    <t>화장품 구매 경로</t>
  </si>
  <si>
    <t>디지털 플랫폼 온라인거래</t>
  </si>
  <si>
    <t>토스 crm</t>
  </si>
  <si>
    <t>네이버 브랜드 스토어 광고</t>
  </si>
  <si>
    <t>중저가 패션</t>
  </si>
  <si>
    <t>티빙 쿠팡</t>
  </si>
  <si>
    <t>리테일미디어</t>
  </si>
  <si>
    <t>eldpaTl 미디어</t>
  </si>
  <si>
    <t>디엠씨미디어 퍼포먼스</t>
  </si>
  <si>
    <t>Admin night</t>
  </si>
  <si>
    <t>디플로우 디엠씨미디어</t>
  </si>
  <si>
    <t>국내의류 중저가 명품브랜드</t>
  </si>
  <si>
    <t>에스파 핀터</t>
  </si>
  <si>
    <t>온드</t>
  </si>
  <si>
    <t>티빙 쿠팡플레이</t>
  </si>
  <si>
    <t>옷 플래폼</t>
  </si>
  <si>
    <t>카카오모빌리티 매체설명회</t>
  </si>
  <si>
    <t>트래블웰렛 광고 단가</t>
  </si>
  <si>
    <t>네이버 선물 지면</t>
  </si>
  <si>
    <t>엠넷플러스 mau</t>
  </si>
  <si>
    <t>카카오톡 채널 기존 유형 번경</t>
  </si>
  <si>
    <t>4월 데이터</t>
  </si>
  <si>
    <t>30.14%</t>
  </si>
  <si>
    <t>17.25%</t>
  </si>
  <si>
    <t>패션 커머스 주요 3개 플랫폼의 광고상품 살펴보기</t>
  </si>
  <si>
    <t>11.81%</t>
  </si>
  <si>
    <t>디엠씨미디어, &lt;실무자를 위한 데이터 기반 마케팅 &amp; AI 검색 최적화&gt; 웨비나 개최</t>
  </si>
  <si>
    <t>5.90%</t>
  </si>
  <si>
    <t>9.59%</t>
  </si>
  <si>
    <t>격주 DMCian l 인터뷰 차례 지나간 줄 알았는데 하자고 해서 또 열심히 하고 온 디엠씨미디어 뉴페이스 세사람</t>
  </si>
  <si>
    <t>4m 20s</t>
  </si>
  <si>
    <t>9.51%</t>
  </si>
  <si>
    <t>의류소비자 60% "중저가 브랜드 사" 패션시장 판도 흔드는 초저가 플랫폼 '쉬인'</t>
  </si>
  <si>
    <t>요리조리 살펴보는 카카오톡 전면형 광고</t>
  </si>
  <si>
    <t>영화 '왕과 사는 남자' 열풍의 숨은 공신 쇼박스, '촬영 실록' 콘텐츠를 흥행의 동력으로 전환</t>
  </si>
  <si>
    <t>2025.12</t>
  </si>
  <si>
    <t>디엠씨미디어의 3월 모임, 월간 디톡스(D-talks) 현장 스케치</t>
  </si>
  <si>
    <t>75.00%</t>
  </si>
  <si>
    <t>2.07%</t>
  </si>
  <si>
    <t>1.07%</t>
  </si>
  <si>
    <t>0.61%</t>
  </si>
  <si>
    <t>0.54%</t>
  </si>
  <si>
    <t>0.46%</t>
  </si>
  <si>
    <t>4월 3일</t>
  </si>
  <si>
    <t>4월 5일</t>
  </si>
  <si>
    <t>4월 6일</t>
  </si>
  <si>
    <t>1.69%</t>
  </si>
  <si>
    <t>4월 4일</t>
  </si>
  <si>
    <t>4월 2일</t>
  </si>
  <si>
    <t>1.30%</t>
  </si>
  <si>
    <t>2.60%</t>
  </si>
  <si>
    <t>4월 1일</t>
  </si>
  <si>
    <t>10.81%</t>
  </si>
  <si>
    <t>8.11%</t>
  </si>
  <si>
    <t>4월 7일</t>
  </si>
  <si>
    <t>1.59%</t>
  </si>
  <si>
    <t>4월 9일</t>
  </si>
  <si>
    <t>4월 11일</t>
  </si>
  <si>
    <t>4월 10일</t>
  </si>
  <si>
    <t>4월 12일</t>
  </si>
  <si>
    <t>4월 13일</t>
  </si>
  <si>
    <t>4월 14일</t>
  </si>
  <si>
    <t>0.78%</t>
  </si>
  <si>
    <t>4월 8일</t>
  </si>
  <si>
    <t>4월 23일</t>
  </si>
  <si>
    <t>8.86%</t>
  </si>
  <si>
    <t>4월 28일</t>
  </si>
  <si>
    <t>5.80%</t>
  </si>
  <si>
    <t>4월 27일</t>
  </si>
  <si>
    <t>4월 25일</t>
  </si>
  <si>
    <t>4월 22일</t>
  </si>
  <si>
    <t>4월 26일</t>
  </si>
  <si>
    <t>4월 29일</t>
  </si>
  <si>
    <t>2.63%</t>
  </si>
  <si>
    <t>4월 30일</t>
  </si>
  <si>
    <t>9.52%</t>
  </si>
  <si>
    <t>4월 24일</t>
  </si>
  <si>
    <t>컬리</t>
  </si>
  <si>
    <t>6.82%</t>
  </si>
  <si>
    <t>3.39%</t>
  </si>
  <si>
    <t>2.53%</t>
  </si>
  <si>
    <t>1.55%</t>
  </si>
  <si>
    <t>광고학회</t>
  </si>
  <si>
    <t>엔하이픈</t>
  </si>
  <si>
    <t>15.38%</t>
  </si>
  <si>
    <t>6.98%</t>
  </si>
  <si>
    <t>3m 17s</t>
    <phoneticPr fontId="19" type="noConversion"/>
  </si>
  <si>
    <r>
      <rPr>
        <u/>
        <sz val="11"/>
        <color theme="10"/>
        <rFont val="Inherit"/>
        <family val="2"/>
      </rPr>
      <t>닥터나우의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가상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비만치료제</t>
    </r>
    <r>
      <rPr>
        <u/>
        <sz val="11"/>
        <color theme="10"/>
        <rFont val="Calibri"/>
        <family val="2"/>
      </rPr>
      <t xml:space="preserve"> '</t>
    </r>
    <r>
      <rPr>
        <u/>
        <sz val="11"/>
        <color theme="10"/>
        <rFont val="Inherit"/>
        <family val="2"/>
      </rPr>
      <t>마음자로</t>
    </r>
    <r>
      <rPr>
        <u/>
        <sz val="11"/>
        <color theme="10"/>
        <rFont val="Calibri"/>
        <family val="2"/>
      </rPr>
      <t xml:space="preserve">', </t>
    </r>
    <r>
      <rPr>
        <u/>
        <sz val="11"/>
        <color theme="10"/>
        <rFont val="Inherit"/>
        <family val="2"/>
      </rPr>
      <t>소비자의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심리적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만족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충족</t>
    </r>
    <r>
      <rPr>
        <u/>
        <sz val="11"/>
        <color theme="10"/>
        <rFont val="Calibri"/>
        <family val="2"/>
      </rPr>
      <t>+</t>
    </r>
    <r>
      <rPr>
        <u/>
        <sz val="11"/>
        <color theme="10"/>
        <rFont val="Inherit"/>
        <family val="2"/>
      </rPr>
      <t>서비스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접근성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높이는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콘텐츠로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호평</t>
    </r>
  </si>
  <si>
    <r>
      <rPr>
        <u/>
        <sz val="11"/>
        <color theme="10"/>
        <rFont val="Inherit"/>
        <family val="2"/>
      </rPr>
      <t>아주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사적인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디엠씨</t>
    </r>
    <r>
      <rPr>
        <u/>
        <sz val="11"/>
        <color theme="10"/>
        <rFont val="Calibri"/>
        <family val="2"/>
      </rPr>
      <t xml:space="preserve"> | DMCian</t>
    </r>
    <r>
      <rPr>
        <u/>
        <sz val="11"/>
        <color theme="10"/>
        <rFont val="Inherit"/>
        <family val="2"/>
      </rPr>
      <t>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특별한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한끼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Inherit"/>
        <family val="2"/>
      </rPr>
      <t>랜덤비빔밥</t>
    </r>
  </si>
  <si>
    <r>
      <rPr>
        <u/>
        <sz val="11"/>
        <color theme="10"/>
        <rFont val="Inherit"/>
        <family val="2"/>
      </rPr>
      <t>격주</t>
    </r>
    <r>
      <rPr>
        <u/>
        <sz val="11"/>
        <color theme="10"/>
        <rFont val="Calibri"/>
        <family val="2"/>
      </rPr>
      <t xml:space="preserve"> DMCian l </t>
    </r>
    <r>
      <rPr>
        <u/>
        <sz val="11"/>
        <color theme="10"/>
        <rFont val="Inherit"/>
        <family val="2"/>
      </rPr>
      <t>어디서나♪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당당하게♬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걷는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이들의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거침없는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디엠씨미디어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온보딩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성공기</t>
    </r>
  </si>
  <si>
    <r>
      <rPr>
        <u/>
        <sz val="11"/>
        <color theme="10"/>
        <rFont val="Inherit"/>
        <family val="2"/>
      </rPr>
      <t>격주</t>
    </r>
    <r>
      <rPr>
        <u/>
        <sz val="11"/>
        <color theme="10"/>
        <rFont val="Calibri"/>
        <family val="2"/>
      </rPr>
      <t xml:space="preserve"> DMCian l </t>
    </r>
    <r>
      <rPr>
        <u/>
        <sz val="11"/>
        <color theme="10"/>
        <rFont val="Inherit"/>
        <family val="2"/>
      </rPr>
      <t>시작하기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좋은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계절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Inherit"/>
        <family val="2"/>
      </rPr>
      <t>사부작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꺼내보는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디엠씨미디어의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첫페이지</t>
    </r>
  </si>
  <si>
    <r>
      <t xml:space="preserve">AI </t>
    </r>
    <r>
      <rPr>
        <u/>
        <sz val="11"/>
        <color theme="10"/>
        <rFont val="Inherit"/>
        <family val="2"/>
      </rPr>
      <t>기술로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진화한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네이티브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광고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플랫폼</t>
    </r>
    <r>
      <rPr>
        <u/>
        <sz val="11"/>
        <color theme="10"/>
        <rFont val="Calibri"/>
        <family val="2"/>
      </rPr>
      <t xml:space="preserve"> '</t>
    </r>
    <r>
      <rPr>
        <u/>
        <sz val="11"/>
        <color theme="10"/>
        <rFont val="Inherit"/>
        <family val="2"/>
      </rPr>
      <t>타불라</t>
    </r>
    <r>
      <rPr>
        <u/>
        <sz val="11"/>
        <color theme="10"/>
        <rFont val="Calibri"/>
        <family val="2"/>
      </rPr>
      <t xml:space="preserve">' </t>
    </r>
    <r>
      <rPr>
        <u/>
        <sz val="11"/>
        <color theme="10"/>
        <rFont val="Inherit"/>
        <family val="2"/>
      </rPr>
      <t>핵심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요약</t>
    </r>
  </si>
  <si>
    <r>
      <rPr>
        <u/>
        <sz val="11"/>
        <color theme="10"/>
        <rFont val="Inherit"/>
        <family val="2"/>
      </rPr>
      <t>격주</t>
    </r>
    <r>
      <rPr>
        <u/>
        <sz val="11"/>
        <color theme="10"/>
        <rFont val="Calibri"/>
        <family val="2"/>
      </rPr>
      <t xml:space="preserve"> DMCian | </t>
    </r>
    <r>
      <rPr>
        <u/>
        <sz val="11"/>
        <color theme="10"/>
        <rFont val="Inherit"/>
        <family val="2"/>
      </rPr>
      <t>고민은</t>
    </r>
    <r>
      <rPr>
        <u/>
        <sz val="11"/>
        <color theme="10"/>
        <rFont val="Calibri"/>
        <family val="2"/>
      </rPr>
      <t xml:space="preserve"> RED! </t>
    </r>
    <r>
      <rPr>
        <u/>
        <sz val="11"/>
        <color theme="10"/>
        <rFont val="Inherit"/>
        <family val="2"/>
      </rPr>
      <t>도전은</t>
    </r>
    <r>
      <rPr>
        <u/>
        <sz val="11"/>
        <color theme="10"/>
        <rFont val="Calibri"/>
        <family val="2"/>
      </rPr>
      <t xml:space="preserve"> GREEN! </t>
    </r>
    <r>
      <rPr>
        <u/>
        <sz val="11"/>
        <color theme="10"/>
        <rFont val="Inherit"/>
        <family val="2"/>
      </rPr>
      <t>도가니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사리지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않고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디엠씨미디어에서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새롭게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시작한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세사람</t>
    </r>
  </si>
  <si>
    <r>
      <rPr>
        <u/>
        <sz val="11"/>
        <color theme="10"/>
        <rFont val="Inherit"/>
        <family val="2"/>
      </rPr>
      <t>챗</t>
    </r>
    <r>
      <rPr>
        <u/>
        <sz val="11"/>
        <color theme="10"/>
        <rFont val="Calibri"/>
        <family val="2"/>
      </rPr>
      <t xml:space="preserve">GPT </t>
    </r>
    <r>
      <rPr>
        <u/>
        <sz val="11"/>
        <color theme="10"/>
        <rFont val="Inherit"/>
        <family val="2"/>
      </rPr>
      <t>검색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결과에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우리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브랜드를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띄우는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방법</t>
    </r>
    <r>
      <rPr>
        <u/>
        <sz val="11"/>
        <color theme="10"/>
        <rFont val="Calibri"/>
        <family val="2"/>
      </rPr>
      <t>(feat.</t>
    </r>
    <r>
      <rPr>
        <u/>
        <sz val="11"/>
        <color theme="10"/>
        <rFont val="Inherit"/>
        <family val="2"/>
      </rPr>
      <t>크리테오</t>
    </r>
    <r>
      <rPr>
        <u/>
        <sz val="11"/>
        <color theme="10"/>
        <rFont val="Calibri"/>
        <family val="2"/>
      </rPr>
      <t>)</t>
    </r>
  </si>
  <si>
    <r>
      <rPr>
        <u/>
        <sz val="11"/>
        <color theme="10"/>
        <rFont val="Inherit"/>
        <family val="2"/>
      </rPr>
      <t>디엠씨미디어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창립</t>
    </r>
    <r>
      <rPr>
        <u/>
        <sz val="11"/>
        <color theme="10"/>
        <rFont val="Calibri"/>
        <family val="2"/>
      </rPr>
      <t xml:space="preserve"> 24</t>
    </r>
    <r>
      <rPr>
        <u/>
        <sz val="11"/>
        <color theme="10"/>
        <rFont val="Inherit"/>
        <family val="2"/>
      </rPr>
      <t>주년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기념행사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스케치</t>
    </r>
    <r>
      <rPr>
        <u/>
        <sz val="11"/>
        <color theme="10"/>
        <rFont val="Calibri"/>
        <family val="2"/>
      </rPr>
      <t xml:space="preserve"> + D.match 2026 </t>
    </r>
    <r>
      <rPr>
        <u/>
        <sz val="11"/>
        <color theme="10"/>
        <rFont val="Inherit"/>
        <family val="2"/>
      </rPr>
      <t>시상식</t>
    </r>
  </si>
  <si>
    <r>
      <rPr>
        <u/>
        <sz val="11"/>
        <color theme="10"/>
        <rFont val="Inherit"/>
        <family val="2"/>
      </rPr>
      <t>디엠씨미디어의</t>
    </r>
    <r>
      <rPr>
        <u/>
        <sz val="11"/>
        <color theme="10"/>
        <rFont val="Calibri"/>
        <family val="2"/>
      </rPr>
      <t xml:space="preserve"> 7</t>
    </r>
    <r>
      <rPr>
        <u/>
        <sz val="11"/>
        <color theme="10"/>
        <rFont val="Inherit"/>
        <family val="2"/>
      </rPr>
      <t>월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모임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Inherit"/>
        <family val="2"/>
      </rPr>
      <t>월간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디톡스</t>
    </r>
    <r>
      <rPr>
        <u/>
        <sz val="11"/>
        <color theme="10"/>
        <rFont val="Calibri"/>
        <family val="2"/>
      </rPr>
      <t xml:space="preserve">(D.talks) </t>
    </r>
    <r>
      <rPr>
        <u/>
        <sz val="11"/>
        <color theme="10"/>
        <rFont val="Inherit"/>
        <family val="2"/>
      </rPr>
      <t>현장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스케치</t>
    </r>
  </si>
  <si>
    <r>
      <rPr>
        <u/>
        <sz val="11"/>
        <color theme="10"/>
        <rFont val="Inherit"/>
        <family val="2"/>
      </rPr>
      <t>격주</t>
    </r>
    <r>
      <rPr>
        <u/>
        <sz val="11"/>
        <color theme="10"/>
        <rFont val="Calibri"/>
        <family val="2"/>
      </rPr>
      <t xml:space="preserve"> DMCian l AI </t>
    </r>
    <r>
      <rPr>
        <u/>
        <sz val="11"/>
        <color theme="10"/>
        <rFont val="Inherit"/>
        <family val="2"/>
      </rPr>
      <t>활용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경진대회</t>
    </r>
    <r>
      <rPr>
        <u/>
        <sz val="11"/>
        <color theme="10"/>
        <rFont val="Calibri"/>
        <family val="2"/>
      </rPr>
      <t xml:space="preserve"> 'D.match 2026' </t>
    </r>
    <r>
      <rPr>
        <u/>
        <sz val="11"/>
        <color theme="10"/>
        <rFont val="Inherit"/>
        <family val="2"/>
      </rPr>
      <t>비공식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상품</t>
    </r>
    <r>
      <rPr>
        <u/>
        <sz val="11"/>
        <color theme="10"/>
        <rFont val="Calibri"/>
        <family val="2"/>
      </rPr>
      <t xml:space="preserve"> = </t>
    </r>
    <r>
      <rPr>
        <u/>
        <sz val="11"/>
        <color theme="10"/>
        <rFont val="Inherit"/>
        <family val="2"/>
      </rPr>
      <t>수상팀</t>
    </r>
    <r>
      <rPr>
        <u/>
        <sz val="11"/>
        <color theme="10"/>
        <rFont val="Calibri"/>
        <family val="2"/>
      </rPr>
      <t>·</t>
    </r>
    <r>
      <rPr>
        <u/>
        <sz val="11"/>
        <color theme="10"/>
        <rFont val="Inherit"/>
        <family val="2"/>
      </rPr>
      <t>수상자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인터뷰</t>
    </r>
  </si>
  <si>
    <r>
      <rPr>
        <u/>
        <sz val="11"/>
        <color theme="10"/>
        <rFont val="Inherit"/>
        <family val="2"/>
      </rPr>
      <t>디지털마케팅의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첫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단추를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채운</t>
    </r>
    <r>
      <rPr>
        <u/>
        <sz val="11"/>
        <color theme="10"/>
        <rFont val="Calibri"/>
        <family val="2"/>
      </rPr>
      <t xml:space="preserve">, </t>
    </r>
    <r>
      <rPr>
        <u/>
        <sz val="11"/>
        <color theme="10"/>
        <rFont val="Inherit"/>
        <family val="2"/>
      </rPr>
      <t>디엠씨미디어</t>
    </r>
    <r>
      <rPr>
        <u/>
        <sz val="11"/>
        <color theme="10"/>
        <rFont val="Calibri"/>
        <family val="2"/>
      </rPr>
      <t xml:space="preserve"> 2026 </t>
    </r>
    <r>
      <rPr>
        <u/>
        <sz val="11"/>
        <color theme="10"/>
        <rFont val="Inherit"/>
        <family val="2"/>
      </rPr>
      <t>인턴십</t>
    </r>
    <r>
      <rPr>
        <u/>
        <sz val="11"/>
        <color theme="10"/>
        <rFont val="Calibri"/>
        <family val="2"/>
      </rPr>
      <t>3</t>
    </r>
    <r>
      <rPr>
        <u/>
        <sz val="11"/>
        <color theme="10"/>
        <rFont val="Inherit"/>
        <family val="2"/>
      </rPr>
      <t>기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교육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Inherit"/>
        <family val="2"/>
      </rPr>
      <t>현장스케치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</si>
</sst>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"/>
    </font>
    <font>
      <b/>
      <sz val="10"/>
      <color rgb="FFFFFFFF"/>
      <name val="Noto Sans CJK SC"/>
      <family val="2"/>
      <charset val="1"/>
    </font>
    <font>
      <b/>
      <sz val="11"/>
      <color rgb="FF000000"/>
      <name val="맑은 고딕"/>
      <family val="3"/>
      <charset val="129"/>
    </font>
    <font>
      <sz val="9"/>
      <color rgb="FF7F6000"/>
      <name val="맑은 고딕"/>
      <family val="3"/>
      <charset val="129"/>
    </font>
    <font>
      <b/>
      <sz val="9"/>
      <color rgb="FF000000"/>
      <name val="Noto Sans CJK SC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  <charset val="1"/>
    </font>
    <font>
      <b/>
      <sz val="13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b/>
      <sz val="10"/>
      <color rgb="FFFFFFFF"/>
      <name val="Noto Sans CJK SC"/>
      <charset val="1"/>
    </font>
    <font>
      <sz val="10"/>
      <name val="Noto Sans CJK SC"/>
      <charset val="1"/>
    </font>
    <font>
      <sz val="10"/>
      <color rgb="FFFFFFFF"/>
      <name val="Noto Sans CJK SC"/>
      <charset val="1"/>
    </font>
    <font>
      <sz val="10"/>
      <color rgb="FF000000"/>
      <name val="Noto Sans CJK SC"/>
      <charset val="1"/>
    </font>
    <font>
      <sz val="11"/>
      <color theme="1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u/>
      <sz val="11"/>
      <color theme="10"/>
      <name val="Calibri"/>
      <family val="2"/>
      <charset val="1"/>
    </font>
    <font>
      <sz val="11"/>
      <color theme="1"/>
      <name val="돋움"/>
      <family val="3"/>
      <charset val="129"/>
    </font>
    <font>
      <sz val="8"/>
      <color rgb="FF333333"/>
      <name val="Inherit"/>
      <family val="2"/>
    </font>
    <font>
      <sz val="10"/>
      <name val="Noto Sans CJK SC"/>
    </font>
    <font>
      <sz val="10"/>
      <color rgb="FFFFFFFF"/>
      <name val="Noto Sans CJK SC"/>
    </font>
    <font>
      <sz val="10"/>
      <color rgb="FF000000"/>
      <name val="Noto Sans CJK SC"/>
    </font>
    <font>
      <u/>
      <sz val="11"/>
      <color theme="10"/>
      <name val="Inherit"/>
      <family val="2"/>
    </font>
    <font>
      <u/>
      <sz val="11"/>
      <color theme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2F4F5F"/>
        <bgColor rgb="FF1F6B3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rgb="FFFFB3B3"/>
        <bgColor rgb="FFFF99CC"/>
      </patternFill>
    </fill>
    <fill>
      <patternFill patternType="solid">
        <fgColor theme="4" tint="0.39988402966399123"/>
        <bgColor rgb="FFAAAAAA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1F6B3A"/>
        <bgColor rgb="FF2F4F5F"/>
      </patternFill>
    </fill>
    <fill>
      <patternFill patternType="solid">
        <fgColor theme="0" tint="-0.34998626667073579"/>
        <bgColor rgb="FFAAAAAA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88888"/>
      </patternFill>
    </fill>
    <fill>
      <patternFill patternType="solid">
        <fgColor rgb="FF2E75B6"/>
        <bgColor rgb="FF4472C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AD47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ED7D31"/>
      </patternFill>
    </fill>
    <fill>
      <patternFill patternType="solid">
        <fgColor rgb="FF1F6B3A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F7F7F7"/>
        <bgColor indexed="64"/>
      </patternFill>
    </fill>
  </fills>
  <borders count="6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medium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888888"/>
      </right>
      <top style="thin">
        <color rgb="FFBFBFBF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thin">
        <color rgb="FF888888"/>
      </bottom>
      <diagonal/>
    </border>
    <border>
      <left style="medium">
        <color rgb="FF888888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888888"/>
      </right>
      <top/>
      <bottom/>
      <diagonal/>
    </border>
    <border>
      <left style="medium">
        <color rgb="FF888888"/>
      </left>
      <right/>
      <top style="medium">
        <color rgb="FF888888"/>
      </top>
      <bottom style="thin">
        <color rgb="FFBFBFBF"/>
      </bottom>
      <diagonal/>
    </border>
    <border>
      <left style="hair">
        <color rgb="FF888888"/>
      </left>
      <right style="medium">
        <color rgb="FF888888"/>
      </right>
      <top style="medium">
        <color rgb="FF888888"/>
      </top>
      <bottom style="hair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888888"/>
      </top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hair">
        <color rgb="FF888888"/>
      </right>
      <top style="thin">
        <color rgb="FFBFBFBF"/>
      </top>
      <bottom style="thin">
        <color rgb="FFBFBFBF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hair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hair">
        <color rgb="FF888888"/>
      </right>
      <top style="thin">
        <color rgb="FFBFBFBF"/>
      </top>
      <bottom style="thin">
        <color auto="1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thin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medium">
        <color rgb="FF888888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medium">
        <color rgb="FF888888"/>
      </bottom>
      <diagonal/>
    </border>
    <border>
      <left style="medium">
        <color rgb="FF888888"/>
      </left>
      <right style="thin">
        <color rgb="FFBFBFBF"/>
      </right>
      <top/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/>
      <bottom style="thick">
        <color rgb="FFBFBFBF"/>
      </bottom>
      <diagonal/>
    </border>
    <border>
      <left style="thin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hair">
        <color rgb="FF888888"/>
      </top>
      <bottom/>
      <diagonal/>
    </border>
    <border>
      <left style="thin">
        <color rgb="FFBFBFBF"/>
      </left>
      <right style="thin">
        <color rgb="FFBFBFBF"/>
      </right>
      <top style="hair">
        <color rgb="FF888888"/>
      </top>
      <bottom/>
      <diagonal/>
    </border>
    <border>
      <left style="thin">
        <color rgb="FFBFBFBF"/>
      </left>
      <right style="medium">
        <color rgb="FF888888"/>
      </right>
      <top style="hair">
        <color rgb="FF888888"/>
      </top>
      <bottom/>
      <diagonal/>
    </border>
    <border>
      <left/>
      <right/>
      <top style="hair">
        <color rgb="FF888888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88888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888888"/>
      </bottom>
      <diagonal/>
    </border>
    <border>
      <left/>
      <right/>
      <top style="thin">
        <color rgb="FFBFBFBF"/>
      </top>
      <bottom style="medium">
        <color rgb="FF888888"/>
      </bottom>
      <diagonal/>
    </border>
    <border>
      <left/>
      <right style="medium">
        <color rgb="FF888888"/>
      </right>
      <top style="thin">
        <color rgb="FFBFBFBF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AAAAAA"/>
      </top>
      <bottom style="thin">
        <color rgb="FFDDDDDD"/>
      </bottom>
      <diagonal/>
    </border>
    <border>
      <left/>
      <right/>
      <top style="medium">
        <color rgb="FF888888"/>
      </top>
      <bottom style="thin">
        <color rgb="FFBFBFBF"/>
      </bottom>
      <diagonal/>
    </border>
    <border>
      <left/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/>
      <bottom style="medium">
        <color rgb="FF888888"/>
      </bottom>
      <diagonal/>
    </border>
    <border>
      <left/>
      <right/>
      <top style="medium">
        <color rgb="FFD8D8D8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medium">
        <color rgb="FF888888"/>
      </left>
      <right style="thin">
        <color rgb="FFBFBFBF"/>
      </right>
      <top style="thin">
        <color rgb="FF888888"/>
      </top>
      <bottom style="thin">
        <color rgb="FF888888"/>
      </bottom>
      <diagonal/>
    </border>
    <border>
      <left style="medium">
        <color rgb="FF888888"/>
      </left>
      <right style="thin">
        <color rgb="FF888888"/>
      </right>
      <top style="medium">
        <color rgb="FF888888"/>
      </top>
      <bottom style="thin">
        <color rgb="FF888888"/>
      </bottom>
      <diagonal/>
    </border>
    <border>
      <left style="thin">
        <color rgb="FF888888"/>
      </left>
      <right style="medium">
        <color rgb="FF888888"/>
      </right>
      <top style="medium">
        <color rgb="FF888888"/>
      </top>
      <bottom style="thin">
        <color rgb="FF888888"/>
      </bottom>
      <diagonal/>
    </border>
    <border>
      <left/>
      <right/>
      <top style="medium">
        <color rgb="FF888888"/>
      </top>
      <bottom style="thin">
        <color rgb="FF888888"/>
      </bottom>
      <diagonal/>
    </border>
    <border>
      <left/>
      <right style="thin">
        <color rgb="FF888888"/>
      </right>
      <top style="medium">
        <color rgb="FF888888"/>
      </top>
      <bottom style="thin">
        <color rgb="FF888888"/>
      </bottom>
      <diagonal/>
    </border>
    <border>
      <left/>
      <right style="hair">
        <color rgb="FF888888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/>
      <right style="hair">
        <color rgb="FF888888"/>
      </right>
      <top style="thin">
        <color rgb="FFBFBFBF"/>
      </top>
      <bottom style="thin">
        <color auto="1"/>
      </bottom>
      <diagonal/>
    </border>
    <border>
      <left/>
      <right/>
      <top/>
      <bottom style="medium">
        <color rgb="FF888888"/>
      </bottom>
      <diagonal/>
    </border>
    <border>
      <left/>
      <right/>
      <top/>
      <bottom style="medium">
        <color rgb="FFD8D8D8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2" fillId="0" borderId="0"/>
    <xf numFmtId="0" fontId="21" fillId="0" borderId="0"/>
  </cellStyleXfs>
  <cellXfs count="20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10" fontId="7" fillId="0" borderId="12" xfId="0" applyNumberFormat="1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0" fontId="8" fillId="9" borderId="8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right" vertical="center"/>
    </xf>
    <xf numFmtId="0" fontId="7" fillId="9" borderId="8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right" vertical="center"/>
    </xf>
    <xf numFmtId="0" fontId="7" fillId="9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3" fontId="7" fillId="9" borderId="7" xfId="0" applyNumberFormat="1" applyFont="1" applyFill="1" applyBorder="1" applyAlignment="1">
      <alignment horizontal="right" vertical="center"/>
    </xf>
    <xf numFmtId="10" fontId="7" fillId="9" borderId="7" xfId="0" applyNumberFormat="1" applyFont="1" applyFill="1" applyBorder="1" applyAlignment="1">
      <alignment horizontal="right" vertical="center"/>
    </xf>
    <xf numFmtId="10" fontId="7" fillId="0" borderId="7" xfId="0" applyNumberFormat="1" applyFont="1" applyBorder="1" applyAlignment="1">
      <alignment horizontal="right" vertical="center"/>
    </xf>
    <xf numFmtId="10" fontId="7" fillId="0" borderId="7" xfId="0" applyNumberFormat="1" applyFont="1" applyBorder="1" applyAlignment="1">
      <alignment horizontal="right" vertical="center" wrapText="1"/>
    </xf>
    <xf numFmtId="10" fontId="7" fillId="9" borderId="10" xfId="0" applyNumberFormat="1" applyFont="1" applyFill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/>
    </xf>
    <xf numFmtId="10" fontId="7" fillId="0" borderId="10" xfId="0" applyNumberFormat="1" applyFont="1" applyBorder="1" applyAlignment="1">
      <alignment horizontal="right" vertical="center"/>
    </xf>
    <xf numFmtId="0" fontId="7" fillId="9" borderId="15" xfId="0" applyFont="1" applyFill="1" applyBorder="1" applyAlignment="1">
      <alignment horizontal="left" vertical="center"/>
    </xf>
    <xf numFmtId="3" fontId="7" fillId="9" borderId="16" xfId="0" applyNumberFormat="1" applyFont="1" applyFill="1" applyBorder="1" applyAlignment="1">
      <alignment horizontal="right" vertical="center"/>
    </xf>
    <xf numFmtId="0" fontId="7" fillId="9" borderId="17" xfId="0" applyFont="1" applyFill="1" applyBorder="1" applyAlignment="1">
      <alignment horizontal="left" vertical="center"/>
    </xf>
    <xf numFmtId="3" fontId="7" fillId="9" borderId="18" xfId="0" applyNumberFormat="1" applyFont="1" applyFill="1" applyBorder="1" applyAlignment="1">
      <alignment horizontal="right" vertical="center"/>
    </xf>
    <xf numFmtId="0" fontId="3" fillId="8" borderId="20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left" vertical="center"/>
    </xf>
    <xf numFmtId="3" fontId="7" fillId="9" borderId="22" xfId="0" applyNumberFormat="1" applyFont="1" applyFill="1" applyBorder="1" applyAlignment="1">
      <alignment horizontal="right" vertical="center"/>
    </xf>
    <xf numFmtId="0" fontId="10" fillId="9" borderId="24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0" fontId="7" fillId="9" borderId="7" xfId="0" applyNumberFormat="1" applyFont="1" applyFill="1" applyBorder="1" applyAlignment="1">
      <alignment horizontal="right" vertical="center" wrapText="1"/>
    </xf>
    <xf numFmtId="0" fontId="7" fillId="9" borderId="29" xfId="0" applyFont="1" applyFill="1" applyBorder="1" applyAlignment="1">
      <alignment horizontal="left" vertical="center"/>
    </xf>
    <xf numFmtId="0" fontId="15" fillId="0" borderId="30" xfId="0" applyFont="1" applyBorder="1"/>
    <xf numFmtId="10" fontId="7" fillId="9" borderId="10" xfId="0" applyNumberFormat="1" applyFont="1" applyFill="1" applyBorder="1" applyAlignment="1">
      <alignment horizontal="right" vertical="center" wrapText="1"/>
    </xf>
    <xf numFmtId="0" fontId="7" fillId="10" borderId="11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left" vertical="center"/>
    </xf>
    <xf numFmtId="3" fontId="7" fillId="9" borderId="34" xfId="0" applyNumberFormat="1" applyFont="1" applyFill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0" fontId="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7" fillId="0" borderId="9" xfId="0" applyNumberFormat="1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0" fillId="0" borderId="39" xfId="0" applyBorder="1"/>
    <xf numFmtId="0" fontId="10" fillId="9" borderId="40" xfId="0" applyFont="1" applyFill="1" applyBorder="1" applyAlignment="1">
      <alignment horizontal="left" vertical="center"/>
    </xf>
    <xf numFmtId="0" fontId="10" fillId="9" borderId="41" xfId="0" applyFont="1" applyFill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7" fillId="10" borderId="8" xfId="0" applyFont="1" applyFill="1" applyBorder="1" applyAlignment="1">
      <alignment horizontal="center" vertical="center"/>
    </xf>
    <xf numFmtId="0" fontId="10" fillId="0" borderId="43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1" fillId="2" borderId="45" xfId="0" applyFont="1" applyFill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6" xfId="0" applyFont="1" applyBorder="1" applyAlignment="1">
      <alignment horizontal="left" vertical="center"/>
    </xf>
    <xf numFmtId="0" fontId="14" fillId="12" borderId="46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/>
    </xf>
    <xf numFmtId="0" fontId="14" fillId="12" borderId="45" xfId="0" applyFont="1" applyFill="1" applyBorder="1" applyAlignment="1">
      <alignment horizontal="center" vertical="center"/>
    </xf>
    <xf numFmtId="0" fontId="13" fillId="14" borderId="45" xfId="0" applyFont="1" applyFill="1" applyBorder="1" applyAlignment="1">
      <alignment horizontal="center" vertical="center"/>
    </xf>
    <xf numFmtId="0" fontId="13" fillId="13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/>
    </xf>
    <xf numFmtId="0" fontId="13" fillId="14" borderId="46" xfId="0" applyFont="1" applyFill="1" applyBorder="1" applyAlignment="1">
      <alignment horizontal="center" vertical="center"/>
    </xf>
    <xf numFmtId="0" fontId="13" fillId="15" borderId="46" xfId="0" applyFont="1" applyFill="1" applyBorder="1" applyAlignment="1">
      <alignment horizontal="center" vertical="center"/>
    </xf>
    <xf numFmtId="0" fontId="13" fillId="15" borderId="45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left" vertical="center"/>
    </xf>
    <xf numFmtId="0" fontId="7" fillId="16" borderId="10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21" fillId="0" borderId="42" xfId="5" applyBorder="1" applyAlignment="1">
      <alignment horizontal="left" vertical="center"/>
    </xf>
    <xf numFmtId="0" fontId="0" fillId="17" borderId="0" xfId="0" applyFill="1"/>
    <xf numFmtId="0" fontId="20" fillId="0" borderId="6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10" fontId="7" fillId="0" borderId="49" xfId="0" applyNumberFormat="1" applyFont="1" applyBorder="1" applyAlignment="1">
      <alignment horizontal="left" vertical="center"/>
    </xf>
    <xf numFmtId="0" fontId="7" fillId="9" borderId="10" xfId="0" applyFont="1" applyFill="1" applyBorder="1" applyAlignment="1">
      <alignment horizontal="right" vertical="center" wrapText="1"/>
    </xf>
    <xf numFmtId="0" fontId="23" fillId="0" borderId="51" xfId="0" applyFont="1" applyBorder="1" applyAlignment="1">
      <alignment horizontal="center" vertical="center"/>
    </xf>
    <xf numFmtId="0" fontId="21" fillId="0" borderId="51" xfId="5" applyBorder="1" applyAlignment="1">
      <alignment horizontal="left" vertical="center"/>
    </xf>
    <xf numFmtId="0" fontId="23" fillId="0" borderId="52" xfId="0" applyFont="1" applyBorder="1" applyAlignment="1">
      <alignment horizontal="center" vertical="center"/>
    </xf>
    <xf numFmtId="0" fontId="21" fillId="0" borderId="52" xfId="5" applyBorder="1" applyAlignment="1">
      <alignment horizontal="left" vertical="center"/>
    </xf>
    <xf numFmtId="0" fontId="23" fillId="0" borderId="53" xfId="0" applyFont="1" applyBorder="1" applyAlignment="1">
      <alignment horizontal="center" vertical="center"/>
    </xf>
    <xf numFmtId="0" fontId="22" fillId="0" borderId="0" xfId="0" applyFont="1"/>
    <xf numFmtId="10" fontId="0" fillId="0" borderId="0" xfId="0" applyNumberFormat="1"/>
    <xf numFmtId="0" fontId="21" fillId="0" borderId="53" xfId="5" applyBorder="1" applyAlignment="1">
      <alignment horizontal="left" vertical="center"/>
    </xf>
    <xf numFmtId="0" fontId="7" fillId="9" borderId="54" xfId="0" applyFont="1" applyFill="1" applyBorder="1" applyAlignment="1">
      <alignment horizontal="left" vertical="center"/>
    </xf>
    <xf numFmtId="0" fontId="3" fillId="8" borderId="56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18" borderId="1" xfId="0" applyFont="1" applyFill="1" applyBorder="1" applyAlignment="1">
      <alignment horizontal="left" vertical="center"/>
    </xf>
    <xf numFmtId="0" fontId="24" fillId="0" borderId="0" xfId="0" applyFont="1"/>
    <xf numFmtId="0" fontId="25" fillId="18" borderId="0" xfId="0" applyFont="1" applyFill="1"/>
    <xf numFmtId="0" fontId="26" fillId="19" borderId="0" xfId="0" applyFont="1" applyFill="1"/>
    <xf numFmtId="0" fontId="25" fillId="20" borderId="0" xfId="0" applyFont="1" applyFill="1"/>
    <xf numFmtId="0" fontId="25" fillId="21" borderId="0" xfId="0" applyFont="1" applyFill="1"/>
    <xf numFmtId="0" fontId="26" fillId="22" borderId="0" xfId="0" applyFont="1" applyFill="1"/>
    <xf numFmtId="0" fontId="25" fillId="23" borderId="0" xfId="0" applyFont="1" applyFill="1"/>
    <xf numFmtId="0" fontId="25" fillId="20" borderId="1" xfId="0" applyFont="1" applyFill="1" applyBorder="1" applyAlignment="1">
      <alignment horizontal="left" vertical="center"/>
    </xf>
    <xf numFmtId="0" fontId="26" fillId="24" borderId="1" xfId="0" applyFont="1" applyFill="1" applyBorder="1" applyAlignment="1">
      <alignment horizontal="left" vertical="center"/>
    </xf>
    <xf numFmtId="0" fontId="26" fillId="22" borderId="1" xfId="0" applyFont="1" applyFill="1" applyBorder="1" applyAlignment="1">
      <alignment horizontal="left" vertical="center"/>
    </xf>
    <xf numFmtId="0" fontId="26" fillId="24" borderId="0" xfId="0" applyFont="1" applyFill="1"/>
    <xf numFmtId="0" fontId="0" fillId="0" borderId="0" xfId="0"/>
    <xf numFmtId="0" fontId="21" fillId="9" borderId="2" xfId="5" applyFill="1" applyBorder="1" applyAlignment="1">
      <alignment horizontal="left" vertical="center"/>
    </xf>
    <xf numFmtId="0" fontId="21" fillId="0" borderId="2" xfId="5" applyBorder="1" applyAlignment="1">
      <alignment horizontal="left" vertical="center"/>
    </xf>
    <xf numFmtId="0" fontId="3" fillId="8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4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25" borderId="1" xfId="0" applyFont="1" applyFill="1" applyBorder="1" applyAlignment="1">
      <alignment horizontal="left" vertical="center"/>
    </xf>
    <xf numFmtId="0" fontId="26" fillId="25" borderId="0" xfId="0" applyFont="1" applyFill="1"/>
    <xf numFmtId="0" fontId="5" fillId="4" borderId="2" xfId="0" applyFont="1" applyFill="1" applyBorder="1" applyAlignment="1">
      <alignment horizontal="left" vertical="center"/>
    </xf>
    <xf numFmtId="0" fontId="0" fillId="0" borderId="40" xfId="0" applyBorder="1"/>
    <xf numFmtId="0" fontId="10" fillId="0" borderId="7" xfId="0" applyFont="1" applyBorder="1" applyAlignment="1">
      <alignment horizontal="left" vertical="center" wrapText="1"/>
    </xf>
    <xf numFmtId="0" fontId="0" fillId="0" borderId="41" xfId="0" applyBorder="1"/>
    <xf numFmtId="0" fontId="10" fillId="9" borderId="7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left" vertical="center" indent="1"/>
    </xf>
    <xf numFmtId="0" fontId="0" fillId="0" borderId="48" xfId="0" applyBorder="1"/>
    <xf numFmtId="0" fontId="9" fillId="7" borderId="28" xfId="0" applyFont="1" applyFill="1" applyBorder="1" applyAlignment="1">
      <alignment horizontal="center" vertical="center"/>
    </xf>
    <xf numFmtId="0" fontId="0" fillId="0" borderId="0" xfId="0"/>
    <xf numFmtId="0" fontId="10" fillId="0" borderId="10" xfId="0" applyFont="1" applyBorder="1" applyAlignment="1">
      <alignment horizontal="left" vertical="center" wrapText="1"/>
    </xf>
    <xf numFmtId="0" fontId="0" fillId="0" borderId="43" xfId="0" applyBorder="1"/>
    <xf numFmtId="0" fontId="0" fillId="0" borderId="44" xfId="0" applyBorder="1"/>
    <xf numFmtId="0" fontId="0" fillId="0" borderId="47" xfId="0" applyBorder="1"/>
    <xf numFmtId="0" fontId="3" fillId="8" borderId="55" xfId="0" applyFont="1" applyFill="1" applyBorder="1" applyAlignment="1">
      <alignment horizontal="left" vertical="center" indent="1"/>
    </xf>
    <xf numFmtId="0" fontId="0" fillId="0" borderId="57" xfId="0" applyBorder="1"/>
    <xf numFmtId="0" fontId="0" fillId="0" borderId="58" xfId="0" applyBorder="1"/>
    <xf numFmtId="0" fontId="21" fillId="0" borderId="23" xfId="5" applyBorder="1" applyAlignment="1">
      <alignment horizontal="left" vertical="center"/>
    </xf>
    <xf numFmtId="0" fontId="0" fillId="0" borderId="59" xfId="0" applyBorder="1"/>
    <xf numFmtId="0" fontId="21" fillId="9" borderId="23" xfId="5" applyFill="1" applyBorder="1" applyAlignment="1">
      <alignment horizontal="left" vertical="center"/>
    </xf>
    <xf numFmtId="0" fontId="21" fillId="0" borderId="26" xfId="5" applyBorder="1" applyAlignment="1">
      <alignment horizontal="left" vertical="center"/>
    </xf>
    <xf numFmtId="0" fontId="0" fillId="0" borderId="60" xfId="0" applyBorder="1"/>
    <xf numFmtId="0" fontId="0" fillId="0" borderId="61" xfId="0" applyBorder="1"/>
    <xf numFmtId="0" fontId="9" fillId="7" borderId="2" xfId="0" applyFont="1" applyFill="1" applyBorder="1" applyAlignment="1">
      <alignment horizontal="left" vertical="center" indent="2"/>
    </xf>
    <xf numFmtId="0" fontId="21" fillId="9" borderId="23" xfId="5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left" vertical="center"/>
    </xf>
    <xf numFmtId="0" fontId="21" fillId="9" borderId="2" xfId="5" applyFill="1" applyBorder="1" applyAlignment="1">
      <alignment horizontal="left" vertical="center"/>
    </xf>
    <xf numFmtId="0" fontId="21" fillId="9" borderId="2" xfId="5" applyFill="1" applyBorder="1" applyAlignment="1">
      <alignment horizontal="left" vertical="center" wrapText="1"/>
    </xf>
    <xf numFmtId="0" fontId="21" fillId="9" borderId="31" xfId="5" applyFill="1" applyBorder="1" applyAlignment="1">
      <alignment horizontal="left" vertical="center" wrapText="1"/>
    </xf>
    <xf numFmtId="0" fontId="0" fillId="0" borderId="62" xfId="0" applyBorder="1"/>
    <xf numFmtId="0" fontId="21" fillId="0" borderId="2" xfId="5" applyBorder="1" applyAlignment="1">
      <alignment horizontal="left" vertical="center" wrapText="1"/>
    </xf>
    <xf numFmtId="0" fontId="21" fillId="0" borderId="2" xfId="5" applyBorder="1" applyAlignment="1">
      <alignment horizontal="left" vertical="center"/>
    </xf>
    <xf numFmtId="0" fontId="3" fillId="8" borderId="14" xfId="0" applyFont="1" applyFill="1" applyBorder="1" applyAlignment="1">
      <alignment horizontal="center" vertical="center"/>
    </xf>
    <xf numFmtId="0" fontId="21" fillId="0" borderId="0" xfId="5"/>
    <xf numFmtId="0" fontId="23" fillId="26" borderId="51" xfId="0" applyFont="1" applyFill="1" applyBorder="1" applyAlignment="1">
      <alignment horizontal="center" vertical="center"/>
    </xf>
    <xf numFmtId="0" fontId="21" fillId="0" borderId="52" xfId="5" applyBorder="1"/>
    <xf numFmtId="0" fontId="23" fillId="26" borderId="52" xfId="0" applyFont="1" applyFill="1" applyBorder="1" applyAlignment="1">
      <alignment horizontal="center" vertical="center"/>
    </xf>
    <xf numFmtId="0" fontId="21" fillId="0" borderId="63" xfId="5" applyBorder="1"/>
    <xf numFmtId="0" fontId="3" fillId="8" borderId="14" xfId="0" applyFont="1" applyFill="1" applyBorder="1" applyAlignment="1">
      <alignment vertical="center"/>
    </xf>
    <xf numFmtId="0" fontId="21" fillId="0" borderId="0" xfId="5" applyBorder="1"/>
    <xf numFmtId="0" fontId="23" fillId="0" borderId="63" xfId="0" applyFont="1" applyBorder="1" applyAlignment="1">
      <alignment horizontal="center" vertical="center"/>
    </xf>
    <xf numFmtId="0" fontId="23" fillId="26" borderId="63" xfId="0" applyFont="1" applyFill="1" applyBorder="1" applyAlignment="1">
      <alignment horizontal="center" vertical="center"/>
    </xf>
  </cellXfs>
  <cellStyles count="6">
    <cellStyle name="표준" xfId="0" builtinId="0"/>
    <cellStyle name="표준 2" xfId="1"/>
    <cellStyle name="표준 2 2" xfId="2"/>
    <cellStyle name="표준 2 3" xfId="3"/>
    <cellStyle name="표준 3" xfId="4"/>
    <cellStyle name="하이퍼링크" xfId="5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F6000"/>
      <rgbColor rgb="FF800080"/>
      <rgbColor rgb="FF008080"/>
      <rgbColor rgb="FFBFBFBF"/>
      <rgbColor rgb="FF888888"/>
      <rgbColor rgb="FFAAAAAA"/>
      <rgbColor rgb="FF993366"/>
      <rgbColor rgb="FFFFF2CC"/>
      <rgbColor rgb="FFF2F2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5B3D7"/>
      <rgbColor rgb="FFFF99CC"/>
      <rgbColor rgb="FFCC99FF"/>
      <rgbColor rgb="FFFFB3B3"/>
      <rgbColor rgb="FF4472C4"/>
      <rgbColor rgb="FF33CCCC"/>
      <rgbColor rgb="FF99CC00"/>
      <rgbColor rgb="FFFFCC00"/>
      <rgbColor rgb="FFFF9900"/>
      <rgbColor rgb="FFED7D31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333399"/>
      <rgbColor rgb="FF2F4F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stat.naver.com/blog/article/224361394929/cv" TargetMode="External"/><Relationship Id="rId3" Type="http://schemas.openxmlformats.org/officeDocument/2006/relationships/hyperlink" Target="https://blog.stat.naver.com/blog/article/224371164182/cv" TargetMode="External"/><Relationship Id="rId7" Type="http://schemas.openxmlformats.org/officeDocument/2006/relationships/hyperlink" Target="https://blog.stat.naver.com/blog/article/224389952828/cv" TargetMode="External"/><Relationship Id="rId2" Type="http://schemas.openxmlformats.org/officeDocument/2006/relationships/hyperlink" Target="https://blog.stat.naver.com/blog/article/224400943967/cv" TargetMode="External"/><Relationship Id="rId1" Type="http://schemas.openxmlformats.org/officeDocument/2006/relationships/hyperlink" Target="https://blog.stat.naver.com/blog/article/224393436930/cv" TargetMode="External"/><Relationship Id="rId6" Type="http://schemas.openxmlformats.org/officeDocument/2006/relationships/hyperlink" Target="https://blog.stat.naver.com/blog/article/224290016541/cv" TargetMode="External"/><Relationship Id="rId5" Type="http://schemas.openxmlformats.org/officeDocument/2006/relationships/hyperlink" Target="https://blog.stat.naver.com/blog/article/224366936299/cv" TargetMode="External"/><Relationship Id="rId10" Type="http://schemas.openxmlformats.org/officeDocument/2006/relationships/hyperlink" Target="https://blog.stat.naver.com/blog/article/224340024984/cv" TargetMode="External"/><Relationship Id="rId4" Type="http://schemas.openxmlformats.org/officeDocument/2006/relationships/hyperlink" Target="https://blog.stat.naver.com/blog/article/224351729516/cv" TargetMode="External"/><Relationship Id="rId9" Type="http://schemas.openxmlformats.org/officeDocument/2006/relationships/hyperlink" Target="https://blog.stat.naver.com/blog/article/224297964682/cv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stat.naver.com/blog/article/224328204507/cv" TargetMode="External"/><Relationship Id="rId3" Type="http://schemas.openxmlformats.org/officeDocument/2006/relationships/hyperlink" Target="https://blog.stat.naver.com/blog/article/224285603804/cv" TargetMode="External"/><Relationship Id="rId7" Type="http://schemas.openxmlformats.org/officeDocument/2006/relationships/hyperlink" Target="https://blog.stat.naver.com/blog/article/224351729516/cv" TargetMode="External"/><Relationship Id="rId2" Type="http://schemas.openxmlformats.org/officeDocument/2006/relationships/hyperlink" Target="https://blog.stat.naver.com/blog/article/224371164182/cv" TargetMode="External"/><Relationship Id="rId1" Type="http://schemas.openxmlformats.org/officeDocument/2006/relationships/hyperlink" Target="https://blog.stat.naver.com/blog/article/224366936299/cv" TargetMode="External"/><Relationship Id="rId6" Type="http://schemas.openxmlformats.org/officeDocument/2006/relationships/hyperlink" Target="https://blog.stat.naver.com/blog/article/224361394929/cv" TargetMode="External"/><Relationship Id="rId11" Type="http://schemas.openxmlformats.org/officeDocument/2006/relationships/hyperlink" Target="https://blog.stat.naver.com/blog/article/224376544246/cv" TargetMode="External"/><Relationship Id="rId5" Type="http://schemas.openxmlformats.org/officeDocument/2006/relationships/hyperlink" Target="https://blog.stat.naver.com/blog/article/224290016541/cv" TargetMode="External"/><Relationship Id="rId10" Type="http://schemas.openxmlformats.org/officeDocument/2006/relationships/hyperlink" Target="https://blog.stat.naver.com/blog/article/224340024984/cv" TargetMode="External"/><Relationship Id="rId4" Type="http://schemas.openxmlformats.org/officeDocument/2006/relationships/hyperlink" Target="https://blog.stat.naver.com/blog/article/224210045894/cv" TargetMode="External"/><Relationship Id="rId9" Type="http://schemas.openxmlformats.org/officeDocument/2006/relationships/hyperlink" Target="https://blog.stat.naver.com/blog/article/224360276037/cv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stat.naver.com/blog/article/224346471369/cv" TargetMode="External"/><Relationship Id="rId3" Type="http://schemas.openxmlformats.org/officeDocument/2006/relationships/hyperlink" Target="https://blog.stat.naver.com/blog/article/224328204507/cv" TargetMode="External"/><Relationship Id="rId7" Type="http://schemas.openxmlformats.org/officeDocument/2006/relationships/hyperlink" Target="https://blog.stat.naver.com/blog/article/224333246156/cv" TargetMode="External"/><Relationship Id="rId2" Type="http://schemas.openxmlformats.org/officeDocument/2006/relationships/hyperlink" Target="https://blog.stat.naver.com/blog/article/224326696550/cv" TargetMode="External"/><Relationship Id="rId1" Type="http://schemas.openxmlformats.org/officeDocument/2006/relationships/hyperlink" Target="https://blog.stat.naver.com/blog/article/224340024984/cv" TargetMode="External"/><Relationship Id="rId6" Type="http://schemas.openxmlformats.org/officeDocument/2006/relationships/hyperlink" Target="https://blog.stat.naver.com/blog/article/224290016541/cv" TargetMode="External"/><Relationship Id="rId5" Type="http://schemas.openxmlformats.org/officeDocument/2006/relationships/hyperlink" Target="https://blog.stat.naver.com/blog/article/224361394929/cv" TargetMode="External"/><Relationship Id="rId10" Type="http://schemas.openxmlformats.org/officeDocument/2006/relationships/hyperlink" Target="https://blog.stat.naver.com/blog/article/224324845160/cv" TargetMode="External"/><Relationship Id="rId4" Type="http://schemas.openxmlformats.org/officeDocument/2006/relationships/hyperlink" Target="https://blog.stat.naver.com/blog/article/224330876026/cv" TargetMode="External"/><Relationship Id="rId9" Type="http://schemas.openxmlformats.org/officeDocument/2006/relationships/hyperlink" Target="https://blog.stat.naver.com/blog/article/224313089932/cv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dmcmedia_official/224326696550" TargetMode="External"/><Relationship Id="rId3" Type="http://schemas.openxmlformats.org/officeDocument/2006/relationships/hyperlink" Target="https://blog.naver.com/dmcmedia_official/224290016541" TargetMode="External"/><Relationship Id="rId7" Type="http://schemas.openxmlformats.org/officeDocument/2006/relationships/hyperlink" Target="https://blog.naver.com/dmcmedia_official/224245183312" TargetMode="External"/><Relationship Id="rId2" Type="http://schemas.openxmlformats.org/officeDocument/2006/relationships/hyperlink" Target="https://blog.naver.com/dmcmedia_official/224313089932" TargetMode="External"/><Relationship Id="rId1" Type="http://schemas.openxmlformats.org/officeDocument/2006/relationships/hyperlink" Target="https://blog.naver.com/dmcmedia_official/224297964682" TargetMode="External"/><Relationship Id="rId6" Type="http://schemas.openxmlformats.org/officeDocument/2006/relationships/hyperlink" Target="https://blog.naver.com/dmcmedia_official/224303643372" TargetMode="External"/><Relationship Id="rId5" Type="http://schemas.openxmlformats.org/officeDocument/2006/relationships/hyperlink" Target="https://blog.naver.com/dmcmedia_official/224328204507" TargetMode="External"/><Relationship Id="rId10" Type="http://schemas.openxmlformats.org/officeDocument/2006/relationships/hyperlink" Target="https://blog.naver.com/dmcmedia_official/224144628479" TargetMode="External"/><Relationship Id="rId4" Type="http://schemas.openxmlformats.org/officeDocument/2006/relationships/hyperlink" Target="https://blog.naver.com/dmcmedia_official/224324845160" TargetMode="External"/><Relationship Id="rId9" Type="http://schemas.openxmlformats.org/officeDocument/2006/relationships/hyperlink" Target="https://blog.naver.com/dmcmedia_official/224310794560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dmcmedia_official/224263410268" TargetMode="External"/><Relationship Id="rId3" Type="http://schemas.openxmlformats.org/officeDocument/2006/relationships/hyperlink" Target="https://blog.naver.com/dmcmedia_official/224277658917" TargetMode="External"/><Relationship Id="rId7" Type="http://schemas.openxmlformats.org/officeDocument/2006/relationships/hyperlink" Target="https://blog.naver.com/dmcmedia_official/224198353581" TargetMode="External"/><Relationship Id="rId2" Type="http://schemas.openxmlformats.org/officeDocument/2006/relationships/hyperlink" Target="https://blog.naver.com/dmcmedia_official/224290016541" TargetMode="External"/><Relationship Id="rId1" Type="http://schemas.openxmlformats.org/officeDocument/2006/relationships/hyperlink" Target="https://blog.naver.com/dmcmedia_official/224144628479" TargetMode="External"/><Relationship Id="rId6" Type="http://schemas.openxmlformats.org/officeDocument/2006/relationships/hyperlink" Target="https://blog.naver.com/dmcmedia_official/223601798828" TargetMode="External"/><Relationship Id="rId11" Type="http://schemas.openxmlformats.org/officeDocument/2006/relationships/hyperlink" Target="https://blog.naver.com/dmcmedia_official/224296806202" TargetMode="External"/><Relationship Id="rId5" Type="http://schemas.openxmlformats.org/officeDocument/2006/relationships/hyperlink" Target="https://blog.naver.com/dmcmedia_official/224291569176" TargetMode="External"/><Relationship Id="rId10" Type="http://schemas.openxmlformats.org/officeDocument/2006/relationships/hyperlink" Target="https://blog.naver.com/dmcmedia_official/224268022818" TargetMode="External"/><Relationship Id="rId4" Type="http://schemas.openxmlformats.org/officeDocument/2006/relationships/hyperlink" Target="https://blog.naver.com/dmcmedia_official/224245183312" TargetMode="External"/><Relationship Id="rId9" Type="http://schemas.openxmlformats.org/officeDocument/2006/relationships/hyperlink" Target="https://blog.naver.com/dmcmedia_official/224221928550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dmcmedia_official/224235639094" TargetMode="External"/><Relationship Id="rId3" Type="http://schemas.openxmlformats.org/officeDocument/2006/relationships/hyperlink" Target="https://blog.naver.com/dmcmedia_official/224262253859" TargetMode="External"/><Relationship Id="rId7" Type="http://schemas.openxmlformats.org/officeDocument/2006/relationships/hyperlink" Target="https://blog.naver.com/dmcmedia_official/224221928550" TargetMode="External"/><Relationship Id="rId2" Type="http://schemas.openxmlformats.org/officeDocument/2006/relationships/hyperlink" Target="https://blog.naver.com/dmcmedia_official/223858118673" TargetMode="External"/><Relationship Id="rId1" Type="http://schemas.openxmlformats.org/officeDocument/2006/relationships/hyperlink" Target="https://blog.naver.com/dmcmedia_official/224245183312" TargetMode="External"/><Relationship Id="rId6" Type="http://schemas.openxmlformats.org/officeDocument/2006/relationships/hyperlink" Target="https://blog.naver.com/dmcmedia_official/223751460553" TargetMode="External"/><Relationship Id="rId5" Type="http://schemas.openxmlformats.org/officeDocument/2006/relationships/hyperlink" Target="https://blog.naver.com/dmcmedia_official/224019812100" TargetMode="External"/><Relationship Id="rId10" Type="http://schemas.openxmlformats.org/officeDocument/2006/relationships/hyperlink" Target="https://blog.naver.com/dmcmedia_official/224198353581" TargetMode="External"/><Relationship Id="rId4" Type="http://schemas.openxmlformats.org/officeDocument/2006/relationships/hyperlink" Target="https://blog.naver.com/dmcmedia_official/224162487056" TargetMode="External"/><Relationship Id="rId9" Type="http://schemas.openxmlformats.org/officeDocument/2006/relationships/hyperlink" Target="https://blog.naver.com/dmcmedia_official/2236017988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6"/>
  <sheetViews>
    <sheetView zoomScale="70" zoomScaleNormal="70" workbookViewId="0">
      <selection activeCell="G40" sqref="G40"/>
    </sheetView>
  </sheetViews>
  <sheetFormatPr defaultColWidth="8.6640625" defaultRowHeight="14.4"/>
  <cols>
    <col min="2" max="2" width="22" style="150" customWidth="1"/>
    <col min="3" max="3" width="7" style="150" customWidth="1"/>
    <col min="4" max="4" width="9" style="150" customWidth="1"/>
    <col min="5" max="5" width="22" style="150" customWidth="1"/>
    <col min="6" max="6" width="7" style="150" customWidth="1"/>
    <col min="7" max="7" width="9" style="150" customWidth="1"/>
    <col min="8" max="8" width="22" style="150" customWidth="1"/>
    <col min="9" max="9" width="7" style="150" customWidth="1"/>
    <col min="10" max="10" width="9" style="150" customWidth="1"/>
    <col min="11" max="11" width="22" style="150" customWidth="1"/>
    <col min="12" max="12" width="9.109375" style="150" customWidth="1"/>
    <col min="13" max="13" width="9" style="150" customWidth="1"/>
    <col min="14" max="14" width="22" style="150" customWidth="1"/>
    <col min="15" max="15" width="8.44140625" style="150" customWidth="1"/>
    <col min="16" max="16" width="9" style="150" customWidth="1"/>
    <col min="17" max="17" width="22" style="150" customWidth="1"/>
    <col min="18" max="18" width="7" style="150" customWidth="1"/>
    <col min="19" max="19" width="9" style="150" customWidth="1"/>
    <col min="20" max="20" width="22" style="150" customWidth="1"/>
    <col min="21" max="21" width="7" style="150" customWidth="1"/>
    <col min="22" max="22" width="9" style="150" customWidth="1"/>
  </cols>
  <sheetData>
    <row r="1" spans="2:22" ht="21.75" customHeight="1">
      <c r="B1" s="1" t="s">
        <v>0</v>
      </c>
      <c r="C1" s="2">
        <v>9</v>
      </c>
      <c r="D1" s="159" t="s">
        <v>1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2:22" ht="15.75" customHeight="1" thickBot="1"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3</v>
      </c>
      <c r="J2" s="3" t="s">
        <v>4</v>
      </c>
      <c r="K2" s="3" t="s">
        <v>2</v>
      </c>
      <c r="L2" s="3" t="s">
        <v>3</v>
      </c>
      <c r="M2" s="3" t="s">
        <v>4</v>
      </c>
      <c r="N2" s="3" t="s">
        <v>2</v>
      </c>
      <c r="O2" s="3" t="s">
        <v>3</v>
      </c>
      <c r="P2" s="3" t="s">
        <v>4</v>
      </c>
      <c r="Q2" s="3" t="s">
        <v>2</v>
      </c>
      <c r="R2" s="3" t="s">
        <v>3</v>
      </c>
      <c r="S2" s="3" t="s">
        <v>4</v>
      </c>
      <c r="T2" s="3" t="s">
        <v>2</v>
      </c>
      <c r="U2" s="3" t="s">
        <v>3</v>
      </c>
      <c r="V2" s="3" t="s">
        <v>4</v>
      </c>
    </row>
    <row r="3" spans="2:22" ht="15.75" customHeight="1">
      <c r="B3" s="4" t="str">
        <f>IF(1&lt;=DAY(EOMONTH(DATE(2026,$C$1,1),0)),$C$1&amp;"월 1일","")</f>
        <v>9월 1일</v>
      </c>
      <c r="C3" s="5"/>
      <c r="D3" s="6"/>
      <c r="E3" s="4" t="str">
        <f>IF(2&lt;=DAY(EOMONTH(DATE(2026,$C$1,1),0)),$C$1&amp;"월 2일","")</f>
        <v>9월 2일</v>
      </c>
      <c r="F3" s="5"/>
      <c r="G3" s="6"/>
      <c r="H3" s="4" t="str">
        <f>IF(3&lt;=DAY(EOMONTH(DATE(2026,$C$1,1),0)),$C$1&amp;"월 3일","")</f>
        <v>9월 3일</v>
      </c>
      <c r="I3" s="5"/>
      <c r="J3" s="6"/>
      <c r="K3" s="4" t="str">
        <f>IF(4&lt;=DAY(EOMONTH(DATE(2026,$C$1,1),0)),$C$1&amp;"월 4일","")</f>
        <v>9월 4일</v>
      </c>
      <c r="L3" s="5"/>
      <c r="M3" s="6"/>
      <c r="N3" s="4" t="str">
        <f>IF(5&lt;=DAY(EOMONTH(DATE(2026,$C$1,1),0)),$C$1&amp;"월 5일","")</f>
        <v>9월 5일</v>
      </c>
      <c r="O3" s="5"/>
      <c r="P3" s="6"/>
      <c r="Q3" s="4" t="str">
        <f>IF(6&lt;=DAY(EOMONTH(DATE(2026,$C$1,1),0)),$C$1&amp;"월 6일","")</f>
        <v>9월 6일</v>
      </c>
      <c r="R3" s="5"/>
      <c r="S3" s="6"/>
      <c r="T3" s="4" t="str">
        <f>IF(7&lt;=DAY(EOMONTH(DATE(2026,$C$1,1),0)),$C$1&amp;"월 7일","")</f>
        <v>9월 7일</v>
      </c>
      <c r="U3" s="5"/>
      <c r="V3" s="6"/>
    </row>
    <row r="4" spans="2:22" ht="15.75" customHeight="1">
      <c r="B4" s="7"/>
      <c r="C4" s="8"/>
      <c r="D4" s="9"/>
      <c r="E4" s="7"/>
      <c r="F4" s="8"/>
      <c r="G4" s="9"/>
      <c r="H4" s="7"/>
      <c r="I4" s="8"/>
      <c r="J4" s="9"/>
      <c r="K4" s="10"/>
      <c r="L4" s="8"/>
      <c r="M4" s="9"/>
      <c r="N4" s="7"/>
      <c r="O4" s="8"/>
      <c r="P4" s="9"/>
      <c r="Q4" s="7"/>
      <c r="R4" s="11"/>
      <c r="S4" s="9"/>
      <c r="T4" s="10"/>
      <c r="U4" s="8"/>
      <c r="V4" s="9"/>
    </row>
    <row r="5" spans="2:22" ht="15.75" customHeight="1">
      <c r="B5" s="7"/>
      <c r="C5" s="8"/>
      <c r="D5" s="9"/>
      <c r="E5" s="7"/>
      <c r="F5" s="8"/>
      <c r="G5" s="9"/>
      <c r="H5" s="7"/>
      <c r="I5" s="8"/>
      <c r="J5" s="9"/>
      <c r="K5" s="7"/>
      <c r="L5" s="8"/>
      <c r="M5" s="9"/>
      <c r="N5" s="7"/>
      <c r="O5" s="8"/>
      <c r="P5" s="9"/>
      <c r="Q5" s="7"/>
      <c r="R5" s="11"/>
      <c r="S5" s="9"/>
      <c r="T5" s="10"/>
      <c r="U5" s="8"/>
      <c r="V5" s="9"/>
    </row>
    <row r="6" spans="2:22" ht="15.75" customHeight="1">
      <c r="B6" s="7"/>
      <c r="C6" s="8"/>
      <c r="D6" s="9"/>
      <c r="E6" s="7"/>
      <c r="F6" s="8"/>
      <c r="G6" s="9"/>
      <c r="H6" s="7"/>
      <c r="I6" s="8"/>
      <c r="J6" s="9"/>
      <c r="K6" s="7"/>
      <c r="L6" s="8"/>
      <c r="M6" s="9"/>
      <c r="N6" s="7"/>
      <c r="O6" s="8"/>
      <c r="P6" s="9"/>
      <c r="Q6" s="7"/>
      <c r="R6" s="11"/>
      <c r="S6" s="9"/>
      <c r="T6" s="10"/>
      <c r="U6" s="8"/>
      <c r="V6" s="9"/>
    </row>
    <row r="7" spans="2:22" ht="15.75" customHeight="1">
      <c r="B7" s="10"/>
      <c r="C7" s="8"/>
      <c r="D7" s="9"/>
      <c r="E7" s="10"/>
      <c r="F7" s="8"/>
      <c r="G7" s="9"/>
      <c r="H7" s="7"/>
      <c r="I7" s="8"/>
      <c r="J7" s="9"/>
      <c r="K7" s="7"/>
      <c r="L7" s="8"/>
      <c r="M7" s="9"/>
      <c r="N7" s="7"/>
      <c r="O7" s="8"/>
      <c r="P7" s="9"/>
      <c r="Q7" s="7"/>
      <c r="R7" s="11"/>
      <c r="S7" s="9"/>
      <c r="T7" s="10"/>
      <c r="U7" s="8"/>
      <c r="V7" s="9"/>
    </row>
    <row r="8" spans="2:22" ht="15.75" customHeight="1">
      <c r="B8" s="7"/>
      <c r="C8" s="8"/>
      <c r="D8" s="9"/>
      <c r="E8" s="10"/>
      <c r="F8" s="8"/>
      <c r="G8" s="9"/>
      <c r="H8" s="10"/>
      <c r="I8" s="8"/>
      <c r="J8" s="9"/>
      <c r="K8" s="7"/>
      <c r="L8" s="8"/>
      <c r="M8" s="9"/>
      <c r="N8" s="7"/>
      <c r="O8" s="8"/>
      <c r="P8" s="9"/>
      <c r="Q8" s="7"/>
      <c r="R8" s="11"/>
      <c r="S8" s="9"/>
      <c r="T8" s="10"/>
      <c r="U8" s="8"/>
      <c r="V8" s="9"/>
    </row>
    <row r="9" spans="2:22" ht="15.75" customHeight="1">
      <c r="B9" s="7"/>
      <c r="C9" s="8"/>
      <c r="D9" s="9"/>
      <c r="E9" s="7"/>
      <c r="F9" s="8"/>
      <c r="G9" s="9"/>
      <c r="H9" s="7"/>
      <c r="I9" s="8"/>
      <c r="J9" s="9"/>
      <c r="K9" s="7"/>
      <c r="L9" s="8"/>
      <c r="M9" s="9"/>
      <c r="N9" s="7"/>
      <c r="O9" s="8"/>
      <c r="P9" s="9"/>
      <c r="Q9" s="7"/>
      <c r="R9" s="11"/>
      <c r="S9" s="9"/>
      <c r="T9" s="10"/>
      <c r="U9" s="8"/>
      <c r="V9" s="9"/>
    </row>
    <row r="10" spans="2:22" ht="15.75" customHeight="1">
      <c r="B10" s="7"/>
      <c r="C10" s="8"/>
      <c r="D10" s="9"/>
      <c r="E10" s="7"/>
      <c r="F10" s="8"/>
      <c r="G10" s="9"/>
      <c r="H10" s="7"/>
      <c r="I10" s="8"/>
      <c r="J10" s="9"/>
      <c r="K10" s="7"/>
      <c r="L10" s="8"/>
      <c r="M10" s="9"/>
      <c r="N10" s="10"/>
      <c r="O10" s="8"/>
      <c r="P10" s="9"/>
      <c r="Q10" s="7"/>
      <c r="R10" s="11"/>
      <c r="S10" s="9"/>
      <c r="T10" s="10"/>
      <c r="U10" s="8"/>
      <c r="V10" s="9"/>
    </row>
    <row r="11" spans="2:22" ht="15.75" customHeight="1">
      <c r="B11" s="7"/>
      <c r="C11" s="8"/>
      <c r="D11" s="9"/>
      <c r="E11" s="7"/>
      <c r="F11" s="8"/>
      <c r="G11" s="9"/>
      <c r="H11" s="7"/>
      <c r="I11" s="8"/>
      <c r="J11" s="9"/>
      <c r="K11" s="10"/>
      <c r="L11" s="8"/>
      <c r="M11" s="9"/>
      <c r="N11" s="10"/>
      <c r="O11" s="8"/>
      <c r="P11" s="9"/>
      <c r="Q11" s="7"/>
      <c r="R11" s="8"/>
      <c r="S11" s="9"/>
      <c r="T11" s="10"/>
      <c r="U11" s="8"/>
      <c r="V11" s="9"/>
    </row>
    <row r="12" spans="2:22" ht="15.75" customHeight="1">
      <c r="B12" s="7"/>
      <c r="C12" s="8"/>
      <c r="D12" s="9"/>
      <c r="E12" s="7"/>
      <c r="F12" s="8"/>
      <c r="G12" s="9"/>
      <c r="H12" s="10"/>
      <c r="I12" s="8"/>
      <c r="J12" s="9"/>
      <c r="K12" s="10"/>
      <c r="L12" s="8"/>
      <c r="M12" s="9"/>
      <c r="N12" s="10"/>
      <c r="O12" s="8"/>
      <c r="P12" s="9"/>
      <c r="Q12" s="7"/>
      <c r="R12" s="8"/>
      <c r="S12" s="9"/>
      <c r="T12" s="10"/>
      <c r="U12" s="8"/>
      <c r="V12" s="9"/>
    </row>
    <row r="13" spans="2:22" ht="15.75" customHeight="1">
      <c r="B13" s="7"/>
      <c r="C13" s="8"/>
      <c r="D13" s="9"/>
      <c r="E13" s="10"/>
      <c r="F13" s="8"/>
      <c r="G13" s="9"/>
      <c r="H13" s="7"/>
      <c r="I13" s="8"/>
      <c r="J13" s="9"/>
      <c r="K13" s="10"/>
      <c r="L13" s="8"/>
      <c r="M13" s="9"/>
      <c r="N13" s="10"/>
      <c r="O13" s="8"/>
      <c r="P13" s="9"/>
      <c r="Q13" s="7"/>
      <c r="R13" s="8"/>
      <c r="S13" s="9"/>
      <c r="T13" s="10"/>
      <c r="U13" s="8"/>
      <c r="V13" s="9"/>
    </row>
    <row r="14" spans="2:22" ht="15.75" customHeight="1">
      <c r="B14" s="7"/>
      <c r="C14" s="8"/>
      <c r="D14" s="9"/>
      <c r="E14" s="7"/>
      <c r="F14" s="8"/>
      <c r="G14" s="9"/>
      <c r="H14" s="10"/>
      <c r="I14" s="12"/>
      <c r="J14" s="9"/>
      <c r="K14" s="10"/>
      <c r="L14" s="8"/>
      <c r="M14" s="9"/>
      <c r="N14" s="10"/>
      <c r="O14" s="8"/>
      <c r="P14" s="9"/>
      <c r="Q14" s="7"/>
      <c r="R14" s="8"/>
      <c r="S14" s="9"/>
      <c r="T14" s="10"/>
      <c r="U14" s="8"/>
      <c r="V14" s="9"/>
    </row>
    <row r="15" spans="2:22" ht="15.75" customHeight="1">
      <c r="B15" s="7"/>
      <c r="C15" s="8"/>
      <c r="D15" s="9"/>
      <c r="E15" s="7"/>
      <c r="F15" s="8"/>
      <c r="G15" s="9"/>
      <c r="H15" s="10"/>
      <c r="I15" s="12"/>
      <c r="J15" s="9"/>
      <c r="K15" s="10"/>
      <c r="L15" s="8"/>
      <c r="M15" s="9"/>
      <c r="N15" s="10"/>
      <c r="O15" s="8"/>
      <c r="P15" s="9"/>
      <c r="Q15" s="7"/>
      <c r="R15" s="8"/>
      <c r="S15" s="9"/>
      <c r="T15" s="10"/>
      <c r="U15" s="12"/>
      <c r="V15" s="9"/>
    </row>
    <row r="16" spans="2:22" ht="15.75" customHeight="1">
      <c r="B16" s="7"/>
      <c r="C16" s="8"/>
      <c r="D16" s="9"/>
      <c r="E16" s="10"/>
      <c r="F16" s="8"/>
      <c r="G16" s="9"/>
      <c r="H16" s="10"/>
      <c r="I16" s="12"/>
      <c r="J16" s="9"/>
      <c r="K16" s="10"/>
      <c r="L16" s="8"/>
      <c r="M16" s="9"/>
      <c r="N16" s="10"/>
      <c r="O16" s="8"/>
      <c r="P16" s="9"/>
      <c r="Q16" s="7"/>
      <c r="R16" s="8"/>
      <c r="S16" s="9"/>
      <c r="T16" s="10"/>
      <c r="U16" s="12"/>
      <c r="V16" s="9"/>
    </row>
    <row r="17" spans="2:22" ht="15.75" customHeight="1">
      <c r="B17" s="7"/>
      <c r="C17" s="8"/>
      <c r="D17" s="9"/>
      <c r="E17" s="10"/>
      <c r="F17" s="8"/>
      <c r="G17" s="9"/>
      <c r="H17" s="10"/>
      <c r="I17" s="12"/>
      <c r="J17" s="9"/>
      <c r="K17" s="10"/>
      <c r="L17" s="8"/>
      <c r="M17" s="9"/>
      <c r="N17" s="10"/>
      <c r="O17" s="8"/>
      <c r="P17" s="9"/>
      <c r="Q17" s="7"/>
      <c r="R17" s="8"/>
      <c r="S17" s="9"/>
      <c r="T17" s="10"/>
      <c r="U17" s="12"/>
      <c r="V17" s="9"/>
    </row>
    <row r="18" spans="2:22" ht="15.75" customHeight="1">
      <c r="B18" s="7"/>
      <c r="C18" s="8"/>
      <c r="D18" s="9"/>
      <c r="E18" s="10"/>
      <c r="F18" s="8"/>
      <c r="G18" s="9"/>
      <c r="H18" s="10"/>
      <c r="I18" s="12"/>
      <c r="J18" s="9"/>
      <c r="K18" s="10"/>
      <c r="L18" s="12"/>
      <c r="M18" s="9"/>
      <c r="N18" s="10"/>
      <c r="O18" s="8"/>
      <c r="P18" s="9"/>
      <c r="Q18" s="7"/>
      <c r="R18" s="8"/>
      <c r="S18" s="9"/>
      <c r="T18" s="10"/>
      <c r="U18" s="12"/>
      <c r="V18" s="9"/>
    </row>
    <row r="19" spans="2:22" ht="15.75" customHeight="1">
      <c r="B19" s="10"/>
      <c r="C19" s="12"/>
      <c r="D19" s="9"/>
      <c r="E19" s="10"/>
      <c r="F19" s="8"/>
      <c r="G19" s="9"/>
      <c r="H19" s="10"/>
      <c r="I19" s="12"/>
      <c r="J19" s="9"/>
      <c r="K19" s="10"/>
      <c r="L19" s="12"/>
      <c r="M19" s="9"/>
      <c r="N19" s="10"/>
      <c r="O19" s="8"/>
      <c r="P19" s="9"/>
      <c r="Q19" s="7"/>
      <c r="R19" s="8"/>
      <c r="S19" s="9"/>
      <c r="T19" s="10"/>
      <c r="U19" s="12"/>
      <c r="V19" s="9"/>
    </row>
    <row r="20" spans="2:22" ht="15.75" customHeight="1">
      <c r="B20" s="10"/>
      <c r="C20" s="12"/>
      <c r="D20" s="9"/>
      <c r="E20" s="10"/>
      <c r="F20" s="8"/>
      <c r="G20" s="9"/>
      <c r="H20" s="10"/>
      <c r="I20" s="12"/>
      <c r="J20" s="9"/>
      <c r="K20" s="10"/>
      <c r="L20" s="12"/>
      <c r="M20" s="9"/>
      <c r="N20" s="10"/>
      <c r="O20" s="8"/>
      <c r="P20" s="9"/>
      <c r="Q20" s="7"/>
      <c r="R20" s="8"/>
      <c r="S20" s="9"/>
      <c r="T20" s="10"/>
      <c r="U20" s="12"/>
      <c r="V20" s="9"/>
    </row>
    <row r="21" spans="2:22" ht="15.75" customHeight="1">
      <c r="B21" s="10"/>
      <c r="C21" s="12"/>
      <c r="D21" s="9"/>
      <c r="E21" s="10"/>
      <c r="F21" s="8"/>
      <c r="G21" s="9"/>
      <c r="H21" s="10"/>
      <c r="I21" s="12"/>
      <c r="J21" s="9"/>
      <c r="K21" s="10"/>
      <c r="L21" s="12"/>
      <c r="M21" s="9"/>
      <c r="N21" s="10"/>
      <c r="O21" s="12"/>
      <c r="P21" s="9"/>
      <c r="Q21" s="7"/>
      <c r="R21" s="8"/>
      <c r="S21" s="9"/>
      <c r="T21" s="10"/>
      <c r="U21" s="12"/>
      <c r="V21" s="9"/>
    </row>
    <row r="22" spans="2:22" ht="15.75" customHeight="1">
      <c r="B22" s="10"/>
      <c r="C22" s="12"/>
      <c r="D22" s="9"/>
      <c r="E22" s="10"/>
      <c r="F22" s="8"/>
      <c r="G22" s="9"/>
      <c r="H22" s="10"/>
      <c r="I22" s="12"/>
      <c r="J22" s="9"/>
      <c r="K22" s="10"/>
      <c r="L22" s="12"/>
      <c r="M22" s="9"/>
      <c r="N22" s="10"/>
      <c r="O22" s="12"/>
      <c r="P22" s="9"/>
      <c r="Q22" s="7"/>
      <c r="R22" s="8"/>
      <c r="S22" s="9"/>
      <c r="T22" s="10"/>
      <c r="U22" s="12"/>
      <c r="V22" s="9"/>
    </row>
    <row r="23" spans="2:22" ht="15.75" customHeight="1" thickBot="1">
      <c r="B23" s="13"/>
      <c r="C23" s="14"/>
      <c r="D23" s="15"/>
      <c r="E23" s="13"/>
      <c r="F23" s="14"/>
      <c r="G23" s="15"/>
      <c r="H23" s="13"/>
      <c r="I23" s="14"/>
      <c r="J23" s="15"/>
      <c r="K23" s="13"/>
      <c r="L23" s="14"/>
      <c r="M23" s="15"/>
      <c r="N23" s="13"/>
      <c r="O23" s="14"/>
      <c r="P23" s="15"/>
      <c r="Q23" s="13"/>
      <c r="R23" s="14"/>
      <c r="S23" s="15"/>
      <c r="T23" s="13"/>
      <c r="U23" s="14"/>
      <c r="V23" s="15"/>
    </row>
    <row r="24" spans="2:22" ht="15.75" customHeight="1">
      <c r="B24" s="4" t="str">
        <f>IF(8&lt;=DAY(EOMONTH(DATE(2026,$C$1,1),0)),$C$1&amp;"월 8일","")</f>
        <v>9월 8일</v>
      </c>
      <c r="C24" s="5"/>
      <c r="D24" s="6"/>
      <c r="E24" s="4" t="str">
        <f>IF(9&lt;=DAY(EOMONTH(DATE(2026,$C$1,1),0)),$C$1&amp;"월 9일","")</f>
        <v>9월 9일</v>
      </c>
      <c r="F24" s="5"/>
      <c r="G24" s="6"/>
      <c r="H24" s="4" t="str">
        <f>IF(10&lt;=DAY(EOMONTH(DATE(2026,$C$1,1),0)),$C$1&amp;"월 10일","")</f>
        <v>9월 10일</v>
      </c>
      <c r="I24" s="5"/>
      <c r="J24" s="6"/>
      <c r="K24" s="4" t="str">
        <f>IF(11&lt;=DAY(EOMONTH(DATE(2026,$C$1,1),0)),$C$1&amp;"월 11일","")</f>
        <v>9월 11일</v>
      </c>
      <c r="L24" s="5"/>
      <c r="M24" s="6"/>
      <c r="N24" s="4" t="str">
        <f>IF(12&lt;=DAY(EOMONTH(DATE(2026,$C$1,1),0)),$C$1&amp;"월 12일","")</f>
        <v>9월 12일</v>
      </c>
      <c r="O24" s="5"/>
      <c r="P24" s="6"/>
      <c r="Q24" s="4" t="str">
        <f>IF(13&lt;=DAY(EOMONTH(DATE(2026,$C$1,1),0)),$C$1&amp;"월 13일","")</f>
        <v>9월 13일</v>
      </c>
      <c r="R24" s="5"/>
      <c r="S24" s="6"/>
      <c r="T24" s="4" t="str">
        <f>IF(14&lt;=DAY(EOMONTH(DATE(2026,$C$1,1),0)),$C$1&amp;"월 14일","")</f>
        <v>9월 14일</v>
      </c>
      <c r="U24" s="5"/>
      <c r="V24" s="6"/>
    </row>
    <row r="25" spans="2:22" ht="15.75" customHeight="1">
      <c r="B25" s="10"/>
      <c r="C25" s="8"/>
      <c r="D25" s="9"/>
      <c r="E25" s="10"/>
      <c r="F25" s="8"/>
      <c r="G25" s="9"/>
      <c r="H25" s="10"/>
      <c r="I25" s="8"/>
      <c r="J25" s="9"/>
      <c r="K25" s="10"/>
      <c r="L25" s="8"/>
      <c r="M25" s="9"/>
      <c r="N25" s="10"/>
      <c r="O25" s="8"/>
      <c r="P25" s="9"/>
      <c r="Q25" s="10"/>
      <c r="R25" s="11"/>
      <c r="S25" s="9"/>
      <c r="T25" s="10"/>
      <c r="U25" s="8"/>
      <c r="V25" s="9"/>
    </row>
    <row r="26" spans="2:22" ht="15.75" customHeight="1">
      <c r="B26" s="10"/>
      <c r="C26" s="8"/>
      <c r="D26" s="9"/>
      <c r="E26" s="10"/>
      <c r="F26" s="11"/>
      <c r="G26" s="9"/>
      <c r="H26" s="10"/>
      <c r="I26" s="8"/>
      <c r="J26" s="9"/>
      <c r="K26" s="10"/>
      <c r="L26" s="8"/>
      <c r="M26" s="9"/>
      <c r="N26" s="10"/>
      <c r="O26" s="8"/>
      <c r="P26" s="9"/>
      <c r="Q26" s="10"/>
      <c r="R26" s="8"/>
      <c r="S26" s="9"/>
      <c r="T26" s="10"/>
      <c r="U26" s="8"/>
      <c r="V26" s="9"/>
    </row>
    <row r="27" spans="2:22" ht="15.75" customHeight="1">
      <c r="B27" s="10"/>
      <c r="C27" s="8"/>
      <c r="D27" s="9"/>
      <c r="E27" s="10"/>
      <c r="F27" s="8"/>
      <c r="G27" s="9"/>
      <c r="H27" s="10"/>
      <c r="I27" s="8"/>
      <c r="J27" s="9"/>
      <c r="K27" s="10"/>
      <c r="L27" s="8"/>
      <c r="M27" s="9"/>
      <c r="N27" s="10"/>
      <c r="O27" s="8"/>
      <c r="P27" s="9"/>
      <c r="Q27" s="10"/>
      <c r="R27" s="8"/>
      <c r="S27" s="9"/>
      <c r="T27" s="10"/>
      <c r="U27" s="8"/>
      <c r="V27" s="9"/>
    </row>
    <row r="28" spans="2:22" ht="15.75" customHeight="1">
      <c r="B28" s="10"/>
      <c r="C28" s="8"/>
      <c r="D28" s="9"/>
      <c r="E28" s="10"/>
      <c r="F28" s="8"/>
      <c r="G28" s="9"/>
      <c r="H28" s="10"/>
      <c r="I28" s="8"/>
      <c r="J28" s="9"/>
      <c r="K28" s="10"/>
      <c r="L28" s="8"/>
      <c r="M28" s="9"/>
      <c r="N28" s="10"/>
      <c r="O28" s="8"/>
      <c r="P28" s="9"/>
      <c r="Q28" s="10"/>
      <c r="R28" s="8"/>
      <c r="S28" s="9"/>
      <c r="T28" s="10"/>
      <c r="U28" s="8"/>
      <c r="V28" s="9"/>
    </row>
    <row r="29" spans="2:22" ht="15.75" customHeight="1">
      <c r="B29" s="10"/>
      <c r="C29" s="8"/>
      <c r="D29" s="9"/>
      <c r="E29" s="10"/>
      <c r="F29" s="8"/>
      <c r="G29" s="9"/>
      <c r="H29" s="10"/>
      <c r="I29" s="8"/>
      <c r="J29" s="9"/>
      <c r="K29" s="10"/>
      <c r="L29" s="8"/>
      <c r="M29" s="9"/>
      <c r="N29" s="10"/>
      <c r="O29" s="8"/>
      <c r="P29" s="9"/>
      <c r="Q29" s="10"/>
      <c r="R29" s="8"/>
      <c r="S29" s="9"/>
      <c r="T29" s="10"/>
      <c r="U29" s="8"/>
      <c r="V29" s="9"/>
    </row>
    <row r="30" spans="2:22" ht="15.75" customHeight="1">
      <c r="B30" s="10"/>
      <c r="C30" s="8"/>
      <c r="D30" s="9"/>
      <c r="E30" s="10"/>
      <c r="F30" s="8"/>
      <c r="G30" s="9"/>
      <c r="H30" s="10"/>
      <c r="I30" s="8"/>
      <c r="J30" s="9"/>
      <c r="K30" s="10"/>
      <c r="L30" s="8"/>
      <c r="M30" s="9"/>
      <c r="N30" s="10"/>
      <c r="O30" s="8"/>
      <c r="P30" s="9"/>
      <c r="Q30" s="10"/>
      <c r="R30" s="8"/>
      <c r="S30" s="9"/>
      <c r="T30" s="10"/>
      <c r="U30" s="8"/>
      <c r="V30" s="9"/>
    </row>
    <row r="31" spans="2:22" ht="15.75" customHeight="1">
      <c r="B31" s="10"/>
      <c r="C31" s="8"/>
      <c r="D31" s="9"/>
      <c r="E31" s="10"/>
      <c r="F31" s="8"/>
      <c r="G31" s="9"/>
      <c r="H31" s="10"/>
      <c r="I31" s="8"/>
      <c r="J31" s="9"/>
      <c r="K31" s="10"/>
      <c r="L31" s="8"/>
      <c r="M31" s="9"/>
      <c r="N31" s="10"/>
      <c r="O31" s="8"/>
      <c r="P31" s="9"/>
      <c r="Q31" s="10"/>
      <c r="R31" s="8"/>
      <c r="S31" s="9"/>
      <c r="T31" s="10"/>
      <c r="U31" s="8"/>
      <c r="V31" s="9"/>
    </row>
    <row r="32" spans="2:22" ht="15.75" customHeight="1">
      <c r="B32" s="10"/>
      <c r="C32" s="8"/>
      <c r="D32" s="9"/>
      <c r="E32" s="10"/>
      <c r="F32" s="8"/>
      <c r="G32" s="9"/>
      <c r="H32" s="10"/>
      <c r="I32" s="8"/>
      <c r="J32" s="9"/>
      <c r="K32" s="10"/>
      <c r="L32" s="8"/>
      <c r="M32" s="9"/>
      <c r="N32" s="10"/>
      <c r="O32" s="8"/>
      <c r="P32" s="9"/>
      <c r="Q32" s="10"/>
      <c r="R32" s="8"/>
      <c r="S32" s="9"/>
      <c r="T32" s="10"/>
      <c r="U32" s="8"/>
      <c r="V32" s="9"/>
    </row>
    <row r="33" spans="2:22" ht="15.75" customHeight="1">
      <c r="B33" s="10"/>
      <c r="C33" s="8"/>
      <c r="D33" s="9"/>
      <c r="E33" s="10"/>
      <c r="F33" s="8"/>
      <c r="G33" s="9"/>
      <c r="H33" s="10"/>
      <c r="I33" s="8"/>
      <c r="J33" s="9"/>
      <c r="K33" s="10"/>
      <c r="L33" s="8"/>
      <c r="M33" s="9"/>
      <c r="N33" s="10"/>
      <c r="O33" s="8"/>
      <c r="P33" s="9"/>
      <c r="Q33" s="10"/>
      <c r="R33" s="8"/>
      <c r="S33" s="9"/>
      <c r="T33" s="10"/>
      <c r="U33" s="8"/>
      <c r="V33" s="9"/>
    </row>
    <row r="34" spans="2:22" ht="15.75" customHeight="1">
      <c r="B34" s="10"/>
      <c r="C34" s="8"/>
      <c r="D34" s="9"/>
      <c r="E34" s="10"/>
      <c r="F34" s="8"/>
      <c r="G34" s="9"/>
      <c r="H34" s="10"/>
      <c r="I34" s="8"/>
      <c r="J34" s="9"/>
      <c r="K34" s="10"/>
      <c r="L34" s="8"/>
      <c r="M34" s="9"/>
      <c r="N34" s="10"/>
      <c r="O34" s="8"/>
      <c r="P34" s="9"/>
      <c r="Q34" s="10"/>
      <c r="R34" s="8"/>
      <c r="S34" s="9"/>
      <c r="T34" s="10"/>
      <c r="U34" s="8"/>
      <c r="V34" s="9"/>
    </row>
    <row r="35" spans="2:22" ht="15.75" customHeight="1">
      <c r="B35" s="10"/>
      <c r="C35" s="8"/>
      <c r="D35" s="9"/>
      <c r="E35" s="10"/>
      <c r="F35" s="8"/>
      <c r="G35" s="9"/>
      <c r="H35" s="10"/>
      <c r="I35" s="8"/>
      <c r="J35" s="9"/>
      <c r="K35" s="10"/>
      <c r="L35" s="8"/>
      <c r="M35" s="9"/>
      <c r="N35" s="10"/>
      <c r="O35" s="11"/>
      <c r="P35" s="9"/>
      <c r="Q35" s="10"/>
      <c r="R35" s="8"/>
      <c r="S35" s="9"/>
      <c r="T35" s="10"/>
      <c r="U35" s="8"/>
      <c r="V35" s="9"/>
    </row>
    <row r="36" spans="2:22" ht="15.75" customHeight="1">
      <c r="B36" s="10"/>
      <c r="C36" s="8"/>
      <c r="D36" s="9"/>
      <c r="E36" s="10"/>
      <c r="F36" s="11"/>
      <c r="G36" s="9"/>
      <c r="H36" s="10"/>
      <c r="I36" s="8"/>
      <c r="J36" s="9"/>
      <c r="K36" s="10"/>
      <c r="L36" s="12"/>
      <c r="M36" s="9"/>
      <c r="N36" s="10"/>
      <c r="O36" s="11"/>
      <c r="P36" s="9"/>
      <c r="Q36" s="10"/>
      <c r="R36" s="8"/>
      <c r="S36" s="9"/>
      <c r="T36" s="10"/>
      <c r="U36" s="8"/>
      <c r="V36" s="9"/>
    </row>
    <row r="37" spans="2:22" ht="15.75" customHeight="1">
      <c r="B37" s="10"/>
      <c r="C37" s="8"/>
      <c r="D37" s="9"/>
      <c r="E37" s="10"/>
      <c r="F37" s="8"/>
      <c r="G37" s="9"/>
      <c r="H37" s="10"/>
      <c r="I37" s="8"/>
      <c r="J37" s="9"/>
      <c r="K37" s="10"/>
      <c r="L37" s="12"/>
      <c r="M37" s="9"/>
      <c r="N37" s="10"/>
      <c r="O37" s="11"/>
      <c r="P37" s="9"/>
      <c r="Q37" s="10"/>
      <c r="R37" s="8"/>
      <c r="S37" s="9"/>
      <c r="T37" s="10"/>
      <c r="U37" s="8"/>
      <c r="V37" s="9"/>
    </row>
    <row r="38" spans="2:22" ht="15.75" customHeight="1">
      <c r="B38" s="10"/>
      <c r="C38" s="8"/>
      <c r="D38" s="9"/>
      <c r="E38" s="10"/>
      <c r="F38" s="8"/>
      <c r="G38" s="9"/>
      <c r="H38" s="10"/>
      <c r="I38" s="8"/>
      <c r="J38" s="9"/>
      <c r="K38" s="10"/>
      <c r="L38" s="12"/>
      <c r="M38" s="9"/>
      <c r="N38" s="10"/>
      <c r="O38" s="11"/>
      <c r="P38" s="9"/>
      <c r="Q38" s="10"/>
      <c r="R38" s="8"/>
      <c r="S38" s="9"/>
      <c r="T38" s="10"/>
      <c r="U38" s="8"/>
      <c r="V38" s="9"/>
    </row>
    <row r="39" spans="2:22" ht="15.75" customHeight="1">
      <c r="B39" s="10"/>
      <c r="C39" s="8"/>
      <c r="D39" s="9"/>
      <c r="E39" s="10"/>
      <c r="F39" s="8"/>
      <c r="G39" s="9"/>
      <c r="H39" s="10"/>
      <c r="I39" s="8"/>
      <c r="J39" s="9"/>
      <c r="K39" s="10"/>
      <c r="L39" s="12"/>
      <c r="M39" s="9"/>
      <c r="N39" s="10"/>
      <c r="O39" s="11"/>
      <c r="P39" s="9"/>
      <c r="Q39" s="10"/>
      <c r="R39" s="8"/>
      <c r="S39" s="9"/>
      <c r="T39" s="10"/>
      <c r="U39" s="8"/>
      <c r="V39" s="9"/>
    </row>
    <row r="40" spans="2:22" ht="15.75" customHeight="1">
      <c r="B40" s="10"/>
      <c r="C40" s="8"/>
      <c r="D40" s="9"/>
      <c r="E40" s="10"/>
      <c r="F40" s="12"/>
      <c r="G40" s="9"/>
      <c r="H40" s="10"/>
      <c r="I40" s="8"/>
      <c r="J40" s="9"/>
      <c r="K40" s="10"/>
      <c r="L40" s="12"/>
      <c r="M40" s="9"/>
      <c r="N40" s="10"/>
      <c r="O40" s="11"/>
      <c r="P40" s="9"/>
      <c r="Q40" s="10"/>
      <c r="R40" s="8"/>
      <c r="S40" s="9"/>
      <c r="T40" s="10"/>
      <c r="U40" s="8"/>
      <c r="V40" s="9"/>
    </row>
    <row r="41" spans="2:22" ht="15.75" customHeight="1">
      <c r="B41" s="10"/>
      <c r="C41" s="8"/>
      <c r="D41" s="9"/>
      <c r="E41" s="10"/>
      <c r="F41" s="12"/>
      <c r="G41" s="9"/>
      <c r="H41" s="10"/>
      <c r="I41" s="12"/>
      <c r="J41" s="9"/>
      <c r="K41" s="10"/>
      <c r="L41" s="12"/>
      <c r="M41" s="9"/>
      <c r="N41" s="10"/>
      <c r="O41" s="12"/>
      <c r="P41" s="9"/>
      <c r="Q41" s="10"/>
      <c r="R41" s="8"/>
      <c r="S41" s="9"/>
      <c r="T41" s="10"/>
      <c r="U41" s="12"/>
      <c r="V41" s="9"/>
    </row>
    <row r="42" spans="2:22" ht="15.75" customHeight="1">
      <c r="B42" s="10"/>
      <c r="C42" s="8"/>
      <c r="D42" s="9"/>
      <c r="E42" s="10"/>
      <c r="F42" s="12"/>
      <c r="G42" s="9"/>
      <c r="H42" s="10"/>
      <c r="I42" s="12"/>
      <c r="J42" s="9"/>
      <c r="K42" s="10"/>
      <c r="L42" s="12"/>
      <c r="M42" s="9"/>
      <c r="N42" s="10"/>
      <c r="O42" s="12"/>
      <c r="P42" s="9"/>
      <c r="Q42" s="10"/>
      <c r="R42" s="8"/>
      <c r="S42" s="9"/>
      <c r="T42" s="10"/>
      <c r="U42" s="12"/>
      <c r="V42" s="9"/>
    </row>
    <row r="43" spans="2:22" ht="15.75" customHeight="1">
      <c r="B43" s="10"/>
      <c r="C43" s="8"/>
      <c r="D43" s="9"/>
      <c r="E43" s="10"/>
      <c r="F43" s="12"/>
      <c r="G43" s="9"/>
      <c r="H43" s="10"/>
      <c r="I43" s="12"/>
      <c r="J43" s="9"/>
      <c r="K43" s="10"/>
      <c r="L43" s="12"/>
      <c r="M43" s="9"/>
      <c r="N43" s="10"/>
      <c r="O43" s="12"/>
      <c r="P43" s="9"/>
      <c r="Q43" s="10"/>
      <c r="R43" s="8"/>
      <c r="S43" s="9"/>
      <c r="T43" s="10"/>
      <c r="U43" s="12"/>
      <c r="V43" s="9"/>
    </row>
    <row r="44" spans="2:22" ht="15.75" customHeight="1">
      <c r="B44" s="10"/>
      <c r="C44" s="8"/>
      <c r="D44" s="9"/>
      <c r="E44" s="10"/>
      <c r="F44" s="12"/>
      <c r="G44" s="9"/>
      <c r="H44" s="10"/>
      <c r="I44" s="12"/>
      <c r="J44" s="9"/>
      <c r="K44" s="10"/>
      <c r="L44" s="12"/>
      <c r="M44" s="9"/>
      <c r="N44" s="10"/>
      <c r="O44" s="12"/>
      <c r="P44" s="9"/>
      <c r="Q44" s="10"/>
      <c r="R44" s="8"/>
      <c r="S44" s="9"/>
      <c r="T44" s="10"/>
      <c r="U44" s="12"/>
      <c r="V44" s="9"/>
    </row>
    <row r="45" spans="2:22" ht="15.75" customHeight="1">
      <c r="B45" s="10"/>
      <c r="C45" s="12"/>
      <c r="D45" s="9"/>
      <c r="E45" s="10"/>
      <c r="F45" s="12"/>
      <c r="G45" s="9"/>
      <c r="H45" s="10"/>
      <c r="I45" s="12"/>
      <c r="J45" s="9"/>
      <c r="K45" s="10"/>
      <c r="L45" s="12"/>
      <c r="M45" s="9"/>
      <c r="N45" s="10"/>
      <c r="O45" s="12"/>
      <c r="P45" s="9"/>
      <c r="Q45" s="10"/>
      <c r="R45" s="8"/>
      <c r="S45" s="9"/>
      <c r="T45" s="10"/>
      <c r="U45" s="12"/>
      <c r="V45" s="9"/>
    </row>
    <row r="46" spans="2:22" ht="15.75" customHeight="1" thickBot="1">
      <c r="B46" s="13"/>
      <c r="C46" s="14"/>
      <c r="D46" s="15"/>
      <c r="E46" s="13"/>
      <c r="F46" s="14"/>
      <c r="G46" s="15"/>
      <c r="H46" s="13"/>
      <c r="I46" s="14"/>
      <c r="J46" s="15"/>
      <c r="K46" s="13"/>
      <c r="L46" s="14"/>
      <c r="M46" s="15"/>
      <c r="N46" s="13"/>
      <c r="O46" s="14"/>
      <c r="P46" s="15"/>
      <c r="Q46" s="13"/>
      <c r="R46" s="14"/>
      <c r="S46" s="15"/>
      <c r="T46" s="13"/>
      <c r="U46" s="14"/>
      <c r="V46" s="15"/>
    </row>
    <row r="47" spans="2:22" ht="15.75" customHeight="1">
      <c r="B47" s="4" t="str">
        <f>IF(15&lt;=DAY(EOMONTH(DATE(2026,$C$1,1),0)),$C$1&amp;"월 15일","")</f>
        <v>9월 15일</v>
      </c>
      <c r="C47" s="5"/>
      <c r="D47" s="6"/>
      <c r="E47" s="4" t="str">
        <f>IF(16&lt;=DAY(EOMONTH(DATE(2026,$C$1,1),0)),$C$1&amp;"월 16일","")</f>
        <v>9월 16일</v>
      </c>
      <c r="F47" s="5"/>
      <c r="G47" s="6"/>
      <c r="H47" s="4" t="str">
        <f>IF(17&lt;=DAY(EOMONTH(DATE(2026,$C$1,1),0)),$C$1&amp;"월 17일","")</f>
        <v>9월 17일</v>
      </c>
      <c r="I47" s="5"/>
      <c r="J47" s="6"/>
      <c r="K47" s="4" t="str">
        <f>IF(18&lt;=DAY(EOMONTH(DATE(2026,$C$1,1),0)),$C$1&amp;"월 18일","")</f>
        <v>9월 18일</v>
      </c>
      <c r="L47" s="5"/>
      <c r="M47" s="6"/>
      <c r="N47" s="4" t="str">
        <f>IF(19&lt;=DAY(EOMONTH(DATE(2026,$C$1,1),0)),$C$1&amp;"월 19일","")</f>
        <v>9월 19일</v>
      </c>
      <c r="O47" s="5"/>
      <c r="P47" s="6"/>
      <c r="Q47" s="4" t="str">
        <f>IF(20&lt;=DAY(EOMONTH(DATE(2026,$C$1,1),0)),$C$1&amp;"월 20일","")</f>
        <v>9월 20일</v>
      </c>
      <c r="R47" s="5"/>
      <c r="S47" s="6"/>
      <c r="T47" s="4" t="str">
        <f>IF(21&lt;=DAY(EOMONTH(DATE(2026,$C$1,1),0)),$C$1&amp;"월 21일","")</f>
        <v>9월 21일</v>
      </c>
      <c r="U47" s="5"/>
      <c r="V47" s="6"/>
    </row>
    <row r="48" spans="2:22" ht="15.75" customHeight="1">
      <c r="B48" s="10"/>
      <c r="C48" s="8"/>
      <c r="D48" s="9"/>
      <c r="E48" s="10"/>
      <c r="F48" s="8"/>
      <c r="G48" s="9"/>
      <c r="H48" s="10"/>
      <c r="I48" s="8"/>
      <c r="J48" s="9"/>
      <c r="K48" s="10"/>
      <c r="L48" s="8"/>
      <c r="M48" s="9"/>
      <c r="N48" s="10"/>
      <c r="O48" s="8"/>
      <c r="P48" s="9"/>
      <c r="Q48" s="10"/>
      <c r="R48" s="8"/>
      <c r="S48" s="9"/>
      <c r="T48" s="10"/>
      <c r="U48" s="8"/>
      <c r="V48" s="9"/>
    </row>
    <row r="49" spans="2:22" ht="15.75" customHeight="1">
      <c r="B49" s="10"/>
      <c r="C49" s="8"/>
      <c r="D49" s="9"/>
      <c r="E49" s="10"/>
      <c r="F49" s="8"/>
      <c r="G49" s="9"/>
      <c r="H49" s="10"/>
      <c r="I49" s="8"/>
      <c r="J49" s="9"/>
      <c r="K49" s="10"/>
      <c r="L49" s="8"/>
      <c r="M49" s="9"/>
      <c r="N49" s="10"/>
      <c r="O49" s="8"/>
      <c r="P49" s="9"/>
      <c r="Q49" s="10"/>
      <c r="R49" s="8"/>
      <c r="S49" s="9"/>
      <c r="T49" s="10"/>
      <c r="U49" s="8"/>
      <c r="V49" s="9"/>
    </row>
    <row r="50" spans="2:22" ht="15.75" customHeight="1">
      <c r="B50" s="10"/>
      <c r="C50" s="8"/>
      <c r="D50" s="9"/>
      <c r="E50" s="10"/>
      <c r="F50" s="8"/>
      <c r="G50" s="9"/>
      <c r="H50" s="10"/>
      <c r="I50" s="8"/>
      <c r="J50" s="9"/>
      <c r="K50" s="10"/>
      <c r="L50" s="8"/>
      <c r="M50" s="9"/>
      <c r="N50" s="10"/>
      <c r="O50" s="8"/>
      <c r="P50" s="9"/>
      <c r="Q50" s="10"/>
      <c r="R50" s="8"/>
      <c r="S50" s="9"/>
      <c r="T50" s="10"/>
      <c r="U50" s="8"/>
      <c r="V50" s="9"/>
    </row>
    <row r="51" spans="2:22" ht="15.75" customHeight="1">
      <c r="B51" s="10"/>
      <c r="C51" s="8"/>
      <c r="D51" s="9"/>
      <c r="E51" s="10"/>
      <c r="F51" s="8"/>
      <c r="G51" s="9"/>
      <c r="H51" s="10"/>
      <c r="I51" s="8"/>
      <c r="J51" s="9"/>
      <c r="K51" s="10"/>
      <c r="L51" s="8"/>
      <c r="M51" s="9"/>
      <c r="N51" s="10"/>
      <c r="O51" s="8"/>
      <c r="P51" s="9"/>
      <c r="Q51" s="10"/>
      <c r="R51" s="8"/>
      <c r="S51" s="9"/>
      <c r="T51" s="10"/>
      <c r="U51" s="8"/>
      <c r="V51" s="9"/>
    </row>
    <row r="52" spans="2:22" ht="15.75" customHeight="1">
      <c r="B52" s="10"/>
      <c r="C52" s="8"/>
      <c r="D52" s="9"/>
      <c r="E52" s="10"/>
      <c r="F52" s="8"/>
      <c r="G52" s="9"/>
      <c r="H52" s="10"/>
      <c r="I52" s="8"/>
      <c r="J52" s="9"/>
      <c r="K52" s="10"/>
      <c r="L52" s="8"/>
      <c r="M52" s="9"/>
      <c r="N52" s="10"/>
      <c r="O52" s="8"/>
      <c r="P52" s="9"/>
      <c r="Q52" s="10"/>
      <c r="R52" s="8"/>
      <c r="S52" s="9"/>
      <c r="T52" s="10"/>
      <c r="U52" s="8"/>
      <c r="V52" s="9"/>
    </row>
    <row r="53" spans="2:22" ht="15.75" customHeight="1">
      <c r="B53" s="10"/>
      <c r="C53" s="8"/>
      <c r="D53" s="9"/>
      <c r="E53" s="10"/>
      <c r="F53" s="8"/>
      <c r="G53" s="9"/>
      <c r="H53" s="10"/>
      <c r="I53" s="8"/>
      <c r="J53" s="9"/>
      <c r="K53" s="10"/>
      <c r="L53" s="8"/>
      <c r="M53" s="9"/>
      <c r="N53" s="10"/>
      <c r="O53" s="8"/>
      <c r="P53" s="9"/>
      <c r="Q53" s="10"/>
      <c r="R53" s="8"/>
      <c r="S53" s="9"/>
      <c r="T53" s="10"/>
      <c r="U53" s="8"/>
      <c r="V53" s="9"/>
    </row>
    <row r="54" spans="2:22" ht="15.75" customHeight="1">
      <c r="B54" s="10"/>
      <c r="C54" s="8"/>
      <c r="D54" s="9"/>
      <c r="E54" s="10"/>
      <c r="F54" s="8"/>
      <c r="G54" s="9"/>
      <c r="H54" s="10"/>
      <c r="I54" s="8"/>
      <c r="J54" s="9"/>
      <c r="K54" s="10"/>
      <c r="L54" s="8"/>
      <c r="M54" s="9"/>
      <c r="N54" s="10"/>
      <c r="O54" s="8"/>
      <c r="P54" s="9"/>
      <c r="Q54" s="10"/>
      <c r="R54" s="8"/>
      <c r="S54" s="9"/>
      <c r="T54" s="10"/>
      <c r="U54" s="8"/>
      <c r="V54" s="9"/>
    </row>
    <row r="55" spans="2:22" ht="15.75" customHeight="1">
      <c r="B55" s="10"/>
      <c r="C55" s="8"/>
      <c r="D55" s="9"/>
      <c r="E55" s="10"/>
      <c r="F55" s="8"/>
      <c r="G55" s="9"/>
      <c r="H55" s="10"/>
      <c r="I55" s="8"/>
      <c r="J55" s="9"/>
      <c r="K55" s="10"/>
      <c r="L55" s="8"/>
      <c r="M55" s="9"/>
      <c r="N55" s="10"/>
      <c r="O55" s="8"/>
      <c r="P55" s="9"/>
      <c r="Q55" s="10"/>
      <c r="R55" s="8"/>
      <c r="S55" s="9"/>
      <c r="T55" s="10"/>
      <c r="U55" s="8"/>
      <c r="V55" s="9"/>
    </row>
    <row r="56" spans="2:22" ht="15.75" customHeight="1">
      <c r="B56" s="10"/>
      <c r="C56" s="8"/>
      <c r="D56" s="9"/>
      <c r="E56" s="10"/>
      <c r="F56" s="8"/>
      <c r="G56" s="9"/>
      <c r="H56" s="10"/>
      <c r="I56" s="8"/>
      <c r="J56" s="9"/>
      <c r="K56" s="10"/>
      <c r="L56" s="8"/>
      <c r="M56" s="9"/>
      <c r="N56" s="10"/>
      <c r="O56" s="8"/>
      <c r="P56" s="9"/>
      <c r="Q56" s="10"/>
      <c r="R56" s="8"/>
      <c r="S56" s="9"/>
      <c r="T56" s="10"/>
      <c r="U56" s="8"/>
      <c r="V56" s="9"/>
    </row>
    <row r="57" spans="2:22" ht="15.75" customHeight="1">
      <c r="B57" s="10"/>
      <c r="C57" s="8"/>
      <c r="D57" s="9"/>
      <c r="E57" s="10"/>
      <c r="F57" s="8"/>
      <c r="G57" s="9"/>
      <c r="H57" s="10"/>
      <c r="I57" s="8"/>
      <c r="J57" s="9"/>
      <c r="K57" s="10"/>
      <c r="L57" s="8"/>
      <c r="M57" s="9"/>
      <c r="N57" s="10"/>
      <c r="O57" s="12"/>
      <c r="P57" s="9"/>
      <c r="Q57" s="10"/>
      <c r="R57" s="8"/>
      <c r="S57" s="9"/>
      <c r="T57" s="10"/>
      <c r="U57" s="8"/>
      <c r="V57" s="9"/>
    </row>
    <row r="58" spans="2:22" ht="15.75" customHeight="1">
      <c r="B58" s="10"/>
      <c r="C58" s="8"/>
      <c r="D58" s="9"/>
      <c r="E58" s="10"/>
      <c r="F58" s="8"/>
      <c r="G58" s="9"/>
      <c r="H58" s="10"/>
      <c r="I58" s="8"/>
      <c r="J58" s="9"/>
      <c r="K58" s="10"/>
      <c r="L58" s="8"/>
      <c r="M58" s="9"/>
      <c r="N58" s="10"/>
      <c r="O58" s="12"/>
      <c r="P58" s="9"/>
      <c r="Q58" s="10"/>
      <c r="R58" s="8"/>
      <c r="S58" s="9"/>
      <c r="T58" s="10"/>
      <c r="U58" s="8"/>
      <c r="V58" s="9"/>
    </row>
    <row r="59" spans="2:22" ht="15.75" customHeight="1">
      <c r="B59" s="10"/>
      <c r="C59" s="8"/>
      <c r="D59" s="9"/>
      <c r="E59" s="10"/>
      <c r="F59" s="8"/>
      <c r="G59" s="9"/>
      <c r="H59" s="10"/>
      <c r="I59" s="12"/>
      <c r="J59" s="9"/>
      <c r="K59" s="10"/>
      <c r="L59" s="12"/>
      <c r="M59" s="9"/>
      <c r="N59" s="10"/>
      <c r="O59" s="12"/>
      <c r="P59" s="9"/>
      <c r="Q59" s="10"/>
      <c r="R59" s="8"/>
      <c r="S59" s="9"/>
      <c r="T59" s="10"/>
      <c r="U59" s="8"/>
      <c r="V59" s="9"/>
    </row>
    <row r="60" spans="2:22" ht="15.75" customHeight="1">
      <c r="B60" s="10"/>
      <c r="C60" s="8"/>
      <c r="D60" s="9"/>
      <c r="E60" s="10"/>
      <c r="F60" s="8"/>
      <c r="G60" s="9"/>
      <c r="H60" s="10"/>
      <c r="I60" s="12"/>
      <c r="J60" s="9"/>
      <c r="K60" s="10"/>
      <c r="L60" s="12"/>
      <c r="M60" s="9"/>
      <c r="N60" s="10"/>
      <c r="O60" s="12"/>
      <c r="P60" s="9"/>
      <c r="Q60" s="10"/>
      <c r="R60" s="8"/>
      <c r="S60" s="9"/>
      <c r="T60" s="10"/>
      <c r="U60" s="8"/>
      <c r="V60" s="9"/>
    </row>
    <row r="61" spans="2:22" ht="15.75" customHeight="1">
      <c r="B61" s="10"/>
      <c r="C61" s="8"/>
      <c r="D61" s="9"/>
      <c r="E61" s="10"/>
      <c r="F61" s="8"/>
      <c r="G61" s="9"/>
      <c r="H61" s="10"/>
      <c r="I61" s="12"/>
      <c r="J61" s="9"/>
      <c r="K61" s="10"/>
      <c r="L61" s="12"/>
      <c r="M61" s="9"/>
      <c r="N61" s="10"/>
      <c r="O61" s="12"/>
      <c r="P61" s="9"/>
      <c r="Q61" s="10"/>
      <c r="R61" s="12"/>
      <c r="S61" s="9"/>
      <c r="T61" s="10"/>
      <c r="U61" s="8"/>
      <c r="V61" s="9"/>
    </row>
    <row r="62" spans="2:22" ht="15.75" customHeight="1">
      <c r="B62" s="10"/>
      <c r="C62" s="8"/>
      <c r="D62" s="9"/>
      <c r="E62" s="10"/>
      <c r="F62" s="8"/>
      <c r="G62" s="9"/>
      <c r="H62" s="10"/>
      <c r="I62" s="12"/>
      <c r="J62" s="9"/>
      <c r="K62" s="10"/>
      <c r="L62" s="12"/>
      <c r="M62" s="9"/>
      <c r="N62" s="10"/>
      <c r="O62" s="12"/>
      <c r="P62" s="9"/>
      <c r="Q62" s="10"/>
      <c r="R62" s="12"/>
      <c r="S62" s="9"/>
      <c r="T62" s="10"/>
      <c r="U62" s="8"/>
      <c r="V62" s="9"/>
    </row>
    <row r="63" spans="2:22" ht="15.75" customHeight="1">
      <c r="B63" s="10"/>
      <c r="C63" s="8"/>
      <c r="D63" s="9"/>
      <c r="E63" s="10"/>
      <c r="F63" s="8"/>
      <c r="G63" s="9"/>
      <c r="H63" s="10"/>
      <c r="I63" s="12"/>
      <c r="J63" s="9"/>
      <c r="K63" s="10"/>
      <c r="L63" s="12"/>
      <c r="M63" s="9"/>
      <c r="N63" s="10"/>
      <c r="O63" s="12"/>
      <c r="P63" s="9"/>
      <c r="Q63" s="10"/>
      <c r="R63" s="12"/>
      <c r="S63" s="9"/>
      <c r="T63" s="10"/>
      <c r="U63" s="8"/>
      <c r="V63" s="9"/>
    </row>
    <row r="64" spans="2:22" ht="15.75" customHeight="1">
      <c r="B64" s="10"/>
      <c r="C64" s="8"/>
      <c r="D64" s="9"/>
      <c r="E64" s="10"/>
      <c r="F64" s="8"/>
      <c r="G64" s="9"/>
      <c r="H64" s="10"/>
      <c r="I64" s="12"/>
      <c r="J64" s="9"/>
      <c r="K64" s="10"/>
      <c r="L64" s="12"/>
      <c r="M64" s="9"/>
      <c r="N64" s="10"/>
      <c r="O64" s="12"/>
      <c r="P64" s="9"/>
      <c r="Q64" s="10"/>
      <c r="R64" s="12"/>
      <c r="S64" s="9"/>
      <c r="T64" s="10"/>
      <c r="U64" s="8"/>
      <c r="V64" s="9"/>
    </row>
    <row r="65" spans="2:22" ht="15.75" customHeight="1">
      <c r="B65" s="10"/>
      <c r="C65" s="8"/>
      <c r="D65" s="9"/>
      <c r="E65" s="10"/>
      <c r="F65" s="8"/>
      <c r="G65" s="9"/>
      <c r="H65" s="10"/>
      <c r="I65" s="12"/>
      <c r="J65" s="9"/>
      <c r="K65" s="10"/>
      <c r="L65" s="12"/>
      <c r="M65" s="9"/>
      <c r="N65" s="10"/>
      <c r="O65" s="12"/>
      <c r="P65" s="9"/>
      <c r="Q65" s="10"/>
      <c r="R65" s="12"/>
      <c r="S65" s="9"/>
      <c r="T65" s="10"/>
      <c r="U65" s="8"/>
      <c r="V65" s="9"/>
    </row>
    <row r="66" spans="2:22" ht="15.75" customHeight="1">
      <c r="B66" s="10"/>
      <c r="C66" s="8"/>
      <c r="D66" s="9"/>
      <c r="E66" s="10"/>
      <c r="F66" s="8"/>
      <c r="G66" s="9"/>
      <c r="H66" s="10"/>
      <c r="I66" s="12"/>
      <c r="J66" s="9"/>
      <c r="K66" s="10"/>
      <c r="L66" s="12"/>
      <c r="M66" s="9"/>
      <c r="N66" s="10"/>
      <c r="O66" s="12"/>
      <c r="P66" s="9"/>
      <c r="Q66" s="10"/>
      <c r="R66" s="12"/>
      <c r="S66" s="9"/>
      <c r="T66" s="10"/>
      <c r="U66" s="8"/>
      <c r="V66" s="9"/>
    </row>
    <row r="67" spans="2:22" ht="15.75" customHeight="1">
      <c r="B67" s="10"/>
      <c r="C67" s="8"/>
      <c r="D67" s="9"/>
      <c r="E67" s="10"/>
      <c r="F67" s="8"/>
      <c r="G67" s="9"/>
      <c r="H67" s="10"/>
      <c r="I67" s="12"/>
      <c r="J67" s="9"/>
      <c r="K67" s="10"/>
      <c r="L67" s="12"/>
      <c r="M67" s="9"/>
      <c r="N67" s="10"/>
      <c r="O67" s="12"/>
      <c r="P67" s="9"/>
      <c r="Q67" s="10"/>
      <c r="R67" s="12"/>
      <c r="S67" s="9"/>
      <c r="T67" s="10"/>
      <c r="U67" s="8"/>
      <c r="V67" s="9"/>
    </row>
    <row r="68" spans="2:22" ht="15.75" customHeight="1">
      <c r="B68" s="10"/>
      <c r="C68" s="8"/>
      <c r="D68" s="9"/>
      <c r="E68" s="10"/>
      <c r="F68" s="8"/>
      <c r="G68" s="9"/>
      <c r="H68" s="10"/>
      <c r="I68" s="12"/>
      <c r="J68" s="9"/>
      <c r="K68" s="10"/>
      <c r="L68" s="12"/>
      <c r="M68" s="9"/>
      <c r="N68" s="10"/>
      <c r="O68" s="12"/>
      <c r="P68" s="9"/>
      <c r="Q68" s="10"/>
      <c r="R68" s="12"/>
      <c r="S68" s="9"/>
      <c r="T68" s="10"/>
      <c r="U68" s="8"/>
      <c r="V68" s="9"/>
    </row>
    <row r="69" spans="2:22" ht="15.75" customHeight="1">
      <c r="B69" s="10"/>
      <c r="C69" s="8"/>
      <c r="D69" s="9"/>
      <c r="E69" s="10"/>
      <c r="F69" s="8"/>
      <c r="G69" s="9"/>
      <c r="H69" s="10"/>
      <c r="I69" s="12"/>
      <c r="J69" s="9"/>
      <c r="K69" s="10"/>
      <c r="L69" s="12"/>
      <c r="M69" s="9"/>
      <c r="N69" s="10"/>
      <c r="O69" s="12"/>
      <c r="P69" s="9"/>
      <c r="Q69" s="10"/>
      <c r="R69" s="12"/>
      <c r="S69" s="9"/>
      <c r="T69" s="10"/>
      <c r="U69" s="8"/>
      <c r="V69" s="9"/>
    </row>
    <row r="70" spans="2:22" ht="15.75" customHeight="1">
      <c r="B70" s="10"/>
      <c r="C70" s="8"/>
      <c r="D70" s="9"/>
      <c r="E70" s="10"/>
      <c r="F70" s="8"/>
      <c r="G70" s="9"/>
      <c r="H70" s="10"/>
      <c r="I70" s="12"/>
      <c r="J70" s="9"/>
      <c r="K70" s="10"/>
      <c r="L70" s="12"/>
      <c r="M70" s="9"/>
      <c r="N70" s="10"/>
      <c r="O70" s="12"/>
      <c r="P70" s="9"/>
      <c r="Q70" s="10"/>
      <c r="R70" s="12"/>
      <c r="S70" s="9"/>
      <c r="T70" s="10"/>
      <c r="U70" s="8"/>
      <c r="V70" s="9"/>
    </row>
    <row r="71" spans="2:22" ht="15.75" customHeight="1">
      <c r="B71" s="10"/>
      <c r="C71" s="12"/>
      <c r="D71" s="9"/>
      <c r="E71" s="10"/>
      <c r="F71" s="12"/>
      <c r="G71" s="9"/>
      <c r="H71" s="10"/>
      <c r="I71" s="12"/>
      <c r="J71" s="9"/>
      <c r="K71" s="10"/>
      <c r="L71" s="12"/>
      <c r="M71" s="9"/>
      <c r="N71" s="10"/>
      <c r="O71" s="12"/>
      <c r="P71" s="9"/>
      <c r="Q71" s="10"/>
      <c r="R71" s="12"/>
      <c r="S71" s="9"/>
      <c r="T71" s="10"/>
      <c r="U71" s="12"/>
      <c r="V71" s="9"/>
    </row>
    <row r="72" spans="2:22" ht="15.75" customHeight="1" thickBot="1">
      <c r="B72" s="13"/>
      <c r="C72" s="14"/>
      <c r="D72" s="15"/>
      <c r="E72" s="13"/>
      <c r="F72" s="14"/>
      <c r="G72" s="15"/>
      <c r="H72" s="13"/>
      <c r="I72" s="14"/>
      <c r="J72" s="15"/>
      <c r="K72" s="13"/>
      <c r="L72" s="14"/>
      <c r="M72" s="15"/>
      <c r="N72" s="13"/>
      <c r="O72" s="14"/>
      <c r="P72" s="15"/>
      <c r="Q72" s="13"/>
      <c r="R72" s="14"/>
      <c r="S72" s="15"/>
      <c r="T72" s="13"/>
      <c r="U72" s="14"/>
      <c r="V72" s="15"/>
    </row>
    <row r="73" spans="2:22" ht="15.75" customHeight="1">
      <c r="B73" s="4" t="str">
        <f>IF(22&lt;=DAY(EOMONTH(DATE(2026,$C$1,1),0)),$C$1&amp;"월 22일","")</f>
        <v>9월 22일</v>
      </c>
      <c r="C73" s="5"/>
      <c r="D73" s="6"/>
      <c r="E73" s="4" t="str">
        <f>IF(23&lt;=DAY(EOMONTH(DATE(2026,$C$1,1),0)),$C$1&amp;"월 23일","")</f>
        <v>9월 23일</v>
      </c>
      <c r="F73" s="5"/>
      <c r="G73" s="6"/>
      <c r="H73" s="4" t="str">
        <f>IF(24&lt;=DAY(EOMONTH(DATE(2026,$C$1,1),0)),$C$1&amp;"월 24일","")</f>
        <v>9월 24일</v>
      </c>
      <c r="I73" s="5"/>
      <c r="J73" s="6"/>
      <c r="K73" s="4" t="str">
        <f>IF(25&lt;=DAY(EOMONTH(DATE(2026,$C$1,1),0)),$C$1&amp;"월 25일","")</f>
        <v>9월 25일</v>
      </c>
      <c r="L73" s="5"/>
      <c r="M73" s="6"/>
      <c r="N73" s="4" t="str">
        <f>IF(26&lt;=DAY(EOMONTH(DATE(2026,$C$1,1),0)),$C$1&amp;"월 26일","")</f>
        <v>9월 26일</v>
      </c>
      <c r="O73" s="5"/>
      <c r="P73" s="6"/>
      <c r="Q73" s="4" t="str">
        <f>IF(27&lt;=DAY(EOMONTH(DATE(2026,$C$1,1),0)),$C$1&amp;"월 27일","")</f>
        <v>9월 27일</v>
      </c>
      <c r="R73" s="5"/>
      <c r="S73" s="6"/>
      <c r="T73" s="4" t="str">
        <f>IF(28&lt;=DAY(EOMONTH(DATE(2026,$C$1,1),0)),$C$1&amp;"월 28일","")</f>
        <v>9월 28일</v>
      </c>
      <c r="U73" s="5"/>
      <c r="V73" s="6"/>
    </row>
    <row r="74" spans="2:22" ht="15.75" customHeight="1">
      <c r="B74" s="10"/>
      <c r="C74" s="8"/>
      <c r="D74" s="9"/>
      <c r="E74" s="10"/>
      <c r="F74" s="8"/>
      <c r="G74" s="9"/>
      <c r="H74" s="10"/>
      <c r="I74" s="8"/>
      <c r="J74" s="9"/>
      <c r="K74" s="10"/>
      <c r="L74" s="8"/>
      <c r="M74" s="9"/>
      <c r="N74" s="10"/>
      <c r="O74" s="8"/>
      <c r="P74" s="9"/>
      <c r="Q74" s="10"/>
      <c r="R74" s="8"/>
      <c r="S74" s="9"/>
      <c r="T74" s="10"/>
      <c r="U74" s="8"/>
      <c r="V74" s="9"/>
    </row>
    <row r="75" spans="2:22" ht="15.75" customHeight="1">
      <c r="B75" s="10"/>
      <c r="C75" s="8"/>
      <c r="D75" s="9"/>
      <c r="E75" s="10"/>
      <c r="F75" s="8"/>
      <c r="G75" s="9"/>
      <c r="H75" s="10"/>
      <c r="I75" s="8"/>
      <c r="J75" s="9"/>
      <c r="K75" s="10"/>
      <c r="L75" s="8"/>
      <c r="M75" s="9"/>
      <c r="N75" s="10"/>
      <c r="O75" s="8"/>
      <c r="P75" s="9"/>
      <c r="Q75" s="10"/>
      <c r="R75" s="8"/>
      <c r="S75" s="9"/>
      <c r="T75" s="10"/>
      <c r="U75" s="11"/>
      <c r="V75" s="9"/>
    </row>
    <row r="76" spans="2:22" ht="15.75" customHeight="1">
      <c r="B76" s="10"/>
      <c r="C76" s="8"/>
      <c r="D76" s="9"/>
      <c r="E76" s="10"/>
      <c r="F76" s="8"/>
      <c r="G76" s="9"/>
      <c r="H76" s="10"/>
      <c r="I76" s="8"/>
      <c r="J76" s="9"/>
      <c r="K76" s="10"/>
      <c r="L76" s="8"/>
      <c r="M76" s="9"/>
      <c r="N76" s="10"/>
      <c r="O76" s="8"/>
      <c r="P76" s="9"/>
      <c r="Q76" s="10"/>
      <c r="R76" s="8"/>
      <c r="S76" s="9"/>
      <c r="T76" s="10"/>
      <c r="U76" s="11"/>
      <c r="V76" s="9"/>
    </row>
    <row r="77" spans="2:22" ht="15.75" customHeight="1">
      <c r="B77" s="10"/>
      <c r="C77" s="8"/>
      <c r="D77" s="9"/>
      <c r="E77" s="10"/>
      <c r="F77" s="8"/>
      <c r="G77" s="9"/>
      <c r="H77" s="10"/>
      <c r="I77" s="8"/>
      <c r="J77" s="9"/>
      <c r="K77" s="10"/>
      <c r="L77" s="8"/>
      <c r="M77" s="9"/>
      <c r="N77" s="10"/>
      <c r="O77" s="8"/>
      <c r="P77" s="9"/>
      <c r="Q77" s="10"/>
      <c r="R77" s="8"/>
      <c r="S77" s="9"/>
      <c r="T77" s="10"/>
      <c r="U77" s="8"/>
      <c r="V77" s="9"/>
    </row>
    <row r="78" spans="2:22" ht="15.75" customHeight="1">
      <c r="B78" s="10"/>
      <c r="C78" s="8"/>
      <c r="D78" s="9"/>
      <c r="E78" s="10"/>
      <c r="F78" s="8"/>
      <c r="G78" s="9"/>
      <c r="H78" s="10"/>
      <c r="I78" s="8"/>
      <c r="J78" s="9"/>
      <c r="K78" s="10"/>
      <c r="L78" s="8"/>
      <c r="M78" s="9"/>
      <c r="N78" s="10"/>
      <c r="O78" s="8"/>
      <c r="P78" s="9"/>
      <c r="Q78" s="10"/>
      <c r="R78" s="8"/>
      <c r="S78" s="9"/>
      <c r="T78" s="10"/>
      <c r="U78" s="8"/>
      <c r="V78" s="9"/>
    </row>
    <row r="79" spans="2:22" ht="15.75" customHeight="1">
      <c r="B79" s="10"/>
      <c r="C79" s="8"/>
      <c r="D79" s="9"/>
      <c r="E79" s="10"/>
      <c r="F79" s="8"/>
      <c r="G79" s="9"/>
      <c r="H79" s="10"/>
      <c r="I79" s="8"/>
      <c r="J79" s="9"/>
      <c r="K79" s="10"/>
      <c r="L79" s="8"/>
      <c r="M79" s="9"/>
      <c r="N79" s="10"/>
      <c r="O79" s="8"/>
      <c r="P79" s="9"/>
      <c r="Q79" s="10"/>
      <c r="R79" s="8"/>
      <c r="S79" s="9"/>
      <c r="T79" s="10"/>
      <c r="U79" s="8"/>
      <c r="V79" s="9"/>
    </row>
    <row r="80" spans="2:22" ht="15.75" customHeight="1">
      <c r="B80" s="10"/>
      <c r="C80" s="8"/>
      <c r="D80" s="9"/>
      <c r="E80" s="10"/>
      <c r="F80" s="8"/>
      <c r="G80" s="9"/>
      <c r="H80" s="10"/>
      <c r="I80" s="8"/>
      <c r="J80" s="9"/>
      <c r="K80" s="10"/>
      <c r="L80" s="12"/>
      <c r="M80" s="9"/>
      <c r="N80" s="10"/>
      <c r="O80" s="8"/>
      <c r="P80" s="9"/>
      <c r="Q80" s="10"/>
      <c r="R80" s="8"/>
      <c r="S80" s="9"/>
      <c r="T80" s="10"/>
      <c r="U80" s="8"/>
      <c r="V80" s="9"/>
    </row>
    <row r="81" spans="2:22" ht="15.75" customHeight="1">
      <c r="B81" s="10"/>
      <c r="C81" s="8"/>
      <c r="D81" s="9"/>
      <c r="E81" s="10"/>
      <c r="F81" s="8"/>
      <c r="G81" s="9"/>
      <c r="H81" s="10"/>
      <c r="I81" s="8"/>
      <c r="J81" s="9"/>
      <c r="K81" s="10"/>
      <c r="L81" s="12"/>
      <c r="M81" s="9"/>
      <c r="N81" s="10"/>
      <c r="O81" s="8"/>
      <c r="P81" s="9"/>
      <c r="Q81" s="10"/>
      <c r="R81" s="8"/>
      <c r="S81" s="9"/>
      <c r="T81" s="10"/>
      <c r="U81" s="8"/>
      <c r="V81" s="9"/>
    </row>
    <row r="82" spans="2:22" ht="15.75" customHeight="1">
      <c r="B82" s="10"/>
      <c r="C82" s="8"/>
      <c r="D82" s="9"/>
      <c r="E82" s="10"/>
      <c r="F82" s="8"/>
      <c r="G82" s="9"/>
      <c r="H82" s="10"/>
      <c r="I82" s="8"/>
      <c r="J82" s="9"/>
      <c r="K82" s="10"/>
      <c r="L82" s="12"/>
      <c r="M82" s="9"/>
      <c r="N82" s="10"/>
      <c r="O82" s="8"/>
      <c r="P82" s="9"/>
      <c r="Q82" s="10"/>
      <c r="R82" s="8"/>
      <c r="S82" s="9"/>
      <c r="T82" s="10"/>
      <c r="U82" s="8"/>
      <c r="V82" s="9"/>
    </row>
    <row r="83" spans="2:22" ht="15.75" customHeight="1">
      <c r="B83" s="10"/>
      <c r="C83" s="8"/>
      <c r="D83" s="9"/>
      <c r="E83" s="10"/>
      <c r="F83" s="8"/>
      <c r="G83" s="9"/>
      <c r="H83" s="10"/>
      <c r="I83" s="8"/>
      <c r="J83" s="9"/>
      <c r="K83" s="10"/>
      <c r="L83" s="12"/>
      <c r="M83" s="9"/>
      <c r="N83" s="10"/>
      <c r="O83" s="8"/>
      <c r="P83" s="9"/>
      <c r="Q83" s="10"/>
      <c r="R83" s="12"/>
      <c r="S83" s="9"/>
      <c r="T83" s="10"/>
      <c r="U83" s="12"/>
      <c r="V83" s="9"/>
    </row>
    <row r="84" spans="2:22" ht="15.75" customHeight="1">
      <c r="B84" s="10"/>
      <c r="C84" s="8"/>
      <c r="D84" s="9"/>
      <c r="E84" s="10"/>
      <c r="F84" s="8"/>
      <c r="G84" s="9"/>
      <c r="H84" s="10"/>
      <c r="I84" s="8"/>
      <c r="J84" s="9"/>
      <c r="K84" s="10"/>
      <c r="L84" s="12"/>
      <c r="M84" s="9"/>
      <c r="N84" s="10"/>
      <c r="O84" s="8"/>
      <c r="P84" s="9"/>
      <c r="Q84" s="10"/>
      <c r="R84" s="12"/>
      <c r="S84" s="9"/>
      <c r="T84" s="10"/>
      <c r="U84" s="12"/>
      <c r="V84" s="9"/>
    </row>
    <row r="85" spans="2:22" ht="15.75" customHeight="1">
      <c r="B85" s="10"/>
      <c r="C85" s="8"/>
      <c r="D85" s="9"/>
      <c r="E85" s="10"/>
      <c r="F85" s="8"/>
      <c r="G85" s="9"/>
      <c r="H85" s="10"/>
      <c r="I85" s="8"/>
      <c r="J85" s="9"/>
      <c r="K85" s="10"/>
      <c r="L85" s="12"/>
      <c r="M85" s="9"/>
      <c r="N85" s="10"/>
      <c r="O85" s="8"/>
      <c r="P85" s="9"/>
      <c r="Q85" s="10"/>
      <c r="R85" s="12"/>
      <c r="S85" s="9"/>
      <c r="T85" s="10"/>
      <c r="U85" s="12"/>
      <c r="V85" s="9"/>
    </row>
    <row r="86" spans="2:22" ht="15.75" customHeight="1">
      <c r="B86" s="10"/>
      <c r="C86" s="8"/>
      <c r="D86" s="9"/>
      <c r="E86" s="10"/>
      <c r="F86" s="8"/>
      <c r="G86" s="9"/>
      <c r="H86" s="10"/>
      <c r="I86" s="8"/>
      <c r="J86" s="9"/>
      <c r="K86" s="10"/>
      <c r="L86" s="12"/>
      <c r="M86" s="9"/>
      <c r="N86" s="10"/>
      <c r="O86" s="8"/>
      <c r="P86" s="9"/>
      <c r="Q86" s="10"/>
      <c r="R86" s="12"/>
      <c r="S86" s="9"/>
      <c r="T86" s="10"/>
      <c r="U86" s="12"/>
      <c r="V86" s="9"/>
    </row>
    <row r="87" spans="2:22" ht="15.75" customHeight="1">
      <c r="B87" s="10"/>
      <c r="C87" s="8"/>
      <c r="D87" s="9"/>
      <c r="E87" s="10"/>
      <c r="F87" s="8"/>
      <c r="G87" s="9"/>
      <c r="H87" s="10"/>
      <c r="I87" s="8"/>
      <c r="J87" s="9"/>
      <c r="K87" s="10"/>
      <c r="L87" s="12"/>
      <c r="M87" s="9"/>
      <c r="N87" s="10"/>
      <c r="O87" s="8"/>
      <c r="P87" s="9"/>
      <c r="Q87" s="10"/>
      <c r="R87" s="12"/>
      <c r="S87" s="9"/>
      <c r="T87" s="10"/>
      <c r="U87" s="12"/>
      <c r="V87" s="9"/>
    </row>
    <row r="88" spans="2:22" ht="15.75" customHeight="1">
      <c r="B88" s="10"/>
      <c r="C88" s="8"/>
      <c r="D88" s="9"/>
      <c r="E88" s="10"/>
      <c r="F88" s="8"/>
      <c r="G88" s="9"/>
      <c r="H88" s="10"/>
      <c r="I88" s="8"/>
      <c r="J88" s="9"/>
      <c r="K88" s="10"/>
      <c r="L88" s="12"/>
      <c r="M88" s="9"/>
      <c r="N88" s="10"/>
      <c r="O88" s="8"/>
      <c r="P88" s="9"/>
      <c r="Q88" s="10"/>
      <c r="R88" s="12"/>
      <c r="S88" s="9"/>
      <c r="T88" s="10"/>
      <c r="U88" s="12"/>
      <c r="V88" s="9"/>
    </row>
    <row r="89" spans="2:22" ht="15.75" customHeight="1">
      <c r="B89" s="10"/>
      <c r="C89" s="8"/>
      <c r="D89" s="9"/>
      <c r="E89" s="10"/>
      <c r="F89" s="8"/>
      <c r="G89" s="9"/>
      <c r="H89" s="10"/>
      <c r="I89" s="12"/>
      <c r="J89" s="9"/>
      <c r="K89" s="10"/>
      <c r="L89" s="12"/>
      <c r="M89" s="9"/>
      <c r="N89" s="10"/>
      <c r="O89" s="8"/>
      <c r="P89" s="9"/>
      <c r="Q89" s="10"/>
      <c r="R89" s="12"/>
      <c r="S89" s="9"/>
      <c r="T89" s="10"/>
      <c r="U89" s="12"/>
      <c r="V89" s="9"/>
    </row>
    <row r="90" spans="2:22" ht="15.75" customHeight="1">
      <c r="B90" s="10"/>
      <c r="C90" s="8"/>
      <c r="D90" s="9"/>
      <c r="E90" s="10"/>
      <c r="F90" s="8"/>
      <c r="G90" s="9"/>
      <c r="H90" s="10"/>
      <c r="I90" s="12"/>
      <c r="J90" s="9"/>
      <c r="K90" s="10"/>
      <c r="L90" s="12"/>
      <c r="M90" s="9"/>
      <c r="N90" s="10"/>
      <c r="O90" s="8"/>
      <c r="P90" s="9"/>
      <c r="Q90" s="10"/>
      <c r="R90" s="12"/>
      <c r="S90" s="9"/>
      <c r="T90" s="10"/>
      <c r="U90" s="12"/>
      <c r="V90" s="9"/>
    </row>
    <row r="91" spans="2:22" ht="15.75" customHeight="1">
      <c r="B91" s="10"/>
      <c r="C91" s="12"/>
      <c r="D91" s="9"/>
      <c r="E91" s="10"/>
      <c r="F91" s="8"/>
      <c r="G91" s="9"/>
      <c r="H91" s="10"/>
      <c r="I91" s="12"/>
      <c r="J91" s="9"/>
      <c r="K91" s="10"/>
      <c r="L91" s="12"/>
      <c r="M91" s="9"/>
      <c r="N91" s="10"/>
      <c r="O91" s="12"/>
      <c r="P91" s="9"/>
      <c r="Q91" s="10"/>
      <c r="R91" s="12"/>
      <c r="S91" s="9"/>
      <c r="T91" s="10"/>
      <c r="U91" s="12"/>
      <c r="V91" s="9"/>
    </row>
    <row r="92" spans="2:22" ht="15.75" customHeight="1">
      <c r="B92" s="10"/>
      <c r="C92" s="12"/>
      <c r="D92" s="9"/>
      <c r="E92" s="10"/>
      <c r="F92" s="8"/>
      <c r="G92" s="9"/>
      <c r="H92" s="10"/>
      <c r="I92" s="12"/>
      <c r="J92" s="9"/>
      <c r="K92" s="10"/>
      <c r="L92" s="12"/>
      <c r="M92" s="9"/>
      <c r="N92" s="10"/>
      <c r="O92" s="12"/>
      <c r="P92" s="9"/>
      <c r="Q92" s="10"/>
      <c r="R92" s="12"/>
      <c r="S92" s="9"/>
      <c r="T92" s="10"/>
      <c r="U92" s="12"/>
      <c r="V92" s="9"/>
    </row>
    <row r="93" spans="2:22" ht="15.75" customHeight="1">
      <c r="B93" s="16"/>
      <c r="C93" s="17"/>
      <c r="D93" s="18"/>
      <c r="E93" s="16"/>
      <c r="F93" s="19"/>
      <c r="G93" s="18"/>
      <c r="H93" s="16"/>
      <c r="I93" s="17"/>
      <c r="J93" s="18"/>
      <c r="K93" s="16"/>
      <c r="L93" s="17"/>
      <c r="M93" s="18"/>
      <c r="N93" s="16"/>
      <c r="O93" s="17"/>
      <c r="P93" s="18"/>
      <c r="Q93" s="16"/>
      <c r="R93" s="17"/>
      <c r="S93" s="18"/>
      <c r="T93" s="16"/>
      <c r="U93" s="17"/>
      <c r="V93" s="18"/>
    </row>
    <row r="94" spans="2:22" ht="15.75" customHeight="1" thickBot="1">
      <c r="B94" s="13"/>
      <c r="C94" s="14"/>
      <c r="D94" s="15"/>
      <c r="E94" s="13"/>
      <c r="F94" s="14"/>
      <c r="G94" s="15"/>
      <c r="H94" s="13"/>
      <c r="I94" s="14"/>
      <c r="J94" s="15"/>
      <c r="K94" s="13"/>
      <c r="L94" s="14"/>
      <c r="M94" s="15"/>
      <c r="N94" s="13"/>
      <c r="O94" s="14"/>
      <c r="P94" s="15"/>
      <c r="Q94" s="13"/>
      <c r="R94" s="14"/>
      <c r="S94" s="15"/>
      <c r="T94" s="13"/>
      <c r="U94" s="14"/>
      <c r="V94" s="15"/>
    </row>
    <row r="95" spans="2:22" ht="15.75" customHeight="1">
      <c r="B95" s="4" t="str">
        <f>IF(29&lt;=DAY(EOMONTH(DATE(2026,$C$1,1),0)),$C$1&amp;"월 29일","")</f>
        <v>9월 29일</v>
      </c>
      <c r="C95" s="5"/>
      <c r="D95" s="6"/>
      <c r="E95" s="4" t="str">
        <f>IF(30&lt;=DAY(EOMONTH(DATE(2026,$C$1,1),0)),$C$1&amp;"월 30일","")</f>
        <v>9월 30일</v>
      </c>
      <c r="F95" s="5"/>
      <c r="G95" s="6"/>
      <c r="H95" s="4" t="str">
        <f>IF(31&lt;=DAY(EOMONTH(DATE(2026,$C$1,1),0)),$C$1&amp;"월 31일","")</f>
        <v/>
      </c>
      <c r="I95" s="5"/>
      <c r="J95" s="6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2:22" ht="15.75" customHeight="1">
      <c r="B96" s="10"/>
      <c r="C96" s="8"/>
      <c r="D96" s="9"/>
      <c r="E96" s="10"/>
      <c r="F96" s="8"/>
      <c r="G96" s="9"/>
      <c r="H96" s="10"/>
      <c r="I96" s="8"/>
      <c r="J96" s="9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2:22" ht="15.75" customHeight="1">
      <c r="B97" s="10"/>
      <c r="C97" s="8"/>
      <c r="D97" s="9"/>
      <c r="E97" s="10"/>
      <c r="F97" s="8"/>
      <c r="G97" s="9"/>
      <c r="H97" s="10"/>
      <c r="I97" s="8"/>
      <c r="J97" s="9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2:22" ht="15.75" customHeight="1">
      <c r="B98" s="10"/>
      <c r="C98" s="8"/>
      <c r="D98" s="9"/>
      <c r="E98" s="10"/>
      <c r="F98" s="8"/>
      <c r="G98" s="9"/>
      <c r="H98" s="10"/>
      <c r="I98" s="8"/>
      <c r="J98" s="9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2:22" ht="15.75" customHeight="1">
      <c r="B99" s="10"/>
      <c r="C99" s="8"/>
      <c r="D99" s="9"/>
      <c r="E99" s="10"/>
      <c r="F99" s="8"/>
      <c r="G99" s="9"/>
      <c r="H99" s="10"/>
      <c r="I99" s="8"/>
      <c r="J99" s="9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2:22" ht="15.75" customHeight="1">
      <c r="B100" s="10"/>
      <c r="C100" s="8"/>
      <c r="D100" s="9"/>
      <c r="E100" s="10"/>
      <c r="F100" s="8"/>
      <c r="G100" s="9"/>
      <c r="H100" s="10"/>
      <c r="I100" s="8"/>
      <c r="J100" s="9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2:22" ht="15.75" customHeight="1">
      <c r="B101" s="10"/>
      <c r="C101" s="8"/>
      <c r="D101" s="9"/>
      <c r="E101" s="10"/>
      <c r="F101" s="8"/>
      <c r="G101" s="9"/>
      <c r="H101" s="10"/>
      <c r="I101" s="8"/>
      <c r="J101" s="9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2:22" ht="15.75" customHeight="1">
      <c r="B102" s="10"/>
      <c r="C102" s="8"/>
      <c r="D102" s="9"/>
      <c r="E102" s="10"/>
      <c r="F102" s="8"/>
      <c r="G102" s="9"/>
      <c r="H102" s="10"/>
      <c r="I102" s="8"/>
      <c r="J102" s="9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2:22" ht="15.75" customHeight="1">
      <c r="B103" s="10"/>
      <c r="C103" s="8"/>
      <c r="D103" s="9"/>
      <c r="E103" s="10"/>
      <c r="F103" s="8"/>
      <c r="G103" s="9"/>
      <c r="H103" s="10"/>
      <c r="I103" s="8"/>
      <c r="J103" s="9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2:22" ht="15.75" customHeight="1">
      <c r="B104" s="10"/>
      <c r="C104" s="8"/>
      <c r="D104" s="9"/>
      <c r="E104" s="10"/>
      <c r="F104" s="8"/>
      <c r="G104" s="9"/>
      <c r="H104" s="10"/>
      <c r="I104" s="8"/>
      <c r="J104" s="9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2:22" ht="15.75" customHeight="1">
      <c r="B105" s="10"/>
      <c r="C105" s="8"/>
      <c r="D105" s="9"/>
      <c r="E105" s="10"/>
      <c r="F105" s="8"/>
      <c r="G105" s="9"/>
      <c r="H105" s="10"/>
      <c r="I105" s="8"/>
      <c r="J105" s="9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2:22" ht="15.75" customHeight="1">
      <c r="B106" s="10"/>
      <c r="C106" s="8"/>
      <c r="D106" s="9"/>
      <c r="E106" s="10"/>
      <c r="F106" s="8"/>
      <c r="G106" s="9"/>
      <c r="H106" s="10"/>
      <c r="I106" s="12"/>
      <c r="J106" s="9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2:22" ht="15.75" customHeight="1">
      <c r="B107" s="10"/>
      <c r="C107" s="8"/>
      <c r="D107" s="9"/>
      <c r="E107" s="10"/>
      <c r="F107" s="8"/>
      <c r="G107" s="9"/>
      <c r="H107" s="10"/>
      <c r="I107" s="12"/>
      <c r="J107" s="9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2:22" ht="15.75" customHeight="1">
      <c r="B108" s="10"/>
      <c r="C108" s="8"/>
      <c r="D108" s="9"/>
      <c r="E108" s="10"/>
      <c r="F108" s="8"/>
      <c r="G108" s="9"/>
      <c r="H108" s="10"/>
      <c r="I108" s="12"/>
      <c r="J108" s="9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2:22" ht="15.75" customHeight="1">
      <c r="B109" s="10"/>
      <c r="C109" s="8"/>
      <c r="D109" s="9"/>
      <c r="E109" s="10"/>
      <c r="F109" s="8"/>
      <c r="G109" s="9"/>
      <c r="H109" s="10"/>
      <c r="I109" s="12"/>
      <c r="J109" s="9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2:22" ht="15.75" customHeight="1">
      <c r="B110" s="10"/>
      <c r="C110" s="8"/>
      <c r="D110" s="9"/>
      <c r="E110" s="10"/>
      <c r="F110" s="8"/>
      <c r="G110" s="9"/>
      <c r="H110" s="10"/>
      <c r="I110" s="12"/>
      <c r="J110" s="9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2:22" ht="15.75" customHeight="1">
      <c r="B111" s="10"/>
      <c r="C111" s="12"/>
      <c r="D111" s="9"/>
      <c r="E111" s="10"/>
      <c r="F111" s="8"/>
      <c r="G111" s="9"/>
      <c r="H111" s="10"/>
      <c r="I111" s="12"/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2:22" ht="15.75" customHeight="1">
      <c r="B112" s="10"/>
      <c r="C112" s="12"/>
      <c r="D112" s="9"/>
      <c r="E112" s="10"/>
      <c r="F112" s="8"/>
      <c r="G112" s="9"/>
      <c r="H112" s="10"/>
      <c r="I112" s="12"/>
      <c r="J112" s="9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2:22" ht="15.75" customHeight="1">
      <c r="B113" s="10"/>
      <c r="C113" s="12"/>
      <c r="D113" s="9"/>
      <c r="E113" s="10"/>
      <c r="F113" s="8"/>
      <c r="G113" s="9"/>
      <c r="H113" s="10"/>
      <c r="I113" s="12"/>
      <c r="J113" s="9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2:22" ht="15.75" customHeight="1">
      <c r="B114" s="10"/>
      <c r="C114" s="12"/>
      <c r="D114" s="9"/>
      <c r="E114" s="10"/>
      <c r="F114" s="8"/>
      <c r="G114" s="9"/>
      <c r="H114" s="10"/>
      <c r="I114" s="12"/>
      <c r="J114" s="9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2:22" ht="15.75" customHeight="1">
      <c r="B115" s="10"/>
      <c r="C115" s="12"/>
      <c r="D115" s="9"/>
      <c r="E115" s="10"/>
      <c r="F115" s="8"/>
      <c r="G115" s="9"/>
      <c r="H115" s="10"/>
      <c r="I115" s="12"/>
      <c r="J115" s="9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2:22" ht="15.75" customHeight="1" thickBot="1">
      <c r="B116" s="13"/>
      <c r="C116" s="14"/>
      <c r="D116" s="15"/>
      <c r="E116" s="13"/>
      <c r="F116" s="14"/>
      <c r="G116" s="15"/>
      <c r="H116" s="13"/>
      <c r="I116" s="14"/>
      <c r="J116" s="15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</sheetData>
  <mergeCells count="1">
    <mergeCell ref="D1:V1"/>
  </mergeCells>
  <phoneticPr fontId="19" type="noConversion"/>
  <dataValidations count="2">
    <dataValidation type="list" allowBlank="1" sqref="D3:D136 G3:G136 J3:J136 M3:M136 P3:P136 S3:S136 V3:V136">
      <formula1>"Trend,Media,About,Data,People"</formula1>
      <formula2>0</formula2>
    </dataValidation>
    <dataValidation type="list" sqref="C1">
      <formula1>"1,2,3,4,5,6,7,8,9,10,11,12"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GridLines="0" zoomScaleNormal="100" workbookViewId="0">
      <selection activeCell="E29" sqref="E29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3.33203125" style="150" customWidth="1"/>
    <col min="5" max="5" width="20" style="150" customWidth="1"/>
    <col min="6" max="6" width="10" style="150" customWidth="1"/>
    <col min="7" max="7" width="3" style="150" customWidth="1"/>
    <col min="8" max="8" width="14.88671875" style="150" customWidth="1"/>
    <col min="11" max="11" width="52.5546875" style="150" customWidth="1"/>
  </cols>
  <sheetData>
    <row r="1" spans="2:14" ht="27.75" customHeight="1">
      <c r="B1" s="166" t="s">
        <v>5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2:14" ht="18.600000000000001" customHeight="1" thickBot="1"/>
    <row r="3" spans="2:14" ht="19.5" customHeight="1">
      <c r="B3" s="164" t="s">
        <v>6</v>
      </c>
      <c r="C3" s="165"/>
      <c r="E3" s="164" t="s">
        <v>7</v>
      </c>
      <c r="F3" s="165"/>
      <c r="H3" s="164" t="s">
        <v>8</v>
      </c>
      <c r="I3" s="171"/>
      <c r="J3" s="171"/>
      <c r="K3" s="165"/>
    </row>
    <row r="4" spans="2:14" ht="16.5" customHeight="1">
      <c r="B4" s="21" t="s">
        <v>9</v>
      </c>
      <c r="C4" s="22"/>
      <c r="E4" s="23"/>
      <c r="F4" s="22"/>
      <c r="H4" s="29"/>
      <c r="I4" s="163"/>
      <c r="J4" s="160"/>
      <c r="K4" s="162"/>
    </row>
    <row r="5" spans="2:14" ht="16.5" customHeight="1">
      <c r="B5" s="7" t="s">
        <v>10</v>
      </c>
      <c r="C5" s="24"/>
      <c r="E5" s="10"/>
      <c r="F5" s="24"/>
      <c r="H5" s="30"/>
      <c r="I5" s="161"/>
      <c r="J5" s="160"/>
      <c r="K5" s="162"/>
    </row>
    <row r="6" spans="2:14" ht="16.5" customHeight="1">
      <c r="B6" s="21" t="s">
        <v>11</v>
      </c>
      <c r="C6" s="22"/>
      <c r="E6" s="23"/>
      <c r="F6" s="22"/>
      <c r="H6" s="29"/>
      <c r="I6" s="163"/>
      <c r="J6" s="160"/>
      <c r="K6" s="162"/>
    </row>
    <row r="7" spans="2:14" ht="16.5" customHeight="1">
      <c r="B7" s="7" t="s">
        <v>12</v>
      </c>
      <c r="C7" s="24"/>
      <c r="E7" s="10"/>
      <c r="F7" s="24"/>
      <c r="H7" s="30"/>
      <c r="I7" s="161"/>
      <c r="J7" s="160"/>
      <c r="K7" s="162"/>
    </row>
    <row r="8" spans="2:14" ht="16.5" customHeight="1" thickBot="1">
      <c r="B8" s="25" t="s">
        <v>13</v>
      </c>
      <c r="C8" s="26"/>
      <c r="E8" s="27"/>
      <c r="F8" s="26"/>
      <c r="H8" s="29"/>
      <c r="I8" s="163"/>
      <c r="J8" s="160"/>
      <c r="K8" s="162"/>
    </row>
    <row r="9" spans="2:14" ht="17.399999999999999" customHeight="1" thickBot="1">
      <c r="H9" s="30"/>
      <c r="I9" s="161"/>
      <c r="J9" s="160"/>
      <c r="K9" s="162"/>
    </row>
    <row r="10" spans="2:14" ht="19.5" customHeight="1">
      <c r="B10" s="164" t="s">
        <v>14</v>
      </c>
      <c r="C10" s="165"/>
      <c r="E10" s="164" t="s">
        <v>15</v>
      </c>
      <c r="F10" s="165"/>
      <c r="H10" s="29"/>
      <c r="I10" s="163"/>
      <c r="J10" s="160"/>
      <c r="K10" s="162"/>
    </row>
    <row r="11" spans="2:14" ht="16.5" customHeight="1">
      <c r="B11" s="23"/>
      <c r="C11" s="22"/>
      <c r="E11" s="21" t="s">
        <v>16</v>
      </c>
      <c r="F11" s="22"/>
      <c r="H11" s="30"/>
      <c r="I11" s="161"/>
      <c r="J11" s="160"/>
      <c r="K11" s="162"/>
    </row>
    <row r="12" spans="2:14" ht="19.2" customHeight="1" thickBot="1">
      <c r="B12" s="10"/>
      <c r="C12" s="24"/>
      <c r="E12" s="13" t="s">
        <v>17</v>
      </c>
      <c r="F12" s="28"/>
      <c r="H12" s="29"/>
      <c r="I12" s="163"/>
      <c r="J12" s="160"/>
      <c r="K12" s="162"/>
    </row>
    <row r="13" spans="2:14" ht="18" customHeight="1" thickBot="1">
      <c r="B13" s="23"/>
      <c r="C13" s="22"/>
      <c r="E13" s="116"/>
      <c r="F13" s="117"/>
      <c r="H13" s="31"/>
      <c r="I13" s="168"/>
      <c r="J13" s="169"/>
      <c r="K13" s="170"/>
    </row>
    <row r="14" spans="2:14" ht="19.5" customHeight="1" thickBot="1">
      <c r="B14" s="10"/>
      <c r="C14" s="24"/>
    </row>
    <row r="15" spans="2:14" ht="16.5" customHeight="1" thickBot="1">
      <c r="B15" s="27"/>
      <c r="C15" s="26"/>
      <c r="E15" s="164" t="s">
        <v>18</v>
      </c>
      <c r="F15" s="165"/>
    </row>
    <row r="16" spans="2:14" ht="16.5" customHeight="1" thickBot="1">
      <c r="E16" s="21" t="s">
        <v>19</v>
      </c>
      <c r="F16" s="22"/>
    </row>
    <row r="17" spans="2:6" ht="16.5" customHeight="1" thickBot="1">
      <c r="B17" s="164" t="s">
        <v>20</v>
      </c>
      <c r="C17" s="165"/>
      <c r="E17" s="114" t="s">
        <v>21</v>
      </c>
      <c r="F17" s="115"/>
    </row>
    <row r="18" spans="2:6" ht="16.5" customHeight="1">
      <c r="B18" s="23"/>
      <c r="C18" s="22"/>
    </row>
    <row r="19" spans="2:6" ht="16.5" customHeight="1">
      <c r="B19" s="10"/>
      <c r="C19" s="24"/>
    </row>
    <row r="20" spans="2:6" ht="16.5" customHeight="1">
      <c r="B20" s="23"/>
      <c r="C20" s="22"/>
    </row>
    <row r="21" spans="2:6" ht="16.5" customHeight="1">
      <c r="B21" s="10"/>
      <c r="C21" s="24"/>
    </row>
    <row r="22" spans="2:6" ht="16.5" customHeight="1">
      <c r="B22" s="23"/>
      <c r="C22" s="22"/>
    </row>
    <row r="23" spans="2:6" ht="16.5" customHeight="1">
      <c r="B23" s="10"/>
      <c r="C23" s="24"/>
    </row>
    <row r="24" spans="2:6" ht="16.5" customHeight="1">
      <c r="B24" s="23"/>
      <c r="C24" s="22"/>
    </row>
    <row r="25" spans="2:6" ht="16.5" customHeight="1">
      <c r="B25" s="10"/>
      <c r="C25" s="24"/>
    </row>
    <row r="26" spans="2:6" ht="16.5" customHeight="1">
      <c r="B26" s="23"/>
      <c r="C26" s="22"/>
    </row>
    <row r="27" spans="2:6" ht="16.5" customHeight="1" thickBot="1">
      <c r="B27" s="13"/>
      <c r="C27" s="28"/>
    </row>
  </sheetData>
  <mergeCells count="18">
    <mergeCell ref="B17:C17"/>
    <mergeCell ref="I7:K7"/>
    <mergeCell ref="E3:F3"/>
    <mergeCell ref="I6:K6"/>
    <mergeCell ref="I11:K11"/>
    <mergeCell ref="I10:K10"/>
    <mergeCell ref="E15:F15"/>
    <mergeCell ref="B1:N1"/>
    <mergeCell ref="I13:K13"/>
    <mergeCell ref="B3:C3"/>
    <mergeCell ref="H3:K3"/>
    <mergeCell ref="I5:K5"/>
    <mergeCell ref="E10:F10"/>
    <mergeCell ref="I9:K9"/>
    <mergeCell ref="B10:C10"/>
    <mergeCell ref="I8:K8"/>
    <mergeCell ref="I12:K12"/>
    <mergeCell ref="I4:K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C33" sqref="C33"/>
    </sheetView>
  </sheetViews>
  <sheetFormatPr defaultColWidth="8.6640625" defaultRowHeight="14.4"/>
  <cols>
    <col min="1" max="1" width="16" style="150" customWidth="1"/>
    <col min="2" max="2" width="10" style="150" customWidth="1"/>
    <col min="3" max="3" width="46" style="150" customWidth="1"/>
    <col min="4" max="6" width="10" style="150" customWidth="1"/>
  </cols>
  <sheetData>
    <row r="1" spans="1:6" ht="19.5" customHeight="1">
      <c r="A1" s="1" t="s">
        <v>22</v>
      </c>
      <c r="B1" s="1" t="s">
        <v>23</v>
      </c>
      <c r="C1" s="1" t="s">
        <v>2</v>
      </c>
      <c r="D1" s="1" t="s">
        <v>24</v>
      </c>
      <c r="E1" s="1" t="s">
        <v>25</v>
      </c>
      <c r="F1" s="1" t="s">
        <v>4</v>
      </c>
    </row>
    <row r="2" spans="1:6" ht="15.75" customHeight="1">
      <c r="A2" s="12"/>
      <c r="B2" s="12"/>
      <c r="C2" s="12"/>
      <c r="D2" s="12"/>
      <c r="E2" s="12"/>
      <c r="F2" s="12"/>
    </row>
    <row r="3" spans="1:6" ht="15.75" customHeight="1">
      <c r="A3" s="12"/>
      <c r="B3" s="12"/>
      <c r="C3" s="12"/>
      <c r="D3" s="12"/>
      <c r="E3" s="12"/>
      <c r="F3" s="12"/>
    </row>
    <row r="4" spans="1:6" ht="15.75" customHeight="1">
      <c r="A4" s="12"/>
      <c r="B4" s="12"/>
      <c r="C4" s="12"/>
      <c r="D4" s="12"/>
      <c r="E4" s="12"/>
      <c r="F4" s="12"/>
    </row>
    <row r="5" spans="1:6" ht="15.75" customHeight="1">
      <c r="A5" s="12"/>
      <c r="B5" s="12"/>
      <c r="C5" s="12"/>
      <c r="D5" s="12"/>
      <c r="E5" s="12"/>
      <c r="F5" s="12"/>
    </row>
    <row r="6" spans="1:6" ht="15.75" customHeight="1">
      <c r="A6" s="12"/>
      <c r="B6" s="12"/>
      <c r="C6" s="12"/>
      <c r="D6" s="12"/>
      <c r="E6" s="12"/>
      <c r="F6" s="12"/>
    </row>
    <row r="7" spans="1:6" ht="15.75" customHeight="1">
      <c r="A7" s="12"/>
      <c r="B7" s="12"/>
      <c r="C7" s="12"/>
      <c r="D7" s="12"/>
      <c r="E7" s="12"/>
      <c r="F7" s="12"/>
    </row>
    <row r="8" spans="1:6" ht="15.75" customHeight="1">
      <c r="A8" s="12"/>
      <c r="B8" s="12"/>
      <c r="C8" s="12"/>
      <c r="D8" s="12"/>
      <c r="E8" s="12"/>
      <c r="F8" s="12"/>
    </row>
    <row r="9" spans="1:6" ht="15.75" customHeight="1">
      <c r="A9" s="12"/>
      <c r="B9" s="12"/>
      <c r="C9" s="12"/>
      <c r="D9" s="12"/>
      <c r="E9" s="12"/>
      <c r="F9" s="12"/>
    </row>
    <row r="10" spans="1:6" ht="15.75" customHeight="1">
      <c r="A10" s="12"/>
      <c r="B10" s="12"/>
      <c r="C10" s="12"/>
      <c r="D10" s="12"/>
      <c r="E10" s="12"/>
      <c r="F10" s="12"/>
    </row>
    <row r="11" spans="1:6" ht="15.75" customHeight="1">
      <c r="A11" s="12"/>
      <c r="B11" s="12"/>
      <c r="C11" s="12"/>
      <c r="D11" s="12"/>
      <c r="E11" s="12"/>
      <c r="F11" s="12"/>
    </row>
    <row r="12" spans="1:6" ht="15.75" customHeight="1">
      <c r="A12" s="12"/>
      <c r="B12" s="12"/>
      <c r="C12" s="12"/>
      <c r="D12" s="12"/>
      <c r="E12" s="12"/>
      <c r="F12" s="12"/>
    </row>
    <row r="13" spans="1:6" ht="15.75" customHeight="1">
      <c r="A13" s="12"/>
      <c r="B13" s="12"/>
      <c r="C13" s="12"/>
      <c r="D13" s="12"/>
      <c r="E13" s="12"/>
      <c r="F13" s="12"/>
    </row>
    <row r="14" spans="1:6" ht="15.75" customHeight="1">
      <c r="A14" s="12"/>
      <c r="B14" s="12"/>
      <c r="C14" s="12"/>
      <c r="D14" s="12"/>
      <c r="E14" s="12"/>
      <c r="F14" s="12"/>
    </row>
    <row r="15" spans="1:6" ht="15.75" customHeight="1">
      <c r="A15" s="12"/>
      <c r="B15" s="12"/>
      <c r="C15" s="12"/>
      <c r="D15" s="12"/>
      <c r="E15" s="12"/>
      <c r="F15" s="12"/>
    </row>
    <row r="16" spans="1:6" ht="15.75" customHeight="1">
      <c r="A16" s="12"/>
      <c r="B16" s="12"/>
      <c r="C16" s="12"/>
      <c r="D16" s="12"/>
      <c r="E16" s="12"/>
      <c r="F16" s="12"/>
    </row>
    <row r="17" spans="1:6" ht="15.75" customHeight="1">
      <c r="A17" s="12"/>
      <c r="B17" s="12"/>
      <c r="C17" s="12"/>
      <c r="D17" s="12"/>
      <c r="E17" s="12"/>
      <c r="F17" s="12"/>
    </row>
    <row r="18" spans="1:6" ht="15.75" customHeight="1">
      <c r="A18" s="12"/>
      <c r="B18" s="12"/>
      <c r="C18" s="12"/>
      <c r="D18" s="12"/>
      <c r="E18" s="12"/>
      <c r="F18" s="12"/>
    </row>
    <row r="19" spans="1:6" ht="15.75" customHeight="1">
      <c r="A19" s="12"/>
      <c r="B19" s="12"/>
      <c r="C19" s="12"/>
      <c r="D19" s="12"/>
      <c r="E19" s="12"/>
      <c r="F19" s="12"/>
    </row>
    <row r="20" spans="1:6" ht="15.75" customHeight="1">
      <c r="A20" s="12"/>
      <c r="B20" s="12"/>
      <c r="C20" s="12"/>
      <c r="D20" s="12"/>
      <c r="E20" s="12"/>
      <c r="F20" s="12"/>
    </row>
    <row r="21" spans="1:6" ht="15.75" customHeight="1">
      <c r="A21" s="12"/>
      <c r="B21" s="12"/>
      <c r="C21" s="12"/>
      <c r="D21" s="12"/>
      <c r="E21" s="12"/>
      <c r="F21" s="12"/>
    </row>
    <row r="22" spans="1:6" ht="15.75" customHeight="1">
      <c r="A22" s="12"/>
      <c r="B22" s="12"/>
      <c r="C22" s="12"/>
      <c r="D22" s="12"/>
      <c r="E22" s="12"/>
      <c r="F22" s="12"/>
    </row>
    <row r="23" spans="1:6" ht="15.75" customHeight="1">
      <c r="A23" s="12"/>
      <c r="B23" s="12"/>
      <c r="C23" s="12"/>
      <c r="D23" s="12"/>
      <c r="E23" s="12"/>
      <c r="F23" s="12"/>
    </row>
    <row r="24" spans="1:6" ht="15.75" customHeight="1">
      <c r="A24" s="12"/>
      <c r="B24" s="12"/>
      <c r="C24" s="12"/>
      <c r="D24" s="12"/>
      <c r="E24" s="12"/>
      <c r="F24" s="12"/>
    </row>
    <row r="25" spans="1:6" ht="15.75" customHeight="1">
      <c r="A25" s="12"/>
      <c r="B25" s="12"/>
      <c r="C25" s="12"/>
      <c r="D25" s="12"/>
      <c r="E25" s="12"/>
      <c r="F25" s="12"/>
    </row>
    <row r="26" spans="1:6" ht="15.75" customHeight="1">
      <c r="A26" s="12"/>
      <c r="B26" s="12"/>
      <c r="C26" s="12"/>
      <c r="D26" s="12"/>
      <c r="E26" s="12"/>
      <c r="F26" s="12"/>
    </row>
    <row r="27" spans="1:6" ht="15.75" customHeight="1">
      <c r="A27" s="12"/>
      <c r="B27" s="12"/>
      <c r="C27" s="12"/>
      <c r="D27" s="12"/>
      <c r="E27" s="12"/>
      <c r="F27" s="12"/>
    </row>
    <row r="28" spans="1:6" ht="15.75" customHeight="1">
      <c r="A28" s="12"/>
      <c r="B28" s="12"/>
      <c r="C28" s="12"/>
      <c r="D28" s="12"/>
      <c r="E28" s="12"/>
      <c r="F28" s="12"/>
    </row>
    <row r="29" spans="1:6" ht="15.75" customHeight="1">
      <c r="A29" s="12"/>
      <c r="B29" s="12"/>
      <c r="C29" s="12"/>
      <c r="D29" s="12"/>
      <c r="E29" s="12"/>
      <c r="F29" s="12"/>
    </row>
    <row r="30" spans="1:6" ht="15.75" customHeight="1">
      <c r="A30" s="12"/>
      <c r="B30" s="12"/>
      <c r="C30" s="12"/>
      <c r="D30" s="12"/>
      <c r="E30" s="12"/>
      <c r="F30" s="12"/>
    </row>
    <row r="31" spans="1:6" ht="15.75" customHeight="1">
      <c r="A31" s="12"/>
      <c r="B31" s="12"/>
      <c r="C31" s="12"/>
      <c r="D31" s="12"/>
      <c r="E31" s="12"/>
      <c r="F31" s="12"/>
    </row>
  </sheetData>
  <autoFilter ref="A1:F1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6"/>
  <sheetViews>
    <sheetView topLeftCell="A34" zoomScale="85" zoomScaleNormal="85" workbookViewId="0">
      <selection activeCell="J101" sqref="J101"/>
    </sheetView>
  </sheetViews>
  <sheetFormatPr defaultColWidth="8.6640625" defaultRowHeight="14.4"/>
  <cols>
    <col min="2" max="2" width="22" style="150" customWidth="1"/>
    <col min="3" max="3" width="7" style="150" customWidth="1"/>
    <col min="4" max="4" width="9" style="150" customWidth="1"/>
    <col min="5" max="5" width="22" style="150" customWidth="1"/>
    <col min="6" max="6" width="7" style="150" customWidth="1"/>
    <col min="7" max="7" width="9" style="150" customWidth="1"/>
    <col min="8" max="8" width="22" style="150" customWidth="1"/>
    <col min="9" max="9" width="7" style="150" customWidth="1"/>
    <col min="10" max="10" width="9" style="150" customWidth="1"/>
    <col min="11" max="11" width="22" style="150" customWidth="1"/>
    <col min="12" max="12" width="9.109375" style="150" customWidth="1"/>
    <col min="13" max="13" width="9" style="150" customWidth="1"/>
    <col min="14" max="14" width="22" style="150" customWidth="1"/>
    <col min="15" max="15" width="8.44140625" style="150" customWidth="1"/>
    <col min="16" max="16" width="9" style="150" customWidth="1"/>
    <col min="17" max="17" width="22" style="150" customWidth="1"/>
    <col min="18" max="18" width="7" style="150" customWidth="1"/>
    <col min="19" max="19" width="9" style="150" customWidth="1"/>
    <col min="20" max="20" width="22" style="150" customWidth="1"/>
    <col min="21" max="21" width="7" style="150" customWidth="1"/>
    <col min="22" max="22" width="9" style="150" customWidth="1"/>
  </cols>
  <sheetData>
    <row r="1" spans="2:22" ht="21.75" customHeight="1">
      <c r="B1" s="1" t="s">
        <v>0</v>
      </c>
      <c r="C1" s="2">
        <v>9</v>
      </c>
      <c r="D1" s="159" t="s">
        <v>1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2:22" ht="15.75" customHeight="1" thickBot="1"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3</v>
      </c>
      <c r="J2" s="3" t="s">
        <v>4</v>
      </c>
      <c r="K2" s="3" t="s">
        <v>2</v>
      </c>
      <c r="L2" s="3" t="s">
        <v>3</v>
      </c>
      <c r="M2" s="3" t="s">
        <v>4</v>
      </c>
      <c r="N2" s="3" t="s">
        <v>2</v>
      </c>
      <c r="O2" s="3" t="s">
        <v>3</v>
      </c>
      <c r="P2" s="3" t="s">
        <v>4</v>
      </c>
      <c r="Q2" s="3" t="s">
        <v>2</v>
      </c>
      <c r="R2" s="3" t="s">
        <v>3</v>
      </c>
      <c r="S2" s="3" t="s">
        <v>4</v>
      </c>
      <c r="T2" s="3" t="s">
        <v>2</v>
      </c>
      <c r="U2" s="3" t="s">
        <v>3</v>
      </c>
      <c r="V2" s="3" t="s">
        <v>4</v>
      </c>
    </row>
    <row r="3" spans="2:22" ht="15.75" customHeight="1">
      <c r="B3" s="4" t="str">
        <f>IF(1&lt;=DAY(EOMONTH(DATE(2026,$C$1,1),0)),$C$1&amp;"월 1일","")</f>
        <v>9월 1일</v>
      </c>
      <c r="C3" s="5"/>
      <c r="D3" s="6"/>
      <c r="E3" s="4" t="str">
        <f>IF(2&lt;=DAY(EOMONTH(DATE(2026,$C$1,1),0)),$C$1&amp;"월 2일","")</f>
        <v>9월 2일</v>
      </c>
      <c r="F3" s="5"/>
      <c r="G3" s="6"/>
      <c r="H3" s="4" t="str">
        <f>IF(3&lt;=DAY(EOMONTH(DATE(2026,$C$1,1),0)),$C$1&amp;"월 3일","")</f>
        <v>9월 3일</v>
      </c>
      <c r="I3" s="5"/>
      <c r="J3" s="6"/>
      <c r="K3" s="4" t="str">
        <f>IF(4&lt;=DAY(EOMONTH(DATE(2026,$C$1,1),0)),$C$1&amp;"월 4일","")</f>
        <v>9월 4일</v>
      </c>
      <c r="L3" s="5"/>
      <c r="M3" s="6"/>
      <c r="N3" s="4" t="str">
        <f>IF(5&lt;=DAY(EOMONTH(DATE(2026,$C$1,1),0)),$C$1&amp;"월 5일","")</f>
        <v>9월 5일</v>
      </c>
      <c r="O3" s="5"/>
      <c r="P3" s="6"/>
      <c r="Q3" s="4" t="str">
        <f>IF(6&lt;=DAY(EOMONTH(DATE(2026,$C$1,1),0)),$C$1&amp;"월 6일","")</f>
        <v>9월 6일</v>
      </c>
      <c r="R3" s="5"/>
      <c r="S3" s="6"/>
      <c r="T3" s="4" t="str">
        <f>IF(7&lt;=DAY(EOMONTH(DATE(2026,$C$1,1),0)),$C$1&amp;"월 7일","")</f>
        <v>9월 7일</v>
      </c>
      <c r="U3" s="5"/>
      <c r="V3" s="6"/>
    </row>
    <row r="4" spans="2:22" ht="15.75" customHeight="1">
      <c r="B4" s="7" t="s">
        <v>26</v>
      </c>
      <c r="C4" s="8">
        <v>8.9999999999999993E-3</v>
      </c>
      <c r="D4" s="9" t="s">
        <v>27</v>
      </c>
      <c r="E4" s="120" t="s">
        <v>28</v>
      </c>
      <c r="F4" s="8">
        <v>2.7799999999999998E-2</v>
      </c>
      <c r="G4" s="9" t="s">
        <v>27</v>
      </c>
      <c r="H4" s="120" t="s">
        <v>29</v>
      </c>
      <c r="I4" s="8">
        <v>1.61E-2</v>
      </c>
      <c r="J4" s="9"/>
      <c r="K4" s="10" t="s">
        <v>30</v>
      </c>
      <c r="L4" s="8">
        <v>2.5000000000000001E-2</v>
      </c>
      <c r="M4" s="9" t="s">
        <v>27</v>
      </c>
      <c r="N4" s="120" t="s">
        <v>31</v>
      </c>
      <c r="O4" s="8">
        <v>0.125</v>
      </c>
      <c r="P4" s="9" t="s">
        <v>27</v>
      </c>
      <c r="Q4" s="120" t="s">
        <v>32</v>
      </c>
      <c r="R4" s="11">
        <v>0.16669999999999999</v>
      </c>
      <c r="S4" s="9" t="s">
        <v>33</v>
      </c>
      <c r="T4" s="10" t="s">
        <v>30</v>
      </c>
      <c r="U4" s="8">
        <v>3.0800000000000001E-2</v>
      </c>
      <c r="V4" s="9" t="s">
        <v>27</v>
      </c>
    </row>
    <row r="5" spans="2:22" ht="15.75" customHeight="1">
      <c r="B5" s="7" t="s">
        <v>34</v>
      </c>
      <c r="C5" s="8">
        <v>8.9999999999999993E-3</v>
      </c>
      <c r="D5" s="9" t="s">
        <v>35</v>
      </c>
      <c r="E5" s="7" t="s">
        <v>36</v>
      </c>
      <c r="F5" s="8">
        <v>1.3899999999999999E-2</v>
      </c>
      <c r="G5" s="9" t="s">
        <v>37</v>
      </c>
      <c r="H5" s="120" t="s">
        <v>38</v>
      </c>
      <c r="I5" s="8">
        <v>1.61E-2</v>
      </c>
      <c r="J5" s="9" t="s">
        <v>37</v>
      </c>
      <c r="K5" s="120" t="s">
        <v>28</v>
      </c>
      <c r="L5" s="8">
        <v>2.5000000000000001E-2</v>
      </c>
      <c r="M5" s="9" t="s">
        <v>27</v>
      </c>
      <c r="N5" s="120" t="s">
        <v>39</v>
      </c>
      <c r="O5" s="8">
        <v>0.125</v>
      </c>
      <c r="P5" s="9" t="s">
        <v>27</v>
      </c>
      <c r="Q5" s="120" t="s">
        <v>40</v>
      </c>
      <c r="R5" s="11">
        <v>0.16669999999999999</v>
      </c>
      <c r="S5" s="9" t="s">
        <v>33</v>
      </c>
      <c r="T5" s="10" t="s">
        <v>41</v>
      </c>
      <c r="U5" s="8">
        <v>3.0800000000000001E-2</v>
      </c>
      <c r="V5" s="9" t="s">
        <v>42</v>
      </c>
    </row>
    <row r="6" spans="2:22" ht="15.75" customHeight="1">
      <c r="B6" s="120" t="s">
        <v>30</v>
      </c>
      <c r="C6" s="8">
        <v>8.9999999999999993E-3</v>
      </c>
      <c r="D6" s="9" t="s">
        <v>27</v>
      </c>
      <c r="E6" s="120" t="s">
        <v>30</v>
      </c>
      <c r="F6" s="8">
        <v>1.3899999999999999E-2</v>
      </c>
      <c r="G6" s="9" t="s">
        <v>27</v>
      </c>
      <c r="H6" s="120" t="s">
        <v>30</v>
      </c>
      <c r="I6" s="8">
        <v>1.61E-2</v>
      </c>
      <c r="J6" s="9" t="s">
        <v>27</v>
      </c>
      <c r="K6" s="120" t="s">
        <v>43</v>
      </c>
      <c r="L6" s="8">
        <v>1.2500000000000001E-2</v>
      </c>
      <c r="M6" s="9" t="s">
        <v>37</v>
      </c>
      <c r="N6" s="120" t="s">
        <v>44</v>
      </c>
      <c r="O6" s="8">
        <v>0.125</v>
      </c>
      <c r="P6" s="9"/>
      <c r="Q6" s="120" t="s">
        <v>45</v>
      </c>
      <c r="R6" s="11">
        <v>0.16669999999999999</v>
      </c>
      <c r="S6" s="9"/>
      <c r="T6" s="10" t="s">
        <v>46</v>
      </c>
      <c r="U6" s="8">
        <v>1.54E-2</v>
      </c>
      <c r="V6" s="9" t="s">
        <v>33</v>
      </c>
    </row>
    <row r="7" spans="2:22" ht="15.75" customHeight="1">
      <c r="B7" s="10" t="s">
        <v>47</v>
      </c>
      <c r="C7" s="8">
        <v>8.9999999999999993E-3</v>
      </c>
      <c r="D7" s="9" t="s">
        <v>33</v>
      </c>
      <c r="E7" s="10" t="s">
        <v>48</v>
      </c>
      <c r="F7" s="8">
        <v>1.3899999999999999E-2</v>
      </c>
      <c r="G7" s="9" t="s">
        <v>27</v>
      </c>
      <c r="H7" s="120" t="s">
        <v>49</v>
      </c>
      <c r="I7" s="8">
        <v>1.61E-2</v>
      </c>
      <c r="J7" s="9" t="s">
        <v>27</v>
      </c>
      <c r="K7" s="7" t="s">
        <v>26</v>
      </c>
      <c r="L7" s="8">
        <v>1.2500000000000001E-2</v>
      </c>
      <c r="M7" s="9" t="s">
        <v>27</v>
      </c>
      <c r="N7" s="120" t="s">
        <v>50</v>
      </c>
      <c r="O7" s="8">
        <v>0.125</v>
      </c>
      <c r="P7" s="9" t="s">
        <v>42</v>
      </c>
      <c r="Q7" s="120" t="s">
        <v>51</v>
      </c>
      <c r="R7" s="11">
        <v>0.16669999999999999</v>
      </c>
      <c r="S7" s="9" t="s">
        <v>27</v>
      </c>
      <c r="T7" s="10" t="s">
        <v>52</v>
      </c>
      <c r="U7" s="8">
        <v>1.54E-2</v>
      </c>
      <c r="V7" s="9" t="s">
        <v>37</v>
      </c>
    </row>
    <row r="8" spans="2:22" ht="15.75" customHeight="1">
      <c r="B8" s="120" t="s">
        <v>53</v>
      </c>
      <c r="C8" s="8">
        <v>8.9999999999999993E-3</v>
      </c>
      <c r="D8" s="9" t="s">
        <v>42</v>
      </c>
      <c r="E8" s="10" t="s">
        <v>54</v>
      </c>
      <c r="F8" s="8">
        <v>1.3899999999999999E-2</v>
      </c>
      <c r="G8" s="9" t="s">
        <v>27</v>
      </c>
      <c r="H8" s="10" t="s">
        <v>55</v>
      </c>
      <c r="I8" s="8">
        <v>1.61E-2</v>
      </c>
      <c r="J8" s="9" t="s">
        <v>37</v>
      </c>
      <c r="K8" s="120" t="s">
        <v>30</v>
      </c>
      <c r="L8" s="8">
        <v>1.2500000000000001E-2</v>
      </c>
      <c r="M8" s="9" t="s">
        <v>27</v>
      </c>
      <c r="N8" s="120" t="s">
        <v>56</v>
      </c>
      <c r="O8" s="8">
        <v>0.125</v>
      </c>
      <c r="P8" s="9" t="s">
        <v>27</v>
      </c>
      <c r="Q8" s="120" t="s">
        <v>28</v>
      </c>
      <c r="R8" s="11">
        <v>0.16669999999999999</v>
      </c>
      <c r="S8" s="9" t="s">
        <v>27</v>
      </c>
      <c r="T8" s="10" t="s">
        <v>30</v>
      </c>
      <c r="U8" s="8">
        <v>1.54E-2</v>
      </c>
      <c r="V8" s="9" t="s">
        <v>27</v>
      </c>
    </row>
    <row r="9" spans="2:22" ht="15.75" customHeight="1">
      <c r="B9" s="120" t="s">
        <v>57</v>
      </c>
      <c r="C9" s="8">
        <v>8.9999999999999993E-3</v>
      </c>
      <c r="D9" s="9" t="s">
        <v>42</v>
      </c>
      <c r="E9" s="120" t="s">
        <v>58</v>
      </c>
      <c r="F9" s="8">
        <v>1.3899999999999999E-2</v>
      </c>
      <c r="G9" s="9" t="s">
        <v>33</v>
      </c>
      <c r="H9" s="120" t="s">
        <v>59</v>
      </c>
      <c r="I9" s="8">
        <v>1.61E-2</v>
      </c>
      <c r="J9" s="9" t="s">
        <v>42</v>
      </c>
      <c r="K9" s="120" t="s">
        <v>60</v>
      </c>
      <c r="L9" s="8">
        <v>1.2500000000000001E-2</v>
      </c>
      <c r="M9" s="9" t="s">
        <v>33</v>
      </c>
      <c r="N9" s="7"/>
      <c r="O9" s="8"/>
      <c r="P9" s="9"/>
      <c r="Q9" s="7"/>
      <c r="R9" s="11"/>
      <c r="S9" s="9"/>
      <c r="T9" s="10" t="s">
        <v>61</v>
      </c>
      <c r="U9" s="8">
        <v>1.54E-2</v>
      </c>
      <c r="V9" s="9" t="s">
        <v>42</v>
      </c>
    </row>
    <row r="10" spans="2:22" ht="15.75" customHeight="1">
      <c r="B10" s="120" t="s">
        <v>41</v>
      </c>
      <c r="C10" s="8">
        <v>8.9999999999999993E-3</v>
      </c>
      <c r="D10" s="9" t="s">
        <v>42</v>
      </c>
      <c r="E10" s="120" t="s">
        <v>62</v>
      </c>
      <c r="F10" s="8">
        <v>1.3899999999999999E-2</v>
      </c>
      <c r="G10" s="9" t="s">
        <v>42</v>
      </c>
      <c r="H10" s="120" t="s">
        <v>63</v>
      </c>
      <c r="I10" s="8">
        <v>1.61E-2</v>
      </c>
      <c r="J10" s="9" t="s">
        <v>42</v>
      </c>
      <c r="K10" s="120" t="s">
        <v>64</v>
      </c>
      <c r="L10" s="8">
        <v>1.2500000000000001E-2</v>
      </c>
      <c r="M10" s="9" t="s">
        <v>33</v>
      </c>
      <c r="N10" s="10"/>
      <c r="O10" s="8"/>
      <c r="P10" s="9"/>
      <c r="Q10" s="7"/>
      <c r="R10" s="11"/>
      <c r="S10" s="9"/>
      <c r="T10" s="10" t="s">
        <v>65</v>
      </c>
      <c r="U10" s="8">
        <v>1.54E-2</v>
      </c>
      <c r="V10" s="9" t="s">
        <v>27</v>
      </c>
    </row>
    <row r="11" spans="2:22" ht="15.75" customHeight="1">
      <c r="B11" s="120" t="s">
        <v>66</v>
      </c>
      <c r="C11" s="8">
        <v>1.7999999999999999E-2</v>
      </c>
      <c r="D11" s="9" t="s">
        <v>33</v>
      </c>
      <c r="E11" s="120" t="s">
        <v>30</v>
      </c>
      <c r="F11" s="8">
        <v>1.3899999999999999E-2</v>
      </c>
      <c r="G11" s="9" t="s">
        <v>27</v>
      </c>
      <c r="H11" s="120" t="s">
        <v>30</v>
      </c>
      <c r="I11" s="8">
        <v>3.2300000000000002E-2</v>
      </c>
      <c r="J11" s="9" t="s">
        <v>27</v>
      </c>
      <c r="K11" s="10" t="s">
        <v>30</v>
      </c>
      <c r="L11" s="8">
        <v>3.7499999999999999E-2</v>
      </c>
      <c r="M11" s="9" t="s">
        <v>27</v>
      </c>
      <c r="N11" s="10"/>
      <c r="O11" s="8"/>
      <c r="P11" s="9"/>
      <c r="Q11" s="7"/>
      <c r="R11" s="8"/>
      <c r="S11" s="9"/>
      <c r="T11" s="10" t="s">
        <v>67</v>
      </c>
      <c r="U11" s="8">
        <v>1.54E-2</v>
      </c>
      <c r="V11" s="9" t="s">
        <v>27</v>
      </c>
    </row>
    <row r="12" spans="2:22" ht="15.75" customHeight="1">
      <c r="B12" s="120" t="s">
        <v>41</v>
      </c>
      <c r="C12" s="8">
        <v>8.9999999999999993E-3</v>
      </c>
      <c r="D12" s="9" t="s">
        <v>42</v>
      </c>
      <c r="E12" s="120" t="s">
        <v>30</v>
      </c>
      <c r="F12" s="8">
        <v>1.3899999999999999E-2</v>
      </c>
      <c r="G12" s="9" t="s">
        <v>27</v>
      </c>
      <c r="H12" s="10" t="s">
        <v>48</v>
      </c>
      <c r="I12" s="8">
        <v>1.61E-2</v>
      </c>
      <c r="J12" s="9" t="s">
        <v>27</v>
      </c>
      <c r="K12" s="10" t="s">
        <v>68</v>
      </c>
      <c r="L12" s="8">
        <v>1.2500000000000001E-2</v>
      </c>
      <c r="M12" s="9" t="s">
        <v>42</v>
      </c>
      <c r="N12" s="10"/>
      <c r="O12" s="8"/>
      <c r="P12" s="9"/>
      <c r="Q12" s="7"/>
      <c r="R12" s="8"/>
      <c r="S12" s="9"/>
      <c r="T12" s="10"/>
      <c r="U12" s="8"/>
      <c r="V12" s="9"/>
    </row>
    <row r="13" spans="2:22" ht="15.75" customHeight="1">
      <c r="B13" s="120" t="s">
        <v>69</v>
      </c>
      <c r="C13" s="8">
        <v>8.9999999999999993E-3</v>
      </c>
      <c r="D13" s="9" t="s">
        <v>42</v>
      </c>
      <c r="E13" s="10"/>
      <c r="F13" s="8"/>
      <c r="G13" s="9"/>
      <c r="H13" s="120" t="s">
        <v>65</v>
      </c>
      <c r="I13" s="8">
        <v>1.61E-2</v>
      </c>
      <c r="J13" s="9" t="s">
        <v>27</v>
      </c>
      <c r="K13" s="10"/>
      <c r="L13" s="8"/>
      <c r="M13" s="9"/>
      <c r="N13" s="10"/>
      <c r="O13" s="8"/>
      <c r="P13" s="9"/>
      <c r="Q13" s="7"/>
      <c r="R13" s="8"/>
      <c r="S13" s="9"/>
      <c r="T13" s="10"/>
      <c r="U13" s="8"/>
      <c r="V13" s="9"/>
    </row>
    <row r="14" spans="2:22" ht="15.75" customHeight="1">
      <c r="B14" s="7" t="s">
        <v>70</v>
      </c>
      <c r="C14" s="8">
        <v>1.7999999999999999E-2</v>
      </c>
      <c r="D14" s="9" t="s">
        <v>37</v>
      </c>
      <c r="E14" s="7"/>
      <c r="F14" s="8"/>
      <c r="G14" s="9"/>
      <c r="H14" s="10" t="s">
        <v>71</v>
      </c>
      <c r="I14" s="8">
        <v>1.61E-2</v>
      </c>
      <c r="J14" s="9" t="s">
        <v>27</v>
      </c>
      <c r="K14" s="10"/>
      <c r="L14" s="8"/>
      <c r="M14" s="9"/>
      <c r="N14" s="10"/>
      <c r="O14" s="8"/>
      <c r="P14" s="9"/>
      <c r="Q14" s="7"/>
      <c r="R14" s="8"/>
      <c r="S14" s="9"/>
      <c r="T14" s="10"/>
      <c r="U14" s="8"/>
      <c r="V14" s="9"/>
    </row>
    <row r="15" spans="2:22" ht="15.75" customHeight="1">
      <c r="B15" s="7" t="s">
        <v>72</v>
      </c>
      <c r="C15" s="8">
        <v>8.9999999999999993E-3</v>
      </c>
      <c r="D15" s="9" t="s">
        <v>37</v>
      </c>
      <c r="E15" s="7"/>
      <c r="F15" s="8"/>
      <c r="G15" s="9"/>
      <c r="H15" s="10" t="s">
        <v>73</v>
      </c>
      <c r="I15" s="8">
        <v>1.61E-2</v>
      </c>
      <c r="J15" s="9" t="s">
        <v>42</v>
      </c>
      <c r="K15" s="10"/>
      <c r="L15" s="8"/>
      <c r="M15" s="9"/>
      <c r="N15" s="10"/>
      <c r="O15" s="8"/>
      <c r="P15" s="9"/>
      <c r="Q15" s="7"/>
      <c r="R15" s="8"/>
      <c r="S15" s="9"/>
      <c r="T15" s="10"/>
      <c r="U15" s="12"/>
      <c r="V15" s="9"/>
    </row>
    <row r="16" spans="2:22" ht="15.75" customHeight="1">
      <c r="B16" s="120" t="s">
        <v>48</v>
      </c>
      <c r="C16" s="8">
        <v>1.7999999999999999E-2</v>
      </c>
      <c r="D16" s="9" t="s">
        <v>27</v>
      </c>
      <c r="E16" s="10"/>
      <c r="F16" s="8"/>
      <c r="G16" s="9"/>
      <c r="H16" s="10" t="s">
        <v>74</v>
      </c>
      <c r="I16" s="8">
        <v>1.61E-2</v>
      </c>
      <c r="J16" s="9" t="s">
        <v>33</v>
      </c>
      <c r="K16" s="10"/>
      <c r="L16" s="8"/>
      <c r="M16" s="9"/>
      <c r="N16" s="10"/>
      <c r="O16" s="8"/>
      <c r="P16" s="9"/>
      <c r="Q16" s="7"/>
      <c r="R16" s="8"/>
      <c r="S16" s="9"/>
      <c r="T16" s="10"/>
      <c r="U16" s="12"/>
      <c r="V16" s="9"/>
    </row>
    <row r="17" spans="2:22" ht="15.75" customHeight="1">
      <c r="B17" s="7" t="s">
        <v>75</v>
      </c>
      <c r="C17" s="8">
        <v>8.9999999999999993E-3</v>
      </c>
      <c r="D17" s="9" t="s">
        <v>27</v>
      </c>
      <c r="E17" s="10"/>
      <c r="F17" s="8"/>
      <c r="G17" s="9"/>
      <c r="H17" s="10" t="s">
        <v>76</v>
      </c>
      <c r="I17" s="8">
        <v>1.61E-2</v>
      </c>
      <c r="J17" s="9" t="s">
        <v>42</v>
      </c>
      <c r="K17" s="10"/>
      <c r="L17" s="8"/>
      <c r="M17" s="9"/>
      <c r="N17" s="10"/>
      <c r="O17" s="8"/>
      <c r="P17" s="9"/>
      <c r="Q17" s="7"/>
      <c r="R17" s="8"/>
      <c r="S17" s="9"/>
      <c r="T17" s="10"/>
      <c r="U17" s="12"/>
      <c r="V17" s="9"/>
    </row>
    <row r="18" spans="2:22" ht="15.75" customHeight="1">
      <c r="B18" s="7"/>
      <c r="C18" s="8"/>
      <c r="D18" s="9"/>
      <c r="E18" s="10"/>
      <c r="F18" s="8"/>
      <c r="G18" s="9"/>
      <c r="H18" s="10"/>
      <c r="I18" s="12"/>
      <c r="J18" s="9"/>
      <c r="K18" s="10"/>
      <c r="L18" s="12"/>
      <c r="M18" s="9"/>
      <c r="N18" s="10"/>
      <c r="O18" s="8"/>
      <c r="P18" s="9"/>
      <c r="Q18" s="7"/>
      <c r="R18" s="8"/>
      <c r="S18" s="9"/>
      <c r="T18" s="10"/>
      <c r="U18" s="12"/>
      <c r="V18" s="9"/>
    </row>
    <row r="19" spans="2:22" ht="15.75" customHeight="1">
      <c r="B19" s="10"/>
      <c r="C19" s="12"/>
      <c r="D19" s="9"/>
      <c r="E19" s="10"/>
      <c r="F19" s="8"/>
      <c r="G19" s="9"/>
      <c r="H19" s="10"/>
      <c r="I19" s="12"/>
      <c r="J19" s="9"/>
      <c r="K19" s="10"/>
      <c r="L19" s="12"/>
      <c r="M19" s="9"/>
      <c r="N19" s="10"/>
      <c r="O19" s="8"/>
      <c r="P19" s="9"/>
      <c r="Q19" s="7"/>
      <c r="R19" s="8"/>
      <c r="S19" s="9"/>
      <c r="T19" s="10"/>
      <c r="U19" s="12"/>
      <c r="V19" s="9"/>
    </row>
    <row r="20" spans="2:22" ht="15.75" customHeight="1">
      <c r="B20" s="10"/>
      <c r="C20" s="12"/>
      <c r="D20" s="9"/>
      <c r="E20" s="10"/>
      <c r="F20" s="8"/>
      <c r="G20" s="9"/>
      <c r="H20" s="10"/>
      <c r="I20" s="12"/>
      <c r="J20" s="9"/>
      <c r="K20" s="10"/>
      <c r="L20" s="12"/>
      <c r="M20" s="9"/>
      <c r="N20" s="10"/>
      <c r="O20" s="8"/>
      <c r="P20" s="9"/>
      <c r="Q20" s="7"/>
      <c r="R20" s="8"/>
      <c r="S20" s="9"/>
      <c r="T20" s="10"/>
      <c r="U20" s="12"/>
      <c r="V20" s="9"/>
    </row>
    <row r="21" spans="2:22" ht="15.75" customHeight="1">
      <c r="B21" s="10"/>
      <c r="C21" s="12"/>
      <c r="D21" s="9"/>
      <c r="E21" s="10"/>
      <c r="F21" s="8"/>
      <c r="G21" s="9"/>
      <c r="H21" s="10"/>
      <c r="I21" s="12"/>
      <c r="J21" s="9"/>
      <c r="K21" s="10"/>
      <c r="L21" s="12"/>
      <c r="M21" s="9"/>
      <c r="N21" s="10"/>
      <c r="O21" s="12"/>
      <c r="P21" s="9"/>
      <c r="Q21" s="7"/>
      <c r="R21" s="8"/>
      <c r="S21" s="9"/>
      <c r="T21" s="10"/>
      <c r="U21" s="12"/>
      <c r="V21" s="9"/>
    </row>
    <row r="22" spans="2:22" ht="15.75" customHeight="1">
      <c r="B22" s="10"/>
      <c r="C22" s="12"/>
      <c r="D22" s="9"/>
      <c r="E22" s="10"/>
      <c r="F22" s="8"/>
      <c r="G22" s="9"/>
      <c r="H22" s="10"/>
      <c r="I22" s="12"/>
      <c r="J22" s="9"/>
      <c r="K22" s="10"/>
      <c r="L22" s="12"/>
      <c r="M22" s="9"/>
      <c r="N22" s="10"/>
      <c r="O22" s="12"/>
      <c r="P22" s="9"/>
      <c r="Q22" s="7"/>
      <c r="R22" s="8"/>
      <c r="S22" s="9"/>
      <c r="T22" s="10"/>
      <c r="U22" s="12"/>
      <c r="V22" s="9"/>
    </row>
    <row r="23" spans="2:22" ht="15.75" customHeight="1" thickBot="1">
      <c r="B23" s="13"/>
      <c r="C23" s="14"/>
      <c r="D23" s="15"/>
      <c r="E23" s="13"/>
      <c r="F23" s="14"/>
      <c r="G23" s="15"/>
      <c r="H23" s="13"/>
      <c r="I23" s="14"/>
      <c r="J23" s="15"/>
      <c r="K23" s="13"/>
      <c r="L23" s="14"/>
      <c r="M23" s="15"/>
      <c r="N23" s="13"/>
      <c r="O23" s="14"/>
      <c r="P23" s="15"/>
      <c r="Q23" s="13"/>
      <c r="R23" s="14"/>
      <c r="S23" s="15"/>
      <c r="T23" s="13"/>
      <c r="U23" s="14"/>
      <c r="V23" s="15"/>
    </row>
    <row r="24" spans="2:22" ht="15.75" customHeight="1">
      <c r="B24" s="4" t="str">
        <f>IF(8&lt;=DAY(EOMONTH(DATE(2026,$C$1,1),0)),$C$1&amp;"월 8일","")</f>
        <v>9월 8일</v>
      </c>
      <c r="C24" s="5"/>
      <c r="D24" s="6"/>
      <c r="E24" s="4" t="str">
        <f>IF(9&lt;=DAY(EOMONTH(DATE(2026,$C$1,1),0)),$C$1&amp;"월 9일","")</f>
        <v>9월 9일</v>
      </c>
      <c r="F24" s="5"/>
      <c r="G24" s="6"/>
      <c r="H24" s="4" t="str">
        <f>IF(10&lt;=DAY(EOMONTH(DATE(2026,$C$1,1),0)),$C$1&amp;"월 10일","")</f>
        <v>9월 10일</v>
      </c>
      <c r="I24" s="5"/>
      <c r="J24" s="6"/>
      <c r="K24" s="4" t="str">
        <f>IF(11&lt;=DAY(EOMONTH(DATE(2026,$C$1,1),0)),$C$1&amp;"월 11일","")</f>
        <v>9월 11일</v>
      </c>
      <c r="L24" s="5"/>
      <c r="M24" s="6"/>
      <c r="N24" s="4" t="str">
        <f>IF(12&lt;=DAY(EOMONTH(DATE(2026,$C$1,1),0)),$C$1&amp;"월 12일","")</f>
        <v>9월 12일</v>
      </c>
      <c r="O24" s="5"/>
      <c r="P24" s="6"/>
      <c r="Q24" s="4" t="str">
        <f>IF(13&lt;=DAY(EOMONTH(DATE(2026,$C$1,1),0)),$C$1&amp;"월 13일","")</f>
        <v>9월 13일</v>
      </c>
      <c r="R24" s="5"/>
      <c r="S24" s="6"/>
      <c r="T24" s="4" t="str">
        <f>IF(14&lt;=DAY(EOMONTH(DATE(2026,$C$1,1),0)),$C$1&amp;"월 14일","")</f>
        <v>9월 14일</v>
      </c>
      <c r="U24" s="5"/>
      <c r="V24" s="6"/>
    </row>
    <row r="25" spans="2:22" ht="15.75" customHeight="1">
      <c r="B25" s="10" t="s">
        <v>30</v>
      </c>
      <c r="C25" s="8">
        <v>4.65E-2</v>
      </c>
      <c r="D25" s="9" t="s">
        <v>27</v>
      </c>
      <c r="E25" s="10" t="s">
        <v>62</v>
      </c>
      <c r="F25" s="8">
        <v>3.6999999999999998E-2</v>
      </c>
      <c r="G25" s="9" t="s">
        <v>42</v>
      </c>
      <c r="H25" s="10" t="s">
        <v>77</v>
      </c>
      <c r="I25" s="8">
        <v>1.3299999999999999E-2</v>
      </c>
      <c r="J25" s="9" t="s">
        <v>33</v>
      </c>
      <c r="K25" s="10" t="s">
        <v>66</v>
      </c>
      <c r="L25" s="8">
        <v>6.3799999999999996E-2</v>
      </c>
      <c r="M25" s="9" t="s">
        <v>33</v>
      </c>
      <c r="N25" s="10" t="s">
        <v>66</v>
      </c>
      <c r="O25" s="8">
        <v>0.22220000000000001</v>
      </c>
      <c r="P25" s="9" t="s">
        <v>33</v>
      </c>
      <c r="Q25" s="10" t="s">
        <v>78</v>
      </c>
      <c r="R25" s="11">
        <v>5.8799999999999998E-2</v>
      </c>
      <c r="S25" s="9" t="s">
        <v>33</v>
      </c>
      <c r="T25" s="10" t="s">
        <v>79</v>
      </c>
      <c r="U25" s="8">
        <v>1.89E-2</v>
      </c>
      <c r="V25" s="9" t="s">
        <v>27</v>
      </c>
    </row>
    <row r="26" spans="2:22" ht="15.75" customHeight="1">
      <c r="B26" s="10" t="s">
        <v>80</v>
      </c>
      <c r="C26" s="8">
        <v>2.3300000000000001E-2</v>
      </c>
      <c r="D26" s="9" t="s">
        <v>42</v>
      </c>
      <c r="E26" s="10" t="s">
        <v>81</v>
      </c>
      <c r="F26" s="11">
        <v>1.8499999999999999E-2</v>
      </c>
      <c r="G26" s="9" t="s">
        <v>33</v>
      </c>
      <c r="H26" s="10" t="s">
        <v>82</v>
      </c>
      <c r="I26" s="8">
        <v>1.3299999999999999E-2</v>
      </c>
      <c r="J26" s="9" t="s">
        <v>42</v>
      </c>
      <c r="K26" s="10" t="s">
        <v>30</v>
      </c>
      <c r="L26" s="8">
        <v>4.2599999999999999E-2</v>
      </c>
      <c r="M26" s="9" t="s">
        <v>27</v>
      </c>
      <c r="N26" s="10" t="s">
        <v>30</v>
      </c>
      <c r="O26" s="8">
        <v>0.1111</v>
      </c>
      <c r="P26" s="9" t="s">
        <v>27</v>
      </c>
      <c r="Q26" s="10" t="s">
        <v>83</v>
      </c>
      <c r="R26" s="8">
        <v>5.8799999999999998E-2</v>
      </c>
      <c r="S26" s="9" t="s">
        <v>42</v>
      </c>
      <c r="T26" s="10" t="s">
        <v>84</v>
      </c>
      <c r="U26" s="8">
        <v>1.89E-2</v>
      </c>
      <c r="V26" s="9" t="s">
        <v>27</v>
      </c>
    </row>
    <row r="27" spans="2:22" ht="15.75" customHeight="1">
      <c r="B27" s="10" t="s">
        <v>85</v>
      </c>
      <c r="C27" s="8">
        <v>2.3300000000000001E-2</v>
      </c>
      <c r="D27" s="9" t="s">
        <v>37</v>
      </c>
      <c r="E27" s="10" t="s">
        <v>86</v>
      </c>
      <c r="F27" s="8">
        <v>1.8499999999999999E-2</v>
      </c>
      <c r="G27" s="9" t="s">
        <v>33</v>
      </c>
      <c r="H27" s="10" t="s">
        <v>87</v>
      </c>
      <c r="I27" s="8">
        <v>1.3299999999999999E-2</v>
      </c>
      <c r="J27" s="9" t="s">
        <v>33</v>
      </c>
      <c r="K27" s="10" t="s">
        <v>41</v>
      </c>
      <c r="L27" s="8">
        <v>2.1299999999999999E-2</v>
      </c>
      <c r="M27" s="9" t="s">
        <v>42</v>
      </c>
      <c r="N27" s="10" t="s">
        <v>30</v>
      </c>
      <c r="O27" s="8">
        <v>0.1111</v>
      </c>
      <c r="P27" s="9" t="s">
        <v>27</v>
      </c>
      <c r="Q27" s="10" t="s">
        <v>69</v>
      </c>
      <c r="R27" s="8">
        <v>5.8799999999999998E-2</v>
      </c>
      <c r="S27" s="9" t="s">
        <v>42</v>
      </c>
      <c r="T27" s="10" t="s">
        <v>88</v>
      </c>
      <c r="U27" s="8">
        <v>1.89E-2</v>
      </c>
      <c r="V27" s="9" t="s">
        <v>27</v>
      </c>
    </row>
    <row r="28" spans="2:22" ht="15.75" customHeight="1">
      <c r="B28" s="10" t="s">
        <v>66</v>
      </c>
      <c r="C28" s="8">
        <v>2.3300000000000001E-2</v>
      </c>
      <c r="D28" s="9" t="s">
        <v>33</v>
      </c>
      <c r="E28" s="10" t="s">
        <v>89</v>
      </c>
      <c r="F28" s="8">
        <v>1.8499999999999999E-2</v>
      </c>
      <c r="G28" s="9" t="s">
        <v>37</v>
      </c>
      <c r="H28" s="10" t="s">
        <v>62</v>
      </c>
      <c r="I28" s="8">
        <v>1.3299999999999999E-2</v>
      </c>
      <c r="J28" s="9" t="s">
        <v>42</v>
      </c>
      <c r="K28" s="10" t="s">
        <v>90</v>
      </c>
      <c r="L28" s="8">
        <v>2.1299999999999999E-2</v>
      </c>
      <c r="M28" s="9" t="s">
        <v>42</v>
      </c>
      <c r="N28" s="10" t="s">
        <v>91</v>
      </c>
      <c r="O28" s="8">
        <v>0.1111</v>
      </c>
      <c r="P28" s="9" t="s">
        <v>33</v>
      </c>
      <c r="Q28" s="10" t="s">
        <v>92</v>
      </c>
      <c r="R28" s="8">
        <v>5.8799999999999998E-2</v>
      </c>
      <c r="S28" s="9" t="s">
        <v>42</v>
      </c>
      <c r="T28" s="10" t="s">
        <v>93</v>
      </c>
      <c r="U28" s="8">
        <v>1.89E-2</v>
      </c>
      <c r="V28" s="9" t="s">
        <v>37</v>
      </c>
    </row>
    <row r="29" spans="2:22" ht="15.75" customHeight="1">
      <c r="B29" s="10" t="s">
        <v>94</v>
      </c>
      <c r="C29" s="8">
        <v>2.3300000000000001E-2</v>
      </c>
      <c r="D29" s="9" t="s">
        <v>33</v>
      </c>
      <c r="E29" s="10" t="s">
        <v>95</v>
      </c>
      <c r="F29" s="8">
        <v>1.8499999999999999E-2</v>
      </c>
      <c r="G29" s="9" t="s">
        <v>37</v>
      </c>
      <c r="H29" s="10" t="s">
        <v>69</v>
      </c>
      <c r="I29" s="8">
        <v>1.3299999999999999E-2</v>
      </c>
      <c r="J29" s="9" t="s">
        <v>42</v>
      </c>
      <c r="K29" s="10" t="s">
        <v>96</v>
      </c>
      <c r="L29" s="8">
        <v>2.1299999999999999E-2</v>
      </c>
      <c r="M29" s="9" t="s">
        <v>42</v>
      </c>
      <c r="N29" s="10"/>
      <c r="O29" s="8"/>
      <c r="P29" s="9"/>
      <c r="Q29" s="10" t="s">
        <v>41</v>
      </c>
      <c r="R29" s="8">
        <v>5.8799999999999998E-2</v>
      </c>
      <c r="S29" s="9" t="s">
        <v>42</v>
      </c>
      <c r="T29" s="10" t="s">
        <v>97</v>
      </c>
      <c r="U29" s="8">
        <v>1.89E-2</v>
      </c>
      <c r="V29" s="9" t="s">
        <v>42</v>
      </c>
    </row>
    <row r="30" spans="2:22" ht="15.75" customHeight="1">
      <c r="B30" s="10" t="s">
        <v>41</v>
      </c>
      <c r="C30" s="8">
        <v>4.65E-2</v>
      </c>
      <c r="D30" s="9" t="s">
        <v>42</v>
      </c>
      <c r="E30" s="10" t="s">
        <v>69</v>
      </c>
      <c r="F30" s="8">
        <v>1.8499999999999999E-2</v>
      </c>
      <c r="G30" s="9" t="s">
        <v>42</v>
      </c>
      <c r="H30" s="10" t="s">
        <v>98</v>
      </c>
      <c r="I30" s="8">
        <v>1.3299999999999999E-2</v>
      </c>
      <c r="J30" s="9" t="s">
        <v>42</v>
      </c>
      <c r="K30" s="10" t="s">
        <v>99</v>
      </c>
      <c r="L30" s="8">
        <v>2.1299999999999999E-2</v>
      </c>
      <c r="M30" s="9" t="s">
        <v>27</v>
      </c>
      <c r="N30" s="10"/>
      <c r="O30" s="8"/>
      <c r="P30" s="9"/>
      <c r="Q30" s="10"/>
      <c r="R30" s="8"/>
      <c r="S30" s="9"/>
      <c r="T30" s="10" t="s">
        <v>100</v>
      </c>
      <c r="U30" s="8">
        <v>1.89E-2</v>
      </c>
      <c r="V30" s="9" t="s">
        <v>42</v>
      </c>
    </row>
    <row r="31" spans="2:22" ht="15.75" customHeight="1">
      <c r="B31" s="10" t="s">
        <v>101</v>
      </c>
      <c r="C31" s="8">
        <v>2.3300000000000001E-2</v>
      </c>
      <c r="D31" s="9" t="s">
        <v>42</v>
      </c>
      <c r="E31" s="10" t="s">
        <v>66</v>
      </c>
      <c r="F31" s="8">
        <v>1.8499999999999999E-2</v>
      </c>
      <c r="G31" s="9" t="s">
        <v>33</v>
      </c>
      <c r="H31" s="10"/>
      <c r="I31" s="8"/>
      <c r="J31" s="9"/>
      <c r="K31" s="10" t="s">
        <v>102</v>
      </c>
      <c r="L31" s="8">
        <v>2.1299999999999999E-2</v>
      </c>
      <c r="M31" s="9" t="s">
        <v>27</v>
      </c>
      <c r="N31" s="10"/>
      <c r="O31" s="8"/>
      <c r="P31" s="9"/>
      <c r="Q31" s="10"/>
      <c r="R31" s="8"/>
      <c r="S31" s="9"/>
      <c r="T31" s="10" t="s">
        <v>30</v>
      </c>
      <c r="U31" s="8">
        <v>1.89E-2</v>
      </c>
      <c r="V31" s="9" t="s">
        <v>27</v>
      </c>
    </row>
    <row r="32" spans="2:22" ht="15.75" customHeight="1">
      <c r="B32" s="10" t="s">
        <v>30</v>
      </c>
      <c r="C32" s="8">
        <v>2.3300000000000001E-2</v>
      </c>
      <c r="D32" s="9" t="s">
        <v>27</v>
      </c>
      <c r="E32" s="10" t="s">
        <v>103</v>
      </c>
      <c r="F32" s="8">
        <v>1.8499999999999999E-2</v>
      </c>
      <c r="G32" s="9" t="s">
        <v>33</v>
      </c>
      <c r="H32" s="10"/>
      <c r="I32" s="8"/>
      <c r="J32" s="9"/>
      <c r="K32" s="10"/>
      <c r="L32" s="8"/>
      <c r="M32" s="9"/>
      <c r="N32" s="10"/>
      <c r="O32" s="8"/>
      <c r="P32" s="9"/>
      <c r="Q32" s="10"/>
      <c r="R32" s="8"/>
      <c r="S32" s="9"/>
      <c r="T32" s="10" t="s">
        <v>104</v>
      </c>
      <c r="U32" s="8">
        <v>1.89E-2</v>
      </c>
      <c r="V32" s="9" t="s">
        <v>42</v>
      </c>
    </row>
    <row r="33" spans="2:22" ht="15.75" customHeight="1">
      <c r="B33" s="10" t="s">
        <v>105</v>
      </c>
      <c r="C33" s="8">
        <v>2.3300000000000001E-2</v>
      </c>
      <c r="D33" s="9" t="s">
        <v>42</v>
      </c>
      <c r="E33" s="10" t="s">
        <v>106</v>
      </c>
      <c r="F33" s="8">
        <v>1.8499999999999999E-2</v>
      </c>
      <c r="G33" s="9" t="s">
        <v>33</v>
      </c>
      <c r="H33" s="10"/>
      <c r="I33" s="8"/>
      <c r="J33" s="9"/>
      <c r="K33" s="10"/>
      <c r="L33" s="8"/>
      <c r="M33" s="9"/>
      <c r="N33" s="10"/>
      <c r="O33" s="8"/>
      <c r="P33" s="9"/>
      <c r="Q33" s="10"/>
      <c r="R33" s="8"/>
      <c r="S33" s="9"/>
      <c r="T33" s="10" t="s">
        <v>107</v>
      </c>
      <c r="U33" s="8">
        <v>1.89E-2</v>
      </c>
      <c r="V33" s="9" t="s">
        <v>27</v>
      </c>
    </row>
    <row r="34" spans="2:22" ht="15.75" customHeight="1">
      <c r="B34" s="10" t="s">
        <v>108</v>
      </c>
      <c r="C34" s="8">
        <v>2.3300000000000001E-2</v>
      </c>
      <c r="D34" s="9" t="s">
        <v>27</v>
      </c>
      <c r="E34" s="10" t="s">
        <v>109</v>
      </c>
      <c r="F34" s="8">
        <v>1.8499999999999999E-2</v>
      </c>
      <c r="G34" s="9" t="s">
        <v>33</v>
      </c>
      <c r="H34" s="10"/>
      <c r="I34" s="8"/>
      <c r="J34" s="9"/>
      <c r="K34" s="10"/>
      <c r="L34" s="8"/>
      <c r="M34" s="9"/>
      <c r="N34" s="10"/>
      <c r="O34" s="8"/>
      <c r="P34" s="9"/>
      <c r="Q34" s="10"/>
      <c r="R34" s="8"/>
      <c r="S34" s="9"/>
      <c r="T34" s="10" t="s">
        <v>110</v>
      </c>
      <c r="U34" s="8">
        <v>1.89E-2</v>
      </c>
      <c r="V34" s="9" t="s">
        <v>33</v>
      </c>
    </row>
    <row r="35" spans="2:22" ht="15.75" customHeight="1">
      <c r="B35" s="10"/>
      <c r="C35" s="8"/>
      <c r="D35" s="9"/>
      <c r="E35" s="10" t="s">
        <v>111</v>
      </c>
      <c r="F35" s="8">
        <v>1.8499999999999999E-2</v>
      </c>
      <c r="G35" s="9" t="s">
        <v>42</v>
      </c>
      <c r="H35" s="10"/>
      <c r="I35" s="8"/>
      <c r="J35" s="9"/>
      <c r="K35" s="10"/>
      <c r="L35" s="8"/>
      <c r="M35" s="9"/>
      <c r="N35" s="10"/>
      <c r="O35" s="11"/>
      <c r="P35" s="9"/>
      <c r="Q35" s="10"/>
      <c r="R35" s="8"/>
      <c r="S35" s="9"/>
      <c r="T35" s="10" t="s">
        <v>112</v>
      </c>
      <c r="U35" s="8">
        <v>1.89E-2</v>
      </c>
      <c r="V35" s="9" t="s">
        <v>27</v>
      </c>
    </row>
    <row r="36" spans="2:22" ht="15.75" customHeight="1">
      <c r="B36" s="10"/>
      <c r="C36" s="8"/>
      <c r="D36" s="9"/>
      <c r="E36" s="10" t="s">
        <v>113</v>
      </c>
      <c r="F36" s="11">
        <v>1.8499999999999999E-2</v>
      </c>
      <c r="G36" s="9" t="s">
        <v>37</v>
      </c>
      <c r="H36" s="10"/>
      <c r="I36" s="8"/>
      <c r="J36" s="9"/>
      <c r="K36" s="10"/>
      <c r="L36" s="12"/>
      <c r="M36" s="9"/>
      <c r="N36" s="10"/>
      <c r="O36" s="11"/>
      <c r="P36" s="9"/>
      <c r="Q36" s="10"/>
      <c r="R36" s="8"/>
      <c r="S36" s="9"/>
      <c r="T36" s="10"/>
      <c r="U36" s="8"/>
      <c r="V36" s="9"/>
    </row>
    <row r="37" spans="2:22" ht="15.75" customHeight="1">
      <c r="B37" s="10"/>
      <c r="C37" s="8"/>
      <c r="D37" s="9"/>
      <c r="E37" s="10" t="s">
        <v>79</v>
      </c>
      <c r="F37" s="8">
        <v>1.8499999999999999E-2</v>
      </c>
      <c r="G37" s="9" t="s">
        <v>27</v>
      </c>
      <c r="H37" s="10"/>
      <c r="I37" s="8"/>
      <c r="J37" s="9"/>
      <c r="K37" s="10"/>
      <c r="L37" s="12"/>
      <c r="M37" s="9"/>
      <c r="N37" s="10"/>
      <c r="O37" s="11"/>
      <c r="P37" s="9"/>
      <c r="Q37" s="10"/>
      <c r="R37" s="8"/>
      <c r="S37" s="9"/>
      <c r="T37" s="10"/>
      <c r="U37" s="8"/>
      <c r="V37" s="9"/>
    </row>
    <row r="38" spans="2:22" ht="15.75" customHeight="1">
      <c r="B38" s="10"/>
      <c r="C38" s="8"/>
      <c r="D38" s="9"/>
      <c r="E38" s="10" t="s">
        <v>114</v>
      </c>
      <c r="F38" s="8">
        <v>1.8499999999999999E-2</v>
      </c>
      <c r="G38" s="9" t="s">
        <v>27</v>
      </c>
      <c r="H38" s="10"/>
      <c r="I38" s="8"/>
      <c r="J38" s="9"/>
      <c r="K38" s="10"/>
      <c r="L38" s="12"/>
      <c r="M38" s="9"/>
      <c r="N38" s="10"/>
      <c r="O38" s="11"/>
      <c r="P38" s="9"/>
      <c r="Q38" s="10"/>
      <c r="R38" s="8"/>
      <c r="S38" s="9"/>
      <c r="T38" s="10"/>
      <c r="U38" s="8"/>
      <c r="V38" s="9"/>
    </row>
    <row r="39" spans="2:22" ht="15.75" customHeight="1">
      <c r="B39" s="10"/>
      <c r="C39" s="8"/>
      <c r="D39" s="9"/>
      <c r="E39" s="10" t="s">
        <v>115</v>
      </c>
      <c r="F39" s="8">
        <v>1.8499999999999999E-2</v>
      </c>
      <c r="G39" s="9" t="s">
        <v>33</v>
      </c>
      <c r="H39" s="10"/>
      <c r="I39" s="8"/>
      <c r="J39" s="9"/>
      <c r="K39" s="10"/>
      <c r="L39" s="12"/>
      <c r="M39" s="9"/>
      <c r="N39" s="10"/>
      <c r="O39" s="11"/>
      <c r="P39" s="9"/>
      <c r="Q39" s="10"/>
      <c r="R39" s="8"/>
      <c r="S39" s="9"/>
      <c r="T39" s="10"/>
      <c r="U39" s="8"/>
      <c r="V39" s="9"/>
    </row>
    <row r="40" spans="2:22" ht="15.75" customHeight="1">
      <c r="B40" s="10"/>
      <c r="C40" s="8"/>
      <c r="D40" s="9"/>
      <c r="E40" s="10"/>
      <c r="F40" s="12"/>
      <c r="G40" s="9"/>
      <c r="H40" s="10"/>
      <c r="I40" s="8"/>
      <c r="J40" s="9"/>
      <c r="K40" s="10"/>
      <c r="L40" s="12"/>
      <c r="M40" s="9"/>
      <c r="N40" s="10"/>
      <c r="O40" s="11"/>
      <c r="P40" s="9"/>
      <c r="Q40" s="10"/>
      <c r="R40" s="8"/>
      <c r="S40" s="9"/>
      <c r="T40" s="10"/>
      <c r="U40" s="8"/>
      <c r="V40" s="9"/>
    </row>
    <row r="41" spans="2:22" ht="15.75" customHeight="1">
      <c r="B41" s="10"/>
      <c r="C41" s="8"/>
      <c r="D41" s="9"/>
      <c r="E41" s="10"/>
      <c r="F41" s="12"/>
      <c r="G41" s="9"/>
      <c r="H41" s="10"/>
      <c r="I41" s="12"/>
      <c r="J41" s="9"/>
      <c r="K41" s="10"/>
      <c r="L41" s="12"/>
      <c r="M41" s="9"/>
      <c r="N41" s="10"/>
      <c r="O41" s="12"/>
      <c r="P41" s="9"/>
      <c r="Q41" s="10"/>
      <c r="R41" s="8"/>
      <c r="S41" s="9"/>
      <c r="T41" s="10"/>
      <c r="U41" s="12"/>
      <c r="V41" s="9"/>
    </row>
    <row r="42" spans="2:22" ht="15.75" customHeight="1">
      <c r="B42" s="10"/>
      <c r="C42" s="8"/>
      <c r="D42" s="9"/>
      <c r="E42" s="10"/>
      <c r="F42" s="12"/>
      <c r="G42" s="9"/>
      <c r="H42" s="10"/>
      <c r="I42" s="12"/>
      <c r="J42" s="9"/>
      <c r="K42" s="10"/>
      <c r="L42" s="12"/>
      <c r="M42" s="9"/>
      <c r="N42" s="10"/>
      <c r="O42" s="12"/>
      <c r="P42" s="9"/>
      <c r="Q42" s="10"/>
      <c r="R42" s="8"/>
      <c r="S42" s="9"/>
      <c r="T42" s="10"/>
      <c r="U42" s="12"/>
      <c r="V42" s="9"/>
    </row>
    <row r="43" spans="2:22" ht="15.75" customHeight="1">
      <c r="B43" s="10"/>
      <c r="C43" s="8"/>
      <c r="D43" s="9"/>
      <c r="E43" s="10"/>
      <c r="F43" s="12"/>
      <c r="G43" s="9"/>
      <c r="H43" s="10"/>
      <c r="I43" s="12"/>
      <c r="J43" s="9"/>
      <c r="K43" s="10"/>
      <c r="L43" s="12"/>
      <c r="M43" s="9"/>
      <c r="N43" s="10"/>
      <c r="O43" s="12"/>
      <c r="P43" s="9"/>
      <c r="Q43" s="10"/>
      <c r="R43" s="8"/>
      <c r="S43" s="9"/>
      <c r="T43" s="10"/>
      <c r="U43" s="12"/>
      <c r="V43" s="9"/>
    </row>
    <row r="44" spans="2:22" ht="15.75" customHeight="1">
      <c r="B44" s="10"/>
      <c r="C44" s="8"/>
      <c r="D44" s="9"/>
      <c r="E44" s="10"/>
      <c r="F44" s="12"/>
      <c r="G44" s="9"/>
      <c r="H44" s="10"/>
      <c r="I44" s="12"/>
      <c r="J44" s="9"/>
      <c r="K44" s="10"/>
      <c r="L44" s="12"/>
      <c r="M44" s="9"/>
      <c r="N44" s="10"/>
      <c r="O44" s="12"/>
      <c r="P44" s="9"/>
      <c r="Q44" s="10"/>
      <c r="R44" s="8"/>
      <c r="S44" s="9"/>
      <c r="T44" s="10"/>
      <c r="U44" s="12"/>
      <c r="V44" s="9"/>
    </row>
    <row r="45" spans="2:22" ht="15.75" customHeight="1">
      <c r="B45" s="10"/>
      <c r="C45" s="12"/>
      <c r="D45" s="9"/>
      <c r="E45" s="10"/>
      <c r="F45" s="12"/>
      <c r="G45" s="9"/>
      <c r="H45" s="10"/>
      <c r="I45" s="12"/>
      <c r="J45" s="9"/>
      <c r="K45" s="10"/>
      <c r="L45" s="12"/>
      <c r="M45" s="9"/>
      <c r="N45" s="10"/>
      <c r="O45" s="12"/>
      <c r="P45" s="9"/>
      <c r="Q45" s="10"/>
      <c r="R45" s="8"/>
      <c r="S45" s="9"/>
      <c r="T45" s="10"/>
      <c r="U45" s="12"/>
      <c r="V45" s="9"/>
    </row>
    <row r="46" spans="2:22" ht="15.75" customHeight="1" thickBot="1">
      <c r="B46" s="13"/>
      <c r="C46" s="14"/>
      <c r="D46" s="15"/>
      <c r="E46" s="13"/>
      <c r="F46" s="14"/>
      <c r="G46" s="15"/>
      <c r="H46" s="13"/>
      <c r="I46" s="14"/>
      <c r="J46" s="15"/>
      <c r="K46" s="13"/>
      <c r="L46" s="14"/>
      <c r="M46" s="15"/>
      <c r="N46" s="13"/>
      <c r="O46" s="14"/>
      <c r="P46" s="15"/>
      <c r="Q46" s="13"/>
      <c r="R46" s="14"/>
      <c r="S46" s="15"/>
      <c r="T46" s="13"/>
      <c r="U46" s="14"/>
      <c r="V46" s="15"/>
    </row>
    <row r="47" spans="2:22" ht="15.75" customHeight="1">
      <c r="B47" s="4" t="str">
        <f>IF(15&lt;=DAY(EOMONTH(DATE(2026,$C$1,1),0)),$C$1&amp;"월 15일","")</f>
        <v>9월 15일</v>
      </c>
      <c r="C47" s="5"/>
      <c r="D47" s="6"/>
      <c r="E47" s="4" t="str">
        <f>IF(16&lt;=DAY(EOMONTH(DATE(2026,$C$1,1),0)),$C$1&amp;"월 16일","")</f>
        <v>9월 16일</v>
      </c>
      <c r="F47" s="5"/>
      <c r="G47" s="6"/>
      <c r="H47" s="4" t="str">
        <f>IF(17&lt;=DAY(EOMONTH(DATE(2026,$C$1,1),0)),$C$1&amp;"월 17일","")</f>
        <v>9월 17일</v>
      </c>
      <c r="I47" s="5"/>
      <c r="J47" s="6"/>
      <c r="K47" s="4" t="str">
        <f>IF(18&lt;=DAY(EOMONTH(DATE(2026,$C$1,1),0)),$C$1&amp;"월 18일","")</f>
        <v>9월 18일</v>
      </c>
      <c r="L47" s="5"/>
      <c r="M47" s="6"/>
      <c r="N47" s="4" t="str">
        <f>IF(19&lt;=DAY(EOMONTH(DATE(2026,$C$1,1),0)),$C$1&amp;"월 19일","")</f>
        <v>9월 19일</v>
      </c>
      <c r="O47" s="5"/>
      <c r="P47" s="6"/>
      <c r="Q47" s="4" t="str">
        <f>IF(20&lt;=DAY(EOMONTH(DATE(2026,$C$1,1),0)),$C$1&amp;"월 20일","")</f>
        <v>9월 20일</v>
      </c>
      <c r="R47" s="5"/>
      <c r="S47" s="6"/>
      <c r="T47" s="4" t="str">
        <f>IF(21&lt;=DAY(EOMONTH(DATE(2026,$C$1,1),0)),$C$1&amp;"월 21일","")</f>
        <v>9월 21일</v>
      </c>
      <c r="U47" s="5"/>
      <c r="V47" s="6"/>
    </row>
    <row r="48" spans="2:22" ht="15.75" customHeight="1">
      <c r="B48" s="10" t="s">
        <v>116</v>
      </c>
      <c r="C48" s="8">
        <v>3.1300000000000001E-2</v>
      </c>
      <c r="D48" s="9" t="s">
        <v>42</v>
      </c>
      <c r="E48" s="10" t="s">
        <v>62</v>
      </c>
      <c r="F48" s="8">
        <v>6.6699999999999995E-2</v>
      </c>
      <c r="G48" s="9" t="s">
        <v>42</v>
      </c>
      <c r="H48" s="10" t="s">
        <v>117</v>
      </c>
      <c r="I48" s="8">
        <v>1.67E-2</v>
      </c>
      <c r="J48" s="9" t="s">
        <v>33</v>
      </c>
      <c r="K48" s="10" t="s">
        <v>118</v>
      </c>
      <c r="L48" s="8">
        <v>1.41E-2</v>
      </c>
      <c r="M48" s="9" t="s">
        <v>33</v>
      </c>
      <c r="N48" s="10" t="s">
        <v>119</v>
      </c>
      <c r="O48" s="8">
        <v>0.2</v>
      </c>
      <c r="P48" s="9" t="s">
        <v>33</v>
      </c>
      <c r="Q48" s="10" t="s">
        <v>120</v>
      </c>
      <c r="R48" s="8">
        <v>0.5</v>
      </c>
      <c r="S48" s="9" t="s">
        <v>33</v>
      </c>
      <c r="T48" s="10" t="s">
        <v>121</v>
      </c>
      <c r="U48" s="8">
        <v>0.05</v>
      </c>
      <c r="V48" s="9" t="s">
        <v>42</v>
      </c>
    </row>
    <row r="49" spans="2:22" ht="15.75" customHeight="1">
      <c r="B49" s="10" t="s">
        <v>66</v>
      </c>
      <c r="C49" s="8">
        <v>3.1300000000000001E-2</v>
      </c>
      <c r="D49" s="9" t="s">
        <v>33</v>
      </c>
      <c r="E49" s="10" t="s">
        <v>122</v>
      </c>
      <c r="F49" s="8">
        <v>3.3300000000000003E-2</v>
      </c>
      <c r="G49" s="9" t="s">
        <v>33</v>
      </c>
      <c r="H49" s="10" t="s">
        <v>30</v>
      </c>
      <c r="I49" s="8">
        <v>1.67E-2</v>
      </c>
      <c r="J49" s="9" t="s">
        <v>27</v>
      </c>
      <c r="K49" s="10" t="s">
        <v>123</v>
      </c>
      <c r="L49" s="8">
        <v>1.41E-2</v>
      </c>
      <c r="M49" s="9" t="s">
        <v>33</v>
      </c>
      <c r="N49" s="10" t="s">
        <v>124</v>
      </c>
      <c r="O49" s="8">
        <v>0.2</v>
      </c>
      <c r="P49" s="9" t="s">
        <v>33</v>
      </c>
      <c r="Q49" s="10"/>
      <c r="R49" s="8"/>
      <c r="S49" s="9"/>
      <c r="T49" s="10" t="s">
        <v>125</v>
      </c>
      <c r="U49" s="8">
        <v>0.05</v>
      </c>
      <c r="V49" s="9" t="s">
        <v>37</v>
      </c>
    </row>
    <row r="50" spans="2:22" ht="15.75" customHeight="1">
      <c r="B50" s="10" t="s">
        <v>30</v>
      </c>
      <c r="C50" s="8">
        <v>3.1300000000000001E-2</v>
      </c>
      <c r="D50" s="9" t="s">
        <v>27</v>
      </c>
      <c r="E50" s="10" t="s">
        <v>126</v>
      </c>
      <c r="F50" s="8">
        <v>3.3300000000000003E-2</v>
      </c>
      <c r="G50" s="9" t="s">
        <v>33</v>
      </c>
      <c r="H50" s="10" t="s">
        <v>62</v>
      </c>
      <c r="I50" s="8">
        <v>1.67E-2</v>
      </c>
      <c r="J50" s="9" t="s">
        <v>42</v>
      </c>
      <c r="K50" s="10" t="s">
        <v>127</v>
      </c>
      <c r="L50" s="8">
        <v>1.41E-2</v>
      </c>
      <c r="M50" s="9"/>
      <c r="N50" s="10" t="s">
        <v>128</v>
      </c>
      <c r="O50" s="8">
        <v>0.2</v>
      </c>
      <c r="P50" s="9" t="s">
        <v>42</v>
      </c>
      <c r="Q50" s="10"/>
      <c r="R50" s="8"/>
      <c r="S50" s="9"/>
      <c r="T50" s="10" t="s">
        <v>129</v>
      </c>
      <c r="U50" s="8">
        <v>0.05</v>
      </c>
      <c r="V50" s="9" t="s">
        <v>27</v>
      </c>
    </row>
    <row r="51" spans="2:22" ht="15.75" customHeight="1">
      <c r="B51" s="10" t="s">
        <v>130</v>
      </c>
      <c r="C51" s="8">
        <v>3.1300000000000001E-2</v>
      </c>
      <c r="D51" s="9" t="s">
        <v>33</v>
      </c>
      <c r="E51" s="10" t="s">
        <v>131</v>
      </c>
      <c r="F51" s="8">
        <v>3.3300000000000003E-2</v>
      </c>
      <c r="G51" s="9"/>
      <c r="H51" s="10" t="s">
        <v>41</v>
      </c>
      <c r="I51" s="8">
        <v>1.67E-2</v>
      </c>
      <c r="J51" s="9" t="s">
        <v>42</v>
      </c>
      <c r="K51" s="10" t="s">
        <v>62</v>
      </c>
      <c r="L51" s="8">
        <v>1.41E-2</v>
      </c>
      <c r="M51" s="9" t="s">
        <v>42</v>
      </c>
      <c r="N51" s="10" t="s">
        <v>30</v>
      </c>
      <c r="O51" s="8">
        <v>0.2</v>
      </c>
      <c r="P51" s="9" t="s">
        <v>27</v>
      </c>
      <c r="Q51" s="10"/>
      <c r="R51" s="8"/>
      <c r="S51" s="9"/>
      <c r="T51" s="10"/>
      <c r="U51" s="8"/>
      <c r="V51" s="9"/>
    </row>
    <row r="52" spans="2:22" ht="15.75" customHeight="1">
      <c r="B52" s="10" t="s">
        <v>62</v>
      </c>
      <c r="C52" s="8">
        <v>3.1300000000000001E-2</v>
      </c>
      <c r="D52" s="9" t="s">
        <v>42</v>
      </c>
      <c r="E52" s="10" t="s">
        <v>132</v>
      </c>
      <c r="F52" s="8">
        <v>3.3300000000000003E-2</v>
      </c>
      <c r="G52" s="9" t="s">
        <v>42</v>
      </c>
      <c r="H52" s="10" t="s">
        <v>133</v>
      </c>
      <c r="I52" s="8">
        <v>1.67E-2</v>
      </c>
      <c r="J52" s="9" t="s">
        <v>42</v>
      </c>
      <c r="K52" s="10" t="s">
        <v>134</v>
      </c>
      <c r="L52" s="8">
        <v>1.41E-2</v>
      </c>
      <c r="M52" s="9" t="s">
        <v>42</v>
      </c>
      <c r="N52" s="10"/>
      <c r="O52" s="8"/>
      <c r="P52" s="9"/>
      <c r="Q52" s="10"/>
      <c r="R52" s="8"/>
      <c r="S52" s="9"/>
      <c r="T52" s="10"/>
      <c r="U52" s="8"/>
      <c r="V52" s="9"/>
    </row>
    <row r="53" spans="2:22" ht="15.75" customHeight="1">
      <c r="B53" s="10" t="s">
        <v>41</v>
      </c>
      <c r="C53" s="8">
        <v>3.1300000000000001E-2</v>
      </c>
      <c r="D53" s="9" t="s">
        <v>42</v>
      </c>
      <c r="E53" s="10" t="s">
        <v>135</v>
      </c>
      <c r="F53" s="8">
        <v>3.3300000000000003E-2</v>
      </c>
      <c r="G53" s="9" t="s">
        <v>33</v>
      </c>
      <c r="H53" s="10" t="s">
        <v>48</v>
      </c>
      <c r="I53" s="8">
        <v>1.67E-2</v>
      </c>
      <c r="J53" s="9" t="s">
        <v>27</v>
      </c>
      <c r="K53" s="10" t="s">
        <v>66</v>
      </c>
      <c r="L53" s="8">
        <v>1.41E-2</v>
      </c>
      <c r="M53" s="9" t="s">
        <v>33</v>
      </c>
      <c r="N53" s="10"/>
      <c r="O53" s="8"/>
      <c r="P53" s="9"/>
      <c r="Q53" s="10"/>
      <c r="R53" s="8"/>
      <c r="S53" s="9"/>
      <c r="T53" s="10"/>
      <c r="U53" s="8"/>
      <c r="V53" s="9"/>
    </row>
    <row r="54" spans="2:22" ht="15.75" customHeight="1">
      <c r="B54" s="10" t="s">
        <v>62</v>
      </c>
      <c r="C54" s="8">
        <v>6.25E-2</v>
      </c>
      <c r="D54" s="9" t="s">
        <v>42</v>
      </c>
      <c r="E54" s="10" t="s">
        <v>66</v>
      </c>
      <c r="F54" s="8">
        <v>3.3300000000000003E-2</v>
      </c>
      <c r="G54" s="9" t="s">
        <v>33</v>
      </c>
      <c r="H54" s="10" t="s">
        <v>62</v>
      </c>
      <c r="I54" s="8">
        <v>1.67E-2</v>
      </c>
      <c r="J54" s="9" t="s">
        <v>42</v>
      </c>
      <c r="K54" s="10" t="s">
        <v>136</v>
      </c>
      <c r="L54" s="8">
        <v>1.41E-2</v>
      </c>
      <c r="M54" s="9" t="s">
        <v>37</v>
      </c>
      <c r="N54" s="10"/>
      <c r="O54" s="8"/>
      <c r="P54" s="9"/>
      <c r="Q54" s="10"/>
      <c r="R54" s="8"/>
      <c r="S54" s="9"/>
      <c r="T54" s="10"/>
      <c r="U54" s="8"/>
      <c r="V54" s="9"/>
    </row>
    <row r="55" spans="2:22" ht="15.75" customHeight="1">
      <c r="B55" s="10" t="s">
        <v>66</v>
      </c>
      <c r="C55" s="8">
        <v>3.1300000000000001E-2</v>
      </c>
      <c r="D55" s="9" t="s">
        <v>33</v>
      </c>
      <c r="E55" s="10" t="s">
        <v>30</v>
      </c>
      <c r="F55" s="8">
        <v>3.3300000000000003E-2</v>
      </c>
      <c r="G55" s="9" t="s">
        <v>27</v>
      </c>
      <c r="H55" s="10" t="s">
        <v>137</v>
      </c>
      <c r="I55" s="8">
        <v>1.67E-2</v>
      </c>
      <c r="J55" s="9" t="s">
        <v>42</v>
      </c>
      <c r="K55" s="10" t="s">
        <v>62</v>
      </c>
      <c r="L55" s="8">
        <v>1.41E-2</v>
      </c>
      <c r="M55" s="9" t="s">
        <v>42</v>
      </c>
      <c r="N55" s="10"/>
      <c r="O55" s="8"/>
      <c r="P55" s="9"/>
      <c r="Q55" s="10"/>
      <c r="R55" s="8"/>
      <c r="S55" s="9"/>
      <c r="T55" s="10"/>
      <c r="U55" s="8"/>
      <c r="V55" s="9"/>
    </row>
    <row r="56" spans="2:22" ht="15.75" customHeight="1">
      <c r="B56" s="10" t="s">
        <v>138</v>
      </c>
      <c r="C56" s="8">
        <v>3.1300000000000001E-2</v>
      </c>
      <c r="D56" s="9" t="s">
        <v>33</v>
      </c>
      <c r="E56" s="10" t="s">
        <v>139</v>
      </c>
      <c r="F56" s="8">
        <v>3.3300000000000003E-2</v>
      </c>
      <c r="G56" s="9" t="s">
        <v>42</v>
      </c>
      <c r="H56" s="10" t="s">
        <v>128</v>
      </c>
      <c r="I56" s="8">
        <v>1.67E-2</v>
      </c>
      <c r="J56" s="9" t="s">
        <v>42</v>
      </c>
      <c r="K56" s="10" t="s">
        <v>140</v>
      </c>
      <c r="L56" s="8">
        <v>1.41E-2</v>
      </c>
      <c r="M56" s="9" t="s">
        <v>42</v>
      </c>
      <c r="N56" s="10"/>
      <c r="O56" s="8"/>
      <c r="P56" s="9"/>
      <c r="Q56" s="10"/>
      <c r="R56" s="8"/>
      <c r="S56" s="9"/>
      <c r="T56" s="10"/>
      <c r="U56" s="8"/>
      <c r="V56" s="9"/>
    </row>
    <row r="57" spans="2:22" ht="15.75" customHeight="1">
      <c r="B57" s="10" t="s">
        <v>41</v>
      </c>
      <c r="C57" s="8">
        <v>3.1300000000000001E-2</v>
      </c>
      <c r="D57" s="9" t="s">
        <v>42</v>
      </c>
      <c r="E57" s="10" t="s">
        <v>62</v>
      </c>
      <c r="F57" s="8">
        <v>3.3300000000000003E-2</v>
      </c>
      <c r="G57" s="9" t="s">
        <v>42</v>
      </c>
      <c r="H57" s="10" t="s">
        <v>30</v>
      </c>
      <c r="I57" s="8">
        <v>1.67E-2</v>
      </c>
      <c r="J57" s="9" t="s">
        <v>27</v>
      </c>
      <c r="K57" s="10" t="s">
        <v>141</v>
      </c>
      <c r="L57" s="8">
        <v>1.41E-2</v>
      </c>
      <c r="M57" s="9" t="s">
        <v>27</v>
      </c>
      <c r="N57" s="10"/>
      <c r="O57" s="12"/>
      <c r="P57" s="9"/>
      <c r="Q57" s="10"/>
      <c r="R57" s="8"/>
      <c r="S57" s="9"/>
      <c r="T57" s="10"/>
      <c r="U57" s="8"/>
      <c r="V57" s="9"/>
    </row>
    <row r="58" spans="2:22" ht="15.75" customHeight="1">
      <c r="B58" s="10" t="s">
        <v>30</v>
      </c>
      <c r="C58" s="8">
        <v>3.1300000000000001E-2</v>
      </c>
      <c r="D58" s="9" t="s">
        <v>27</v>
      </c>
      <c r="E58" s="10" t="s">
        <v>142</v>
      </c>
      <c r="F58" s="8">
        <v>3.3300000000000003E-2</v>
      </c>
      <c r="G58" s="9" t="s">
        <v>37</v>
      </c>
      <c r="H58" s="10"/>
      <c r="I58" s="8"/>
      <c r="J58" s="9"/>
      <c r="K58" s="10" t="s">
        <v>143</v>
      </c>
      <c r="L58" s="8">
        <v>1.41E-2</v>
      </c>
      <c r="M58" s="9" t="s">
        <v>37</v>
      </c>
      <c r="N58" s="10"/>
      <c r="O58" s="12"/>
      <c r="P58" s="9"/>
      <c r="Q58" s="10"/>
      <c r="R58" s="8"/>
      <c r="S58" s="9"/>
      <c r="T58" s="10"/>
      <c r="U58" s="8"/>
      <c r="V58" s="9"/>
    </row>
    <row r="59" spans="2:22" ht="15.75" customHeight="1">
      <c r="B59" s="10"/>
      <c r="C59" s="8"/>
      <c r="D59" s="9"/>
      <c r="E59" s="10" t="s">
        <v>144</v>
      </c>
      <c r="F59" s="8">
        <v>3.3300000000000003E-2</v>
      </c>
      <c r="G59" s="9" t="s">
        <v>42</v>
      </c>
      <c r="H59" s="10"/>
      <c r="I59" s="12"/>
      <c r="J59" s="9"/>
      <c r="K59" s="10"/>
      <c r="L59" s="12"/>
      <c r="M59" s="9"/>
      <c r="N59" s="10"/>
      <c r="O59" s="12"/>
      <c r="P59" s="9"/>
      <c r="Q59" s="10"/>
      <c r="R59" s="8"/>
      <c r="S59" s="9"/>
      <c r="T59" s="10"/>
      <c r="U59" s="8"/>
      <c r="V59" s="9"/>
    </row>
    <row r="60" spans="2:22" ht="15.75" customHeight="1">
      <c r="B60" s="10"/>
      <c r="C60" s="8"/>
      <c r="D60" s="9"/>
      <c r="E60" s="10" t="s">
        <v>145</v>
      </c>
      <c r="F60" s="8">
        <v>3.3300000000000003E-2</v>
      </c>
      <c r="G60" s="9" t="s">
        <v>33</v>
      </c>
      <c r="H60" s="10"/>
      <c r="I60" s="12"/>
      <c r="J60" s="9"/>
      <c r="K60" s="10"/>
      <c r="L60" s="12"/>
      <c r="M60" s="9"/>
      <c r="N60" s="10"/>
      <c r="O60" s="12"/>
      <c r="P60" s="9"/>
      <c r="Q60" s="10"/>
      <c r="R60" s="8"/>
      <c r="S60" s="9"/>
      <c r="T60" s="10"/>
      <c r="U60" s="8"/>
      <c r="V60" s="9"/>
    </row>
    <row r="61" spans="2:22" ht="15.75" customHeight="1">
      <c r="B61" s="10"/>
      <c r="C61" s="8"/>
      <c r="D61" s="9"/>
      <c r="E61" s="10"/>
      <c r="F61" s="8"/>
      <c r="G61" s="9"/>
      <c r="H61" s="10"/>
      <c r="I61" s="12"/>
      <c r="J61" s="9"/>
      <c r="K61" s="10"/>
      <c r="L61" s="12"/>
      <c r="M61" s="9"/>
      <c r="N61" s="10"/>
      <c r="O61" s="12"/>
      <c r="P61" s="9"/>
      <c r="Q61" s="10"/>
      <c r="R61" s="12"/>
      <c r="S61" s="9"/>
      <c r="T61" s="10"/>
      <c r="U61" s="8"/>
      <c r="V61" s="9"/>
    </row>
    <row r="62" spans="2:22" ht="15.75" customHeight="1">
      <c r="B62" s="10"/>
      <c r="C62" s="8"/>
      <c r="D62" s="9"/>
      <c r="E62" s="10"/>
      <c r="F62" s="8"/>
      <c r="G62" s="9"/>
      <c r="H62" s="10"/>
      <c r="I62" s="12"/>
      <c r="J62" s="9"/>
      <c r="K62" s="10"/>
      <c r="L62" s="12"/>
      <c r="M62" s="9"/>
      <c r="N62" s="10"/>
      <c r="O62" s="12"/>
      <c r="P62" s="9"/>
      <c r="Q62" s="10"/>
      <c r="R62" s="12"/>
      <c r="S62" s="9"/>
      <c r="T62" s="10"/>
      <c r="U62" s="8"/>
      <c r="V62" s="9"/>
    </row>
    <row r="63" spans="2:22" ht="15.75" customHeight="1">
      <c r="B63" s="10"/>
      <c r="C63" s="8"/>
      <c r="D63" s="9"/>
      <c r="E63" s="10"/>
      <c r="F63" s="8"/>
      <c r="G63" s="9"/>
      <c r="H63" s="10"/>
      <c r="I63" s="12"/>
      <c r="J63" s="9"/>
      <c r="K63" s="10"/>
      <c r="L63" s="12"/>
      <c r="M63" s="9"/>
      <c r="N63" s="10"/>
      <c r="O63" s="12"/>
      <c r="P63" s="9"/>
      <c r="Q63" s="10"/>
      <c r="R63" s="12"/>
      <c r="S63" s="9"/>
      <c r="T63" s="10"/>
      <c r="U63" s="8"/>
      <c r="V63" s="9"/>
    </row>
    <row r="64" spans="2:22" ht="15.75" customHeight="1">
      <c r="B64" s="10"/>
      <c r="C64" s="8"/>
      <c r="D64" s="9"/>
      <c r="E64" s="10"/>
      <c r="F64" s="8"/>
      <c r="G64" s="9"/>
      <c r="H64" s="10"/>
      <c r="I64" s="12"/>
      <c r="J64" s="9"/>
      <c r="K64" s="10"/>
      <c r="L64" s="12"/>
      <c r="M64" s="9"/>
      <c r="N64" s="10"/>
      <c r="O64" s="12"/>
      <c r="P64" s="9"/>
      <c r="Q64" s="10"/>
      <c r="R64" s="12"/>
      <c r="S64" s="9"/>
      <c r="T64" s="10"/>
      <c r="U64" s="8"/>
      <c r="V64" s="9"/>
    </row>
    <row r="65" spans="2:22" ht="15.75" customHeight="1">
      <c r="B65" s="10"/>
      <c r="C65" s="8"/>
      <c r="D65" s="9"/>
      <c r="E65" s="10"/>
      <c r="F65" s="8"/>
      <c r="G65" s="9"/>
      <c r="H65" s="10"/>
      <c r="I65" s="12"/>
      <c r="J65" s="9"/>
      <c r="K65" s="10"/>
      <c r="L65" s="12"/>
      <c r="M65" s="9"/>
      <c r="N65" s="10"/>
      <c r="O65" s="12"/>
      <c r="P65" s="9"/>
      <c r="Q65" s="10"/>
      <c r="R65" s="12"/>
      <c r="S65" s="9"/>
      <c r="T65" s="10"/>
      <c r="U65" s="8"/>
      <c r="V65" s="9"/>
    </row>
    <row r="66" spans="2:22" ht="15.75" customHeight="1">
      <c r="B66" s="10"/>
      <c r="C66" s="8"/>
      <c r="D66" s="9"/>
      <c r="E66" s="10"/>
      <c r="F66" s="8"/>
      <c r="G66" s="9"/>
      <c r="H66" s="10"/>
      <c r="I66" s="12"/>
      <c r="J66" s="9"/>
      <c r="K66" s="10"/>
      <c r="L66" s="12"/>
      <c r="M66" s="9"/>
      <c r="N66" s="10"/>
      <c r="O66" s="12"/>
      <c r="P66" s="9"/>
      <c r="Q66" s="10"/>
      <c r="R66" s="12"/>
      <c r="S66" s="9"/>
      <c r="T66" s="10"/>
      <c r="U66" s="8"/>
      <c r="V66" s="9"/>
    </row>
    <row r="67" spans="2:22" ht="15.75" customHeight="1">
      <c r="B67" s="10"/>
      <c r="C67" s="8"/>
      <c r="D67" s="9"/>
      <c r="E67" s="10"/>
      <c r="F67" s="8"/>
      <c r="G67" s="9"/>
      <c r="H67" s="10"/>
      <c r="I67" s="12"/>
      <c r="J67" s="9"/>
      <c r="K67" s="10"/>
      <c r="L67" s="12"/>
      <c r="M67" s="9"/>
      <c r="N67" s="10"/>
      <c r="O67" s="12"/>
      <c r="P67" s="9"/>
      <c r="Q67" s="10"/>
      <c r="R67" s="12"/>
      <c r="S67" s="9"/>
      <c r="T67" s="10"/>
      <c r="U67" s="8"/>
      <c r="V67" s="9"/>
    </row>
    <row r="68" spans="2:22" ht="15.75" customHeight="1">
      <c r="B68" s="10"/>
      <c r="C68" s="8"/>
      <c r="D68" s="9"/>
      <c r="E68" s="10"/>
      <c r="F68" s="8"/>
      <c r="G68" s="9"/>
      <c r="H68" s="10"/>
      <c r="I68" s="12"/>
      <c r="J68" s="9"/>
      <c r="K68" s="10"/>
      <c r="L68" s="12"/>
      <c r="M68" s="9"/>
      <c r="N68" s="10"/>
      <c r="O68" s="12"/>
      <c r="P68" s="9"/>
      <c r="Q68" s="10"/>
      <c r="R68" s="12"/>
      <c r="S68" s="9"/>
      <c r="T68" s="10"/>
      <c r="U68" s="8"/>
      <c r="V68" s="9"/>
    </row>
    <row r="69" spans="2:22" ht="15.75" customHeight="1">
      <c r="B69" s="10"/>
      <c r="C69" s="8"/>
      <c r="D69" s="9"/>
      <c r="E69" s="10"/>
      <c r="F69" s="8"/>
      <c r="G69" s="9"/>
      <c r="H69" s="10"/>
      <c r="I69" s="12"/>
      <c r="J69" s="9"/>
      <c r="K69" s="10"/>
      <c r="L69" s="12"/>
      <c r="M69" s="9"/>
      <c r="N69" s="10"/>
      <c r="O69" s="12"/>
      <c r="P69" s="9"/>
      <c r="Q69" s="10"/>
      <c r="R69" s="12"/>
      <c r="S69" s="9"/>
      <c r="T69" s="10"/>
      <c r="U69" s="8"/>
      <c r="V69" s="9"/>
    </row>
    <row r="70" spans="2:22" ht="15.75" customHeight="1">
      <c r="B70" s="10"/>
      <c r="C70" s="8"/>
      <c r="D70" s="9"/>
      <c r="E70" s="10"/>
      <c r="F70" s="8"/>
      <c r="G70" s="9"/>
      <c r="H70" s="10"/>
      <c r="I70" s="12"/>
      <c r="J70" s="9"/>
      <c r="K70" s="10"/>
      <c r="L70" s="12"/>
      <c r="M70" s="9"/>
      <c r="N70" s="10"/>
      <c r="O70" s="12"/>
      <c r="P70" s="9"/>
      <c r="Q70" s="10"/>
      <c r="R70" s="12"/>
      <c r="S70" s="9"/>
      <c r="T70" s="10"/>
      <c r="U70" s="8"/>
      <c r="V70" s="9"/>
    </row>
    <row r="71" spans="2:22" ht="15.75" customHeight="1">
      <c r="B71" s="10"/>
      <c r="C71" s="12"/>
      <c r="D71" s="9"/>
      <c r="E71" s="10"/>
      <c r="F71" s="12"/>
      <c r="G71" s="9"/>
      <c r="H71" s="10"/>
      <c r="I71" s="12"/>
      <c r="J71" s="9"/>
      <c r="K71" s="10"/>
      <c r="L71" s="12"/>
      <c r="M71" s="9"/>
      <c r="N71" s="10"/>
      <c r="O71" s="12"/>
      <c r="P71" s="9"/>
      <c r="Q71" s="10"/>
      <c r="R71" s="12"/>
      <c r="S71" s="9"/>
      <c r="T71" s="10"/>
      <c r="U71" s="12"/>
      <c r="V71" s="9"/>
    </row>
    <row r="72" spans="2:22" ht="15.75" customHeight="1" thickBot="1">
      <c r="B72" s="13"/>
      <c r="C72" s="14"/>
      <c r="D72" s="15"/>
      <c r="E72" s="13"/>
      <c r="F72" s="14"/>
      <c r="G72" s="15"/>
      <c r="H72" s="13"/>
      <c r="I72" s="14"/>
      <c r="J72" s="15"/>
      <c r="K72" s="13"/>
      <c r="L72" s="14"/>
      <c r="M72" s="15"/>
      <c r="N72" s="13"/>
      <c r="O72" s="14"/>
      <c r="P72" s="15"/>
      <c r="Q72" s="13"/>
      <c r="R72" s="14"/>
      <c r="S72" s="15"/>
      <c r="T72" s="13"/>
      <c r="U72" s="14"/>
      <c r="V72" s="15"/>
    </row>
    <row r="73" spans="2:22" ht="15.75" customHeight="1">
      <c r="B73" s="4" t="str">
        <f>IF(22&lt;=DAY(EOMONTH(DATE(2026,$C$1,1),0)),$C$1&amp;"월 22일","")</f>
        <v>9월 22일</v>
      </c>
      <c r="C73" s="5"/>
      <c r="D73" s="6"/>
      <c r="E73" s="4" t="str">
        <f>IF(23&lt;=DAY(EOMONTH(DATE(2026,$C$1,1),0)),$C$1&amp;"월 23일","")</f>
        <v>9월 23일</v>
      </c>
      <c r="F73" s="5"/>
      <c r="G73" s="6"/>
      <c r="H73" s="4" t="str">
        <f>IF(24&lt;=DAY(EOMONTH(DATE(2026,$C$1,1),0)),$C$1&amp;"월 24일","")</f>
        <v>9월 24일</v>
      </c>
      <c r="I73" s="5"/>
      <c r="J73" s="6"/>
      <c r="K73" s="4" t="str">
        <f>IF(25&lt;=DAY(EOMONTH(DATE(2026,$C$1,1),0)),$C$1&amp;"월 25일","")</f>
        <v>9월 25일</v>
      </c>
      <c r="L73" s="5"/>
      <c r="M73" s="6"/>
      <c r="N73" s="4" t="str">
        <f>IF(26&lt;=DAY(EOMONTH(DATE(2026,$C$1,1),0)),$C$1&amp;"월 26일","")</f>
        <v>9월 26일</v>
      </c>
      <c r="O73" s="5"/>
      <c r="P73" s="6"/>
      <c r="Q73" s="4" t="str">
        <f>IF(27&lt;=DAY(EOMONTH(DATE(2026,$C$1,1),0)),$C$1&amp;"월 27일","")</f>
        <v>9월 27일</v>
      </c>
      <c r="R73" s="5"/>
      <c r="S73" s="6"/>
      <c r="T73" s="4" t="str">
        <f>IF(28&lt;=DAY(EOMONTH(DATE(2026,$C$1,1),0)),$C$1&amp;"월 28일","")</f>
        <v>9월 28일</v>
      </c>
      <c r="U73" s="5"/>
      <c r="V73" s="6"/>
    </row>
    <row r="74" spans="2:22" ht="15.75" customHeight="1">
      <c r="B74" s="10" t="s">
        <v>146</v>
      </c>
      <c r="C74" s="8">
        <v>4.3499999999999997E-2</v>
      </c>
      <c r="D74" s="9" t="s">
        <v>42</v>
      </c>
      <c r="E74" s="10" t="s">
        <v>48</v>
      </c>
      <c r="F74" s="8">
        <v>3.1600000000000003E-2</v>
      </c>
      <c r="G74" s="9" t="s">
        <v>27</v>
      </c>
      <c r="H74" s="10" t="s">
        <v>147</v>
      </c>
      <c r="I74" s="8">
        <v>0.33329999999999999</v>
      </c>
      <c r="J74" s="9" t="s">
        <v>33</v>
      </c>
      <c r="K74" s="10" t="s">
        <v>147</v>
      </c>
      <c r="L74" s="8">
        <v>0.44440000000000002</v>
      </c>
      <c r="M74" s="9" t="s">
        <v>33</v>
      </c>
      <c r="N74" s="10" t="s">
        <v>147</v>
      </c>
      <c r="O74" s="8">
        <v>5.8799999999999998E-2</v>
      </c>
      <c r="P74" s="9" t="s">
        <v>33</v>
      </c>
      <c r="Q74" s="10" t="s">
        <v>147</v>
      </c>
      <c r="R74" s="8">
        <v>0.16669999999999999</v>
      </c>
      <c r="S74" s="9" t="s">
        <v>33</v>
      </c>
      <c r="T74" s="10" t="s">
        <v>98</v>
      </c>
      <c r="U74" s="8">
        <v>2.3800000000000002E-2</v>
      </c>
      <c r="V74" s="9" t="s">
        <v>42</v>
      </c>
    </row>
    <row r="75" spans="2:22" ht="15.75" customHeight="1">
      <c r="B75" s="10" t="s">
        <v>148</v>
      </c>
      <c r="C75" s="8">
        <v>4.3499999999999997E-2</v>
      </c>
      <c r="D75" s="9" t="s">
        <v>37</v>
      </c>
      <c r="E75" s="10" t="s">
        <v>147</v>
      </c>
      <c r="F75" s="8">
        <v>2.1100000000000001E-2</v>
      </c>
      <c r="G75" s="9" t="s">
        <v>33</v>
      </c>
      <c r="H75" s="10" t="s">
        <v>28</v>
      </c>
      <c r="I75" s="8">
        <v>0.16669999999999999</v>
      </c>
      <c r="J75" s="9" t="s">
        <v>27</v>
      </c>
      <c r="K75" s="10" t="s">
        <v>149</v>
      </c>
      <c r="L75" s="8">
        <v>0.1111</v>
      </c>
      <c r="M75" s="9" t="s">
        <v>27</v>
      </c>
      <c r="N75" s="10" t="s">
        <v>150</v>
      </c>
      <c r="O75" s="8">
        <v>5.8799999999999998E-2</v>
      </c>
      <c r="P75" s="9" t="s">
        <v>33</v>
      </c>
      <c r="Q75" s="10" t="s">
        <v>151</v>
      </c>
      <c r="R75" s="8">
        <v>0.16669999999999999</v>
      </c>
      <c r="S75" s="9" t="s">
        <v>33</v>
      </c>
      <c r="T75" s="10" t="s">
        <v>152</v>
      </c>
      <c r="U75" s="11">
        <v>2.3800000000000002E-2</v>
      </c>
      <c r="V75" s="9" t="s">
        <v>42</v>
      </c>
    </row>
    <row r="76" spans="2:22" ht="15.75" customHeight="1">
      <c r="B76" s="10" t="s">
        <v>153</v>
      </c>
      <c r="C76" s="8">
        <v>4.3499999999999997E-2</v>
      </c>
      <c r="D76" s="9" t="s">
        <v>42</v>
      </c>
      <c r="E76" s="10" t="s">
        <v>66</v>
      </c>
      <c r="F76" s="8">
        <v>1.0500000000000001E-2</v>
      </c>
      <c r="G76" s="9" t="s">
        <v>33</v>
      </c>
      <c r="H76" s="10" t="s">
        <v>79</v>
      </c>
      <c r="I76" s="8">
        <v>0.16669999999999999</v>
      </c>
      <c r="J76" s="9" t="s">
        <v>27</v>
      </c>
      <c r="K76" s="10" t="s">
        <v>154</v>
      </c>
      <c r="L76" s="8">
        <v>0.1111</v>
      </c>
      <c r="M76" s="9" t="s">
        <v>27</v>
      </c>
      <c r="N76" s="10" t="s">
        <v>155</v>
      </c>
      <c r="O76" s="8">
        <v>5.8799999999999998E-2</v>
      </c>
      <c r="P76" s="9" t="s">
        <v>33</v>
      </c>
      <c r="Q76" s="10" t="s">
        <v>150</v>
      </c>
      <c r="R76" s="8">
        <v>8.3299999999999999E-2</v>
      </c>
      <c r="S76" s="9" t="s">
        <v>33</v>
      </c>
      <c r="T76" s="10" t="s">
        <v>156</v>
      </c>
      <c r="U76" s="11">
        <v>2.3800000000000002E-2</v>
      </c>
      <c r="V76" s="9" t="s">
        <v>42</v>
      </c>
    </row>
    <row r="77" spans="2:22" ht="15.75" customHeight="1">
      <c r="B77" s="10" t="s">
        <v>157</v>
      </c>
      <c r="C77" s="8">
        <v>4.3499999999999997E-2</v>
      </c>
      <c r="D77" s="9"/>
      <c r="E77" s="10" t="s">
        <v>158</v>
      </c>
      <c r="F77" s="8">
        <v>1.0500000000000001E-2</v>
      </c>
      <c r="G77" s="9" t="s">
        <v>42</v>
      </c>
      <c r="H77" s="10" t="s">
        <v>159</v>
      </c>
      <c r="I77" s="8">
        <v>0.16669999999999999</v>
      </c>
      <c r="J77" s="9" t="s">
        <v>33</v>
      </c>
      <c r="K77" s="10" t="s">
        <v>160</v>
      </c>
      <c r="L77" s="8">
        <v>0.1111</v>
      </c>
      <c r="M77" s="9" t="s">
        <v>27</v>
      </c>
      <c r="N77" s="10" t="s">
        <v>161</v>
      </c>
      <c r="O77" s="8">
        <v>5.8799999999999998E-2</v>
      </c>
      <c r="P77" s="9" t="s">
        <v>33</v>
      </c>
      <c r="Q77" s="10" t="s">
        <v>162</v>
      </c>
      <c r="R77" s="8">
        <v>0.16669999999999999</v>
      </c>
      <c r="S77" s="9" t="s">
        <v>33</v>
      </c>
      <c r="T77" s="10" t="s">
        <v>62</v>
      </c>
      <c r="U77" s="8">
        <v>2.3800000000000002E-2</v>
      </c>
      <c r="V77" s="9" t="s">
        <v>42</v>
      </c>
    </row>
    <row r="78" spans="2:22" ht="15.75" customHeight="1">
      <c r="B78" s="10" t="s">
        <v>163</v>
      </c>
      <c r="C78" s="8">
        <v>4.3499999999999997E-2</v>
      </c>
      <c r="D78" s="9" t="s">
        <v>33</v>
      </c>
      <c r="E78" s="10" t="s">
        <v>164</v>
      </c>
      <c r="F78" s="8">
        <v>1.0500000000000001E-2</v>
      </c>
      <c r="G78" s="9" t="s">
        <v>33</v>
      </c>
      <c r="H78" s="10"/>
      <c r="I78" s="8"/>
      <c r="J78" s="9"/>
      <c r="K78" s="10" t="s">
        <v>165</v>
      </c>
      <c r="L78" s="8">
        <v>0.1111</v>
      </c>
      <c r="M78" s="9"/>
      <c r="N78" s="10" t="s">
        <v>166</v>
      </c>
      <c r="O78" s="8">
        <v>5.8799999999999998E-2</v>
      </c>
      <c r="P78" s="9" t="s">
        <v>33</v>
      </c>
      <c r="Q78" s="10" t="s">
        <v>167</v>
      </c>
      <c r="R78" s="8">
        <v>8.3299999999999999E-2</v>
      </c>
      <c r="S78" s="9" t="s">
        <v>27</v>
      </c>
      <c r="T78" s="10" t="s">
        <v>168</v>
      </c>
      <c r="U78" s="8">
        <v>2.3800000000000002E-2</v>
      </c>
      <c r="V78" s="9" t="s">
        <v>42</v>
      </c>
    </row>
    <row r="79" spans="2:22" ht="15.75" customHeight="1">
      <c r="B79" s="10"/>
      <c r="C79" s="8"/>
      <c r="D79" s="9"/>
      <c r="E79" s="10" t="s">
        <v>169</v>
      </c>
      <c r="F79" s="8">
        <v>1.0500000000000001E-2</v>
      </c>
      <c r="G79" s="9" t="s">
        <v>27</v>
      </c>
      <c r="H79" s="10"/>
      <c r="I79" s="8"/>
      <c r="J79" s="9"/>
      <c r="K79" s="10"/>
      <c r="L79" s="8"/>
      <c r="M79" s="9"/>
      <c r="N79" s="10" t="s">
        <v>41</v>
      </c>
      <c r="O79" s="8">
        <v>5.8799999999999998E-2</v>
      </c>
      <c r="P79" s="9" t="s">
        <v>42</v>
      </c>
      <c r="Q79" s="10"/>
      <c r="R79" s="8"/>
      <c r="S79" s="9"/>
      <c r="T79" s="10" t="s">
        <v>75</v>
      </c>
      <c r="U79" s="8">
        <v>2.3800000000000002E-2</v>
      </c>
      <c r="V79" s="9" t="s">
        <v>27</v>
      </c>
    </row>
    <row r="80" spans="2:22" ht="15.75" customHeight="1">
      <c r="B80" s="10"/>
      <c r="C80" s="8"/>
      <c r="D80" s="9"/>
      <c r="E80" s="10" t="s">
        <v>170</v>
      </c>
      <c r="F80" s="8">
        <v>1.0500000000000001E-2</v>
      </c>
      <c r="G80" s="9" t="s">
        <v>27</v>
      </c>
      <c r="H80" s="10"/>
      <c r="I80" s="8"/>
      <c r="J80" s="9"/>
      <c r="K80" s="10"/>
      <c r="L80" s="12"/>
      <c r="M80" s="9"/>
      <c r="N80" s="10" t="s">
        <v>171</v>
      </c>
      <c r="O80" s="8">
        <v>5.8799999999999998E-2</v>
      </c>
      <c r="P80" s="9" t="s">
        <v>33</v>
      </c>
      <c r="Q80" s="10"/>
      <c r="R80" s="8"/>
      <c r="S80" s="9"/>
      <c r="T80" s="10" t="s">
        <v>30</v>
      </c>
      <c r="U80" s="8">
        <v>2.3800000000000002E-2</v>
      </c>
      <c r="V80" s="9" t="s">
        <v>27</v>
      </c>
    </row>
    <row r="81" spans="2:22" ht="15.75" customHeight="1">
      <c r="B81" s="10"/>
      <c r="C81" s="8"/>
      <c r="D81" s="9"/>
      <c r="E81" s="10" t="s">
        <v>172</v>
      </c>
      <c r="F81" s="8">
        <v>1.0500000000000001E-2</v>
      </c>
      <c r="G81" s="9" t="s">
        <v>42</v>
      </c>
      <c r="H81" s="10"/>
      <c r="I81" s="8"/>
      <c r="J81" s="9"/>
      <c r="K81" s="10"/>
      <c r="L81" s="12"/>
      <c r="M81" s="9"/>
      <c r="N81" s="10"/>
      <c r="O81" s="8"/>
      <c r="P81" s="9"/>
      <c r="Q81" s="10"/>
      <c r="R81" s="8"/>
      <c r="S81" s="9"/>
      <c r="T81" s="10" t="s">
        <v>173</v>
      </c>
      <c r="U81" s="8">
        <v>2.3800000000000002E-2</v>
      </c>
      <c r="V81" s="9" t="s">
        <v>37</v>
      </c>
    </row>
    <row r="82" spans="2:22" ht="15.75" customHeight="1">
      <c r="B82" s="10"/>
      <c r="C82" s="8"/>
      <c r="D82" s="9"/>
      <c r="E82" s="10" t="s">
        <v>174</v>
      </c>
      <c r="F82" s="8">
        <v>1.0500000000000001E-2</v>
      </c>
      <c r="G82" s="9" t="s">
        <v>42</v>
      </c>
      <c r="H82" s="10"/>
      <c r="I82" s="8"/>
      <c r="J82" s="9"/>
      <c r="K82" s="10"/>
      <c r="L82" s="12"/>
      <c r="M82" s="9"/>
      <c r="N82" s="10"/>
      <c r="O82" s="8"/>
      <c r="P82" s="9"/>
      <c r="Q82" s="10"/>
      <c r="R82" s="8"/>
      <c r="S82" s="9"/>
      <c r="T82" s="10" t="s">
        <v>175</v>
      </c>
      <c r="U82" s="8">
        <v>2.3800000000000002E-2</v>
      </c>
      <c r="V82" s="9" t="s">
        <v>33</v>
      </c>
    </row>
    <row r="83" spans="2:22" ht="15.75" customHeight="1">
      <c r="B83" s="10"/>
      <c r="C83" s="8"/>
      <c r="D83" s="9"/>
      <c r="E83" s="10"/>
      <c r="F83" s="8"/>
      <c r="G83" s="9"/>
      <c r="H83" s="10"/>
      <c r="I83" s="8"/>
      <c r="J83" s="9"/>
      <c r="K83" s="10"/>
      <c r="L83" s="12"/>
      <c r="M83" s="9"/>
      <c r="N83" s="10"/>
      <c r="O83" s="8"/>
      <c r="P83" s="9"/>
      <c r="Q83" s="10"/>
      <c r="R83" s="12"/>
      <c r="S83" s="9"/>
      <c r="T83" s="10"/>
      <c r="U83" s="12"/>
      <c r="V83" s="9"/>
    </row>
    <row r="84" spans="2:22" ht="15.75" customHeight="1">
      <c r="B84" s="10"/>
      <c r="C84" s="8"/>
      <c r="D84" s="9"/>
      <c r="E84" s="10"/>
      <c r="F84" s="8"/>
      <c r="G84" s="9"/>
      <c r="H84" s="10"/>
      <c r="I84" s="8"/>
      <c r="J84" s="9"/>
      <c r="K84" s="10"/>
      <c r="L84" s="12"/>
      <c r="M84" s="9"/>
      <c r="N84" s="10"/>
      <c r="O84" s="8"/>
      <c r="P84" s="9"/>
      <c r="Q84" s="10"/>
      <c r="R84" s="12"/>
      <c r="S84" s="9"/>
      <c r="T84" s="10"/>
      <c r="U84" s="12"/>
      <c r="V84" s="9"/>
    </row>
    <row r="85" spans="2:22" ht="15.75" customHeight="1">
      <c r="B85" s="10"/>
      <c r="C85" s="8"/>
      <c r="D85" s="9"/>
      <c r="E85" s="10"/>
      <c r="F85" s="8"/>
      <c r="G85" s="9"/>
      <c r="H85" s="10"/>
      <c r="I85" s="8"/>
      <c r="J85" s="9"/>
      <c r="K85" s="10"/>
      <c r="L85" s="12"/>
      <c r="M85" s="9"/>
      <c r="N85" s="10"/>
      <c r="O85" s="8"/>
      <c r="P85" s="9"/>
      <c r="Q85" s="10"/>
      <c r="R85" s="12"/>
      <c r="S85" s="9"/>
      <c r="T85" s="10"/>
      <c r="U85" s="12"/>
      <c r="V85" s="9"/>
    </row>
    <row r="86" spans="2:22" ht="15.75" customHeight="1">
      <c r="B86" s="10"/>
      <c r="C86" s="8"/>
      <c r="D86" s="9"/>
      <c r="E86" s="10"/>
      <c r="F86" s="8"/>
      <c r="G86" s="9"/>
      <c r="H86" s="10"/>
      <c r="I86" s="8"/>
      <c r="J86" s="9"/>
      <c r="K86" s="10"/>
      <c r="L86" s="12"/>
      <c r="M86" s="9"/>
      <c r="N86" s="10"/>
      <c r="O86" s="8"/>
      <c r="P86" s="9"/>
      <c r="Q86" s="10"/>
      <c r="R86" s="12"/>
      <c r="S86" s="9"/>
      <c r="T86" s="10"/>
      <c r="U86" s="12"/>
      <c r="V86" s="9"/>
    </row>
    <row r="87" spans="2:22" ht="15.75" customHeight="1">
      <c r="B87" s="10"/>
      <c r="C87" s="8"/>
      <c r="D87" s="9"/>
      <c r="E87" s="10"/>
      <c r="F87" s="8"/>
      <c r="G87" s="9"/>
      <c r="H87" s="10"/>
      <c r="I87" s="8"/>
      <c r="J87" s="9"/>
      <c r="K87" s="10"/>
      <c r="L87" s="12"/>
      <c r="M87" s="9"/>
      <c r="N87" s="10"/>
      <c r="O87" s="8"/>
      <c r="P87" s="9"/>
      <c r="Q87" s="10"/>
      <c r="R87" s="12"/>
      <c r="S87" s="9"/>
      <c r="T87" s="10"/>
      <c r="U87" s="12"/>
      <c r="V87" s="9"/>
    </row>
    <row r="88" spans="2:22" ht="15.75" customHeight="1">
      <c r="B88" s="10"/>
      <c r="C88" s="8"/>
      <c r="D88" s="9"/>
      <c r="E88" s="10"/>
      <c r="F88" s="8"/>
      <c r="G88" s="9"/>
      <c r="H88" s="10"/>
      <c r="I88" s="8"/>
      <c r="J88" s="9"/>
      <c r="K88" s="10"/>
      <c r="L88" s="12"/>
      <c r="M88" s="9"/>
      <c r="N88" s="10"/>
      <c r="O88" s="8"/>
      <c r="P88" s="9"/>
      <c r="Q88" s="10"/>
      <c r="R88" s="12"/>
      <c r="S88" s="9"/>
      <c r="T88" s="10"/>
      <c r="U88" s="12"/>
      <c r="V88" s="9"/>
    </row>
    <row r="89" spans="2:22" ht="15.75" customHeight="1">
      <c r="B89" s="10"/>
      <c r="C89" s="8"/>
      <c r="D89" s="9"/>
      <c r="E89" s="10"/>
      <c r="F89" s="8"/>
      <c r="G89" s="9"/>
      <c r="H89" s="10"/>
      <c r="I89" s="12"/>
      <c r="J89" s="9"/>
      <c r="K89" s="10"/>
      <c r="L89" s="12"/>
      <c r="M89" s="9"/>
      <c r="N89" s="10"/>
      <c r="O89" s="8"/>
      <c r="P89" s="9"/>
      <c r="Q89" s="10"/>
      <c r="R89" s="12"/>
      <c r="S89" s="9"/>
      <c r="T89" s="10"/>
      <c r="U89" s="12"/>
      <c r="V89" s="9"/>
    </row>
    <row r="90" spans="2:22" ht="15.75" customHeight="1">
      <c r="B90" s="10"/>
      <c r="C90" s="8"/>
      <c r="D90" s="9"/>
      <c r="E90" s="10"/>
      <c r="F90" s="8"/>
      <c r="G90" s="9"/>
      <c r="H90" s="10"/>
      <c r="I90" s="12"/>
      <c r="J90" s="9"/>
      <c r="K90" s="10"/>
      <c r="L90" s="12"/>
      <c r="M90" s="9"/>
      <c r="N90" s="10"/>
      <c r="O90" s="8"/>
      <c r="P90" s="9"/>
      <c r="Q90" s="10"/>
      <c r="R90" s="12"/>
      <c r="S90" s="9"/>
      <c r="T90" s="10"/>
      <c r="U90" s="12"/>
      <c r="V90" s="9"/>
    </row>
    <row r="91" spans="2:22" ht="15.75" customHeight="1">
      <c r="B91" s="10"/>
      <c r="C91" s="12"/>
      <c r="D91" s="9"/>
      <c r="E91" s="10"/>
      <c r="F91" s="8"/>
      <c r="G91" s="9"/>
      <c r="H91" s="10"/>
      <c r="I91" s="12"/>
      <c r="J91" s="9"/>
      <c r="K91" s="10"/>
      <c r="L91" s="12"/>
      <c r="M91" s="9"/>
      <c r="N91" s="10"/>
      <c r="O91" s="12"/>
      <c r="P91" s="9"/>
      <c r="Q91" s="10"/>
      <c r="R91" s="12"/>
      <c r="S91" s="9"/>
      <c r="T91" s="10"/>
      <c r="U91" s="12"/>
      <c r="V91" s="9"/>
    </row>
    <row r="92" spans="2:22" ht="15.75" customHeight="1">
      <c r="B92" s="10"/>
      <c r="C92" s="12"/>
      <c r="D92" s="9"/>
      <c r="E92" s="10"/>
      <c r="F92" s="8"/>
      <c r="G92" s="9"/>
      <c r="H92" s="10"/>
      <c r="I92" s="12"/>
      <c r="J92" s="9"/>
      <c r="K92" s="10"/>
      <c r="L92" s="12"/>
      <c r="M92" s="9"/>
      <c r="N92" s="10"/>
      <c r="O92" s="12"/>
      <c r="P92" s="9"/>
      <c r="Q92" s="10"/>
      <c r="R92" s="12"/>
      <c r="S92" s="9"/>
      <c r="T92" s="10"/>
      <c r="U92" s="12"/>
      <c r="V92" s="9"/>
    </row>
    <row r="93" spans="2:22" ht="15.75" customHeight="1">
      <c r="B93" s="16"/>
      <c r="C93" s="17"/>
      <c r="D93" s="18"/>
      <c r="E93" s="16"/>
      <c r="F93" s="19"/>
      <c r="G93" s="18"/>
      <c r="H93" s="16"/>
      <c r="I93" s="17"/>
      <c r="J93" s="18"/>
      <c r="K93" s="16"/>
      <c r="L93" s="17"/>
      <c r="M93" s="18"/>
      <c r="N93" s="16"/>
      <c r="O93" s="17"/>
      <c r="P93" s="18"/>
      <c r="Q93" s="16"/>
      <c r="R93" s="17"/>
      <c r="S93" s="18"/>
      <c r="T93" s="16"/>
      <c r="U93" s="17"/>
      <c r="V93" s="18"/>
    </row>
    <row r="94" spans="2:22" ht="15.75" customHeight="1" thickBot="1">
      <c r="B94" s="13"/>
      <c r="C94" s="14"/>
      <c r="D94" s="15"/>
      <c r="E94" s="13"/>
      <c r="F94" s="14"/>
      <c r="G94" s="15"/>
      <c r="H94" s="13"/>
      <c r="I94" s="14"/>
      <c r="J94" s="15"/>
      <c r="K94" s="13"/>
      <c r="L94" s="14"/>
      <c r="M94" s="15"/>
      <c r="N94" s="13"/>
      <c r="O94" s="14"/>
      <c r="P94" s="15"/>
      <c r="Q94" s="13"/>
      <c r="R94" s="14"/>
      <c r="S94" s="15"/>
      <c r="T94" s="13"/>
      <c r="U94" s="14"/>
      <c r="V94" s="15"/>
    </row>
    <row r="95" spans="2:22" ht="15.75" customHeight="1">
      <c r="B95" s="4" t="str">
        <f>IF(29&lt;=DAY(EOMONTH(DATE(2026,$C$1,1),0)),$C$1&amp;"월 29일","")</f>
        <v>9월 29일</v>
      </c>
      <c r="C95" s="5"/>
      <c r="D95" s="6"/>
      <c r="E95" s="4" t="str">
        <f>IF(30&lt;=DAY(EOMONTH(DATE(2026,$C$1,1),0)),$C$1&amp;"월 30일","")</f>
        <v>9월 30일</v>
      </c>
      <c r="F95" s="5"/>
      <c r="G95" s="6"/>
      <c r="H95" s="4" t="str">
        <f>IF(31&lt;=DAY(EOMONTH(DATE(2026,$C$1,1),0)),$C$1&amp;"월 31일","")</f>
        <v/>
      </c>
      <c r="I95" s="5"/>
      <c r="J95" s="6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2:22" ht="15.75" customHeight="1">
      <c r="B96" s="10" t="s">
        <v>62</v>
      </c>
      <c r="C96" s="8">
        <v>9.0899999999999995E-2</v>
      </c>
      <c r="D96" s="9" t="s">
        <v>42</v>
      </c>
      <c r="E96" s="10" t="s">
        <v>62</v>
      </c>
      <c r="F96" s="8">
        <v>4.3499999999999997E-2</v>
      </c>
      <c r="G96" s="9" t="s">
        <v>42</v>
      </c>
      <c r="H96" s="10"/>
      <c r="I96" s="8"/>
      <c r="J96" s="9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2:22" ht="15.75" customHeight="1">
      <c r="B97" s="10" t="s">
        <v>176</v>
      </c>
      <c r="C97" s="8">
        <v>6.0600000000000001E-2</v>
      </c>
      <c r="D97" s="9" t="s">
        <v>42</v>
      </c>
      <c r="E97" s="10" t="s">
        <v>177</v>
      </c>
      <c r="F97" s="8">
        <v>2.1700000000000001E-2</v>
      </c>
      <c r="G97" s="9" t="s">
        <v>37</v>
      </c>
      <c r="H97" s="10"/>
      <c r="I97" s="8"/>
      <c r="J97" s="9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2:22" ht="15.75" customHeight="1">
      <c r="B98" s="10" t="s">
        <v>178</v>
      </c>
      <c r="C98" s="8">
        <v>3.0300000000000001E-2</v>
      </c>
      <c r="D98" s="9" t="s">
        <v>35</v>
      </c>
      <c r="E98" s="10" t="s">
        <v>30</v>
      </c>
      <c r="F98" s="8">
        <v>2.1700000000000001E-2</v>
      </c>
      <c r="G98" s="9" t="s">
        <v>27</v>
      </c>
      <c r="H98" s="10"/>
      <c r="I98" s="8"/>
      <c r="J98" s="9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2:22" ht="15.75" customHeight="1">
      <c r="B99" s="10" t="s">
        <v>30</v>
      </c>
      <c r="C99" s="8">
        <v>3.0300000000000001E-2</v>
      </c>
      <c r="D99" s="9" t="s">
        <v>27</v>
      </c>
      <c r="E99" s="10" t="s">
        <v>128</v>
      </c>
      <c r="F99" s="8">
        <v>2.1700000000000001E-2</v>
      </c>
      <c r="G99" s="9" t="s">
        <v>42</v>
      </c>
      <c r="H99" s="10"/>
      <c r="I99" s="8"/>
      <c r="J99" s="9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2:22" ht="15.75" customHeight="1">
      <c r="B100" s="10" t="s">
        <v>150</v>
      </c>
      <c r="C100" s="8">
        <v>3.0300000000000001E-2</v>
      </c>
      <c r="D100" s="9" t="s">
        <v>33</v>
      </c>
      <c r="E100" s="10"/>
      <c r="F100" s="8"/>
      <c r="G100" s="9"/>
      <c r="H100" s="10"/>
      <c r="I100" s="8"/>
      <c r="J100" s="9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2:22" ht="15.75" customHeight="1">
      <c r="B101" s="10" t="s">
        <v>179</v>
      </c>
      <c r="C101" s="8">
        <v>3.0300000000000001E-2</v>
      </c>
      <c r="D101" s="9" t="s">
        <v>37</v>
      </c>
      <c r="E101" s="10"/>
      <c r="F101" s="8"/>
      <c r="G101" s="9"/>
      <c r="H101" s="10"/>
      <c r="I101" s="8"/>
      <c r="J101" s="9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2:22" ht="15.75" customHeight="1">
      <c r="B102" s="10" t="s">
        <v>180</v>
      </c>
      <c r="C102" s="8">
        <v>3.0300000000000001E-2</v>
      </c>
      <c r="D102" s="9" t="s">
        <v>37</v>
      </c>
      <c r="E102" s="10"/>
      <c r="F102" s="8"/>
      <c r="G102" s="9"/>
      <c r="H102" s="10"/>
      <c r="I102" s="8"/>
      <c r="J102" s="9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2:22" ht="15.75" customHeight="1">
      <c r="B103" s="10" t="s">
        <v>181</v>
      </c>
      <c r="C103" s="8">
        <v>3.0300000000000001E-2</v>
      </c>
      <c r="D103" s="9" t="s">
        <v>33</v>
      </c>
      <c r="E103" s="10"/>
      <c r="F103" s="8"/>
      <c r="G103" s="9"/>
      <c r="H103" s="10"/>
      <c r="I103" s="8"/>
      <c r="J103" s="9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2:22" ht="15.75" customHeight="1">
      <c r="B104" s="10" t="s">
        <v>182</v>
      </c>
      <c r="C104" s="8">
        <v>3.0300000000000001E-2</v>
      </c>
      <c r="D104" s="9" t="s">
        <v>27</v>
      </c>
      <c r="E104" s="10"/>
      <c r="F104" s="8"/>
      <c r="G104" s="9"/>
      <c r="H104" s="10"/>
      <c r="I104" s="8"/>
      <c r="J104" s="9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2:22" ht="15.75" customHeight="1">
      <c r="B105" s="10" t="s">
        <v>183</v>
      </c>
      <c r="C105" s="8">
        <v>3.0300000000000001E-2</v>
      </c>
      <c r="D105" s="9" t="s">
        <v>42</v>
      </c>
      <c r="E105" s="10"/>
      <c r="F105" s="8"/>
      <c r="G105" s="9"/>
      <c r="H105" s="10"/>
      <c r="I105" s="8"/>
      <c r="J105" s="9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2:22" ht="15.75" customHeight="1">
      <c r="B106" s="10" t="s">
        <v>184</v>
      </c>
      <c r="C106" s="8">
        <v>3.0300000000000001E-2</v>
      </c>
      <c r="D106" s="9" t="s">
        <v>33</v>
      </c>
      <c r="E106" s="10"/>
      <c r="F106" s="8"/>
      <c r="G106" s="9"/>
      <c r="H106" s="10"/>
      <c r="I106" s="12"/>
      <c r="J106" s="9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2:22" ht="15.75" customHeight="1">
      <c r="B107" s="10" t="s">
        <v>185</v>
      </c>
      <c r="C107" s="8">
        <v>3.0300000000000001E-2</v>
      </c>
      <c r="D107" s="9" t="s">
        <v>37</v>
      </c>
      <c r="E107" s="10"/>
      <c r="F107" s="8"/>
      <c r="G107" s="9"/>
      <c r="H107" s="10"/>
      <c r="I107" s="12"/>
      <c r="J107" s="9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2:22" ht="15.75" customHeight="1">
      <c r="B108" s="10" t="s">
        <v>186</v>
      </c>
      <c r="C108" s="8">
        <v>3.0300000000000001E-2</v>
      </c>
      <c r="D108" s="9" t="s">
        <v>42</v>
      </c>
      <c r="E108" s="10"/>
      <c r="F108" s="8"/>
      <c r="G108" s="9"/>
      <c r="H108" s="10"/>
      <c r="I108" s="12"/>
      <c r="J108" s="9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2:22" ht="15.75" customHeight="1">
      <c r="B109" s="10" t="s">
        <v>187</v>
      </c>
      <c r="C109" s="8">
        <v>3.0300000000000001E-2</v>
      </c>
      <c r="D109" s="9" t="s">
        <v>42</v>
      </c>
      <c r="E109" s="10"/>
      <c r="F109" s="8"/>
      <c r="G109" s="9"/>
      <c r="H109" s="10"/>
      <c r="I109" s="12"/>
      <c r="J109" s="9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2:22" ht="15.75" customHeight="1">
      <c r="B110" s="10" t="s">
        <v>43</v>
      </c>
      <c r="C110" s="8">
        <v>3.0300000000000001E-2</v>
      </c>
      <c r="D110" s="9" t="s">
        <v>37</v>
      </c>
      <c r="E110" s="10"/>
      <c r="F110" s="8"/>
      <c r="G110" s="9"/>
      <c r="H110" s="10"/>
      <c r="I110" s="12"/>
      <c r="J110" s="9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2:22" ht="15.75" customHeight="1">
      <c r="B111" s="10"/>
      <c r="C111" s="12"/>
      <c r="D111" s="9"/>
      <c r="E111" s="10"/>
      <c r="F111" s="8"/>
      <c r="G111" s="9"/>
      <c r="H111" s="10"/>
      <c r="I111" s="12"/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2:22" ht="15.75" customHeight="1">
      <c r="B112" s="10"/>
      <c r="C112" s="12"/>
      <c r="D112" s="9"/>
      <c r="E112" s="10"/>
      <c r="F112" s="8"/>
      <c r="G112" s="9"/>
      <c r="H112" s="10"/>
      <c r="I112" s="12"/>
      <c r="J112" s="9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2:22" ht="15.75" customHeight="1">
      <c r="B113" s="10"/>
      <c r="C113" s="12"/>
      <c r="D113" s="9"/>
      <c r="E113" s="10"/>
      <c r="F113" s="8"/>
      <c r="G113" s="9"/>
      <c r="H113" s="10"/>
      <c r="I113" s="12"/>
      <c r="J113" s="9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2:22" ht="15.75" customHeight="1">
      <c r="B114" s="10"/>
      <c r="C114" s="12"/>
      <c r="D114" s="9"/>
      <c r="E114" s="10"/>
      <c r="F114" s="8"/>
      <c r="G114" s="9"/>
      <c r="H114" s="10"/>
      <c r="I114" s="12"/>
      <c r="J114" s="9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2:22" ht="15.75" customHeight="1">
      <c r="B115" s="10"/>
      <c r="C115" s="12"/>
      <c r="D115" s="9"/>
      <c r="E115" s="10"/>
      <c r="F115" s="8"/>
      <c r="G115" s="9"/>
      <c r="H115" s="10"/>
      <c r="I115" s="12"/>
      <c r="J115" s="9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2:22" ht="15.75" customHeight="1" thickBot="1">
      <c r="B116" s="13"/>
      <c r="C116" s="14"/>
      <c r="D116" s="15"/>
      <c r="E116" s="13"/>
      <c r="F116" s="14"/>
      <c r="G116" s="15"/>
      <c r="H116" s="13"/>
      <c r="I116" s="14"/>
      <c r="J116" s="15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</sheetData>
  <mergeCells count="1">
    <mergeCell ref="D1:V1"/>
  </mergeCells>
  <phoneticPr fontId="19" type="noConversion"/>
  <dataValidations count="2">
    <dataValidation type="list" sqref="C1">
      <formula1>"1,2,3,4,5,6,7,8,9,10,11,12"</formula1>
      <formula2>0</formula2>
    </dataValidation>
    <dataValidation type="list" allowBlank="1" sqref="D3:D136 G3:G136 J3:J136 M3:M136 P3:P136 S3:S136 V3:V136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tabSelected="1" zoomScale="85" zoomScaleNormal="85" workbookViewId="0">
      <selection activeCell="P12" sqref="P12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3.33203125" style="150" customWidth="1"/>
    <col min="5" max="5" width="20" style="150" customWidth="1"/>
    <col min="6" max="6" width="10" style="150" customWidth="1"/>
    <col min="7" max="7" width="3" style="150" customWidth="1"/>
    <col min="8" max="8" width="14.88671875" style="150" customWidth="1"/>
    <col min="11" max="11" width="52.5546875" style="150" customWidth="1"/>
  </cols>
  <sheetData>
    <row r="1" spans="2:14" ht="27.75" customHeight="1">
      <c r="B1" s="166" t="s">
        <v>188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2:14" ht="18.600000000000001" customHeight="1" thickBot="1"/>
    <row r="3" spans="2:14" ht="19.5" customHeight="1" thickBot="1">
      <c r="B3" s="164" t="s">
        <v>6</v>
      </c>
      <c r="C3" s="165"/>
      <c r="E3" s="164" t="s">
        <v>7</v>
      </c>
      <c r="F3" s="165"/>
      <c r="H3" s="172" t="s">
        <v>8</v>
      </c>
      <c r="I3" s="173"/>
      <c r="J3" s="173"/>
      <c r="K3" s="174"/>
      <c r="L3" s="135" t="s">
        <v>9</v>
      </c>
    </row>
    <row r="4" spans="2:14" ht="16.5" customHeight="1" thickBot="1">
      <c r="B4" s="21" t="s">
        <v>9</v>
      </c>
      <c r="C4" s="33">
        <v>1351</v>
      </c>
      <c r="E4" s="23" t="s">
        <v>189</v>
      </c>
      <c r="F4" s="34">
        <v>0.31869999999999998</v>
      </c>
      <c r="H4" s="128">
        <v>1</v>
      </c>
      <c r="I4" s="129" t="s">
        <v>190</v>
      </c>
      <c r="L4">
        <v>179</v>
      </c>
    </row>
    <row r="5" spans="2:14" ht="16.5" customHeight="1" thickBot="1">
      <c r="B5" s="7" t="s">
        <v>10</v>
      </c>
      <c r="C5" s="24">
        <v>559</v>
      </c>
      <c r="E5" s="10" t="s">
        <v>191</v>
      </c>
      <c r="F5" s="35">
        <v>0.1676</v>
      </c>
      <c r="H5" s="126">
        <v>2</v>
      </c>
      <c r="I5" s="127" t="s">
        <v>192</v>
      </c>
      <c r="L5">
        <v>139</v>
      </c>
    </row>
    <row r="6" spans="2:14" ht="16.5" customHeight="1" thickBot="1">
      <c r="B6" s="21" t="s">
        <v>11</v>
      </c>
      <c r="C6" s="22">
        <v>723</v>
      </c>
      <c r="E6" s="23" t="s">
        <v>193</v>
      </c>
      <c r="F6" s="34">
        <v>0.1361</v>
      </c>
      <c r="H6" s="126">
        <v>3</v>
      </c>
      <c r="I6" s="127" t="s">
        <v>194</v>
      </c>
      <c r="L6">
        <v>48</v>
      </c>
    </row>
    <row r="7" spans="2:14" ht="16.5" customHeight="1" thickBot="1">
      <c r="B7" s="7" t="s">
        <v>12</v>
      </c>
      <c r="C7" s="35">
        <v>0.16600000000000001</v>
      </c>
      <c r="E7" s="10" t="s">
        <v>195</v>
      </c>
      <c r="F7" s="35">
        <v>9.6299999999999997E-2</v>
      </c>
      <c r="H7" s="126">
        <v>4</v>
      </c>
      <c r="I7" s="127" t="s">
        <v>196</v>
      </c>
      <c r="L7">
        <v>32</v>
      </c>
    </row>
    <row r="8" spans="2:14" ht="16.5" customHeight="1" thickBot="1">
      <c r="B8" s="25" t="s">
        <v>13</v>
      </c>
      <c r="C8" s="26" t="s">
        <v>197</v>
      </c>
      <c r="E8" s="27" t="s">
        <v>198</v>
      </c>
      <c r="F8" s="37">
        <v>8.4599999999999995E-2</v>
      </c>
      <c r="H8" s="126">
        <v>5</v>
      </c>
      <c r="I8" s="127" t="s">
        <v>199</v>
      </c>
      <c r="L8">
        <v>27</v>
      </c>
    </row>
    <row r="9" spans="2:14" ht="17.399999999999999" customHeight="1" thickBot="1">
      <c r="H9" s="126">
        <v>6</v>
      </c>
      <c r="I9" s="127" t="s">
        <v>200</v>
      </c>
      <c r="L9">
        <v>26</v>
      </c>
    </row>
    <row r="10" spans="2:14" ht="19.5" customHeight="1" thickBot="1">
      <c r="B10" s="164" t="s">
        <v>14</v>
      </c>
      <c r="C10" s="165"/>
      <c r="E10" s="164" t="s">
        <v>15</v>
      </c>
      <c r="F10" s="165"/>
      <c r="H10" s="126">
        <v>6</v>
      </c>
      <c r="I10" s="127" t="s">
        <v>201</v>
      </c>
      <c r="L10">
        <v>26</v>
      </c>
    </row>
    <row r="11" spans="2:14" ht="16.5" customHeight="1" thickBot="1">
      <c r="B11" s="42">
        <v>2026.05</v>
      </c>
      <c r="C11" s="43">
        <v>1114</v>
      </c>
      <c r="E11" s="21" t="s">
        <v>16</v>
      </c>
      <c r="F11" s="34">
        <v>0.33600000000000002</v>
      </c>
      <c r="H11" s="126">
        <v>8</v>
      </c>
      <c r="I11" s="127" t="s">
        <v>202</v>
      </c>
      <c r="L11">
        <v>25</v>
      </c>
    </row>
    <row r="12" spans="2:14" ht="19.2" customHeight="1" thickBot="1">
      <c r="B12" s="134">
        <v>2026.06</v>
      </c>
      <c r="C12" s="46">
        <v>1686</v>
      </c>
      <c r="E12" s="13" t="s">
        <v>17</v>
      </c>
      <c r="F12" s="39">
        <v>0.66400000000000003</v>
      </c>
      <c r="H12" s="126">
        <v>9</v>
      </c>
      <c r="I12" s="127" t="s">
        <v>203</v>
      </c>
      <c r="L12">
        <v>22</v>
      </c>
    </row>
    <row r="13" spans="2:14" ht="18" customHeight="1" thickBot="1">
      <c r="B13" s="134">
        <v>2026.07</v>
      </c>
      <c r="C13" s="33">
        <v>1815</v>
      </c>
      <c r="E13" s="116"/>
      <c r="F13" s="117"/>
      <c r="H13" s="130">
        <v>10</v>
      </c>
      <c r="I13" s="133" t="s">
        <v>204</v>
      </c>
      <c r="L13">
        <v>19</v>
      </c>
    </row>
    <row r="14" spans="2:14" ht="19.5" customHeight="1" thickBot="1">
      <c r="B14" s="134">
        <v>2026.08</v>
      </c>
      <c r="C14" s="33">
        <v>1985</v>
      </c>
    </row>
    <row r="15" spans="2:14" ht="16.5" customHeight="1">
      <c r="B15" s="134">
        <v>2026.09</v>
      </c>
      <c r="C15" s="33">
        <v>1351</v>
      </c>
      <c r="E15" s="164" t="s">
        <v>18</v>
      </c>
      <c r="F15" s="165"/>
    </row>
    <row r="16" spans="2:14" ht="16.5" customHeight="1" thickBot="1">
      <c r="E16" s="21" t="s">
        <v>19</v>
      </c>
      <c r="F16" s="22"/>
    </row>
    <row r="17" spans="2:6" ht="16.5" customHeight="1" thickBot="1">
      <c r="B17" s="164" t="s">
        <v>20</v>
      </c>
      <c r="C17" s="165"/>
      <c r="E17" s="114" t="s">
        <v>21</v>
      </c>
      <c r="F17" s="115"/>
    </row>
    <row r="18" spans="2:6" ht="16.5" customHeight="1">
      <c r="B18" s="23" t="s">
        <v>30</v>
      </c>
      <c r="C18" s="34">
        <v>0.12130000000000001</v>
      </c>
    </row>
    <row r="19" spans="2:6" ht="16.5" customHeight="1">
      <c r="B19" s="10" t="s">
        <v>62</v>
      </c>
      <c r="C19" s="35">
        <v>7.3499999999999996E-2</v>
      </c>
    </row>
    <row r="20" spans="2:6" ht="16.5" customHeight="1">
      <c r="B20" s="23" t="s">
        <v>66</v>
      </c>
      <c r="C20" s="34">
        <v>5.1499999999999997E-2</v>
      </c>
    </row>
    <row r="21" spans="2:6" ht="16.5" customHeight="1">
      <c r="B21" s="10" t="s">
        <v>41</v>
      </c>
      <c r="C21" s="35">
        <v>4.41E-2</v>
      </c>
    </row>
    <row r="22" spans="2:6" ht="16.5" customHeight="1">
      <c r="B22" s="23" t="s">
        <v>147</v>
      </c>
      <c r="C22" s="34">
        <v>4.0399999999999998E-2</v>
      </c>
    </row>
    <row r="23" spans="2:6" ht="16.5" customHeight="1">
      <c r="B23" s="10" t="s">
        <v>48</v>
      </c>
      <c r="C23" s="35">
        <v>2.9399999999999999E-2</v>
      </c>
    </row>
    <row r="24" spans="2:6" ht="16.5" customHeight="1">
      <c r="B24" s="23" t="s">
        <v>28</v>
      </c>
      <c r="C24" s="34">
        <v>2.2100000000000002E-2</v>
      </c>
    </row>
    <row r="25" spans="2:6" ht="16.5" customHeight="1">
      <c r="B25" s="10" t="s">
        <v>69</v>
      </c>
      <c r="C25" s="35">
        <v>1.47E-2</v>
      </c>
    </row>
    <row r="26" spans="2:6" ht="16.5" customHeight="1">
      <c r="B26" s="23" t="s">
        <v>79</v>
      </c>
      <c r="C26" s="34">
        <v>1.0999999999999999E-2</v>
      </c>
    </row>
    <row r="27" spans="2:6" ht="16.5" customHeight="1" thickBot="1">
      <c r="B27" s="13" t="s">
        <v>150</v>
      </c>
      <c r="C27" s="39">
        <v>1.0999999999999999E-2</v>
      </c>
    </row>
    <row r="28" spans="2:6" ht="15" customHeight="1">
      <c r="B28" s="131" t="s">
        <v>128</v>
      </c>
      <c r="C28" s="132">
        <v>1.0999999999999999E-2</v>
      </c>
    </row>
  </sheetData>
  <mergeCells count="8">
    <mergeCell ref="B17:C17"/>
    <mergeCell ref="E3:F3"/>
    <mergeCell ref="E15:F15"/>
    <mergeCell ref="B1:N1"/>
    <mergeCell ref="B3:C3"/>
    <mergeCell ref="H3:K3"/>
    <mergeCell ref="E10:F10"/>
    <mergeCell ref="B10:C10"/>
  </mergeCells>
  <phoneticPr fontId="19" type="noConversion"/>
  <hyperlinks>
    <hyperlink ref="I4" r:id="rId1" display="https://blog.stat.naver.com/blog/article/224393436930/cv"/>
    <hyperlink ref="I5" r:id="rId2" display="https://blog.stat.naver.com/blog/article/224400943967/cv"/>
    <hyperlink ref="I6" r:id="rId3" display="https://blog.stat.naver.com/blog/article/224371164182/cv"/>
    <hyperlink ref="I7" r:id="rId4" display="https://blog.stat.naver.com/blog/article/224351729516/cv"/>
    <hyperlink ref="I8" r:id="rId5" display="https://blog.stat.naver.com/blog/article/224366936299/cv"/>
    <hyperlink ref="I9" r:id="rId6" display="https://blog.stat.naver.com/blog/article/224290016541/cv"/>
    <hyperlink ref="I10" r:id="rId7" display="https://blog.stat.naver.com/blog/article/224389952828/cv"/>
    <hyperlink ref="I11" r:id="rId8" display="https://blog.stat.naver.com/blog/article/224361394929/cv"/>
    <hyperlink ref="I12" r:id="rId9" display="https://blog.stat.naver.com/blog/article/224297964682/cv"/>
    <hyperlink ref="I13" r:id="rId10" display="https://blog.stat.naver.com/blog/article/224340024984/cv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Views>
    <sheetView topLeftCell="A214" zoomScaleNormal="100" workbookViewId="0">
      <selection activeCell="L35" sqref="L35"/>
    </sheetView>
  </sheetViews>
  <sheetFormatPr defaultColWidth="8.6640625" defaultRowHeight="14.4"/>
  <cols>
    <col min="1" max="1" width="16" style="150" customWidth="1"/>
    <col min="2" max="2" width="10" style="150" customWidth="1"/>
    <col min="3" max="3" width="46" style="150" customWidth="1"/>
    <col min="4" max="4" width="10" style="150" customWidth="1"/>
    <col min="5" max="5" width="10" style="156" customWidth="1"/>
    <col min="6" max="6" width="10" style="150" customWidth="1"/>
  </cols>
  <sheetData>
    <row r="1" spans="1:6" ht="19.5" customHeight="1">
      <c r="A1" s="1" t="s">
        <v>22</v>
      </c>
      <c r="B1" s="1" t="s">
        <v>23</v>
      </c>
      <c r="C1" s="1" t="s">
        <v>2</v>
      </c>
      <c r="D1" s="1" t="s">
        <v>24</v>
      </c>
      <c r="E1" s="154" t="s">
        <v>25</v>
      </c>
      <c r="F1" s="1" t="s">
        <v>4</v>
      </c>
    </row>
    <row r="2" spans="1:6" ht="15.75" customHeight="1">
      <c r="A2" s="137" t="s">
        <v>30</v>
      </c>
      <c r="B2" s="137" t="s">
        <v>205</v>
      </c>
      <c r="C2" s="137" t="s">
        <v>26</v>
      </c>
      <c r="D2" s="137" t="s">
        <v>206</v>
      </c>
      <c r="E2" s="137">
        <v>1</v>
      </c>
      <c r="F2" s="146" t="s">
        <v>27</v>
      </c>
    </row>
    <row r="3" spans="1:6" ht="15.75" customHeight="1">
      <c r="A3" s="137" t="s">
        <v>30</v>
      </c>
      <c r="B3" s="137" t="s">
        <v>205</v>
      </c>
      <c r="C3" s="137" t="s">
        <v>30</v>
      </c>
      <c r="D3" s="137" t="s">
        <v>206</v>
      </c>
      <c r="E3" s="137">
        <v>1</v>
      </c>
      <c r="F3" s="146" t="s">
        <v>27</v>
      </c>
    </row>
    <row r="4" spans="1:6" ht="15.75" customHeight="1">
      <c r="A4" s="137" t="s">
        <v>30</v>
      </c>
      <c r="B4" s="137" t="s">
        <v>205</v>
      </c>
      <c r="C4" s="137" t="s">
        <v>48</v>
      </c>
      <c r="D4" s="137" t="s">
        <v>207</v>
      </c>
      <c r="E4" s="137">
        <v>2</v>
      </c>
      <c r="F4" s="146" t="s">
        <v>27</v>
      </c>
    </row>
    <row r="5" spans="1:6" ht="15.75" customHeight="1">
      <c r="A5" s="137" t="s">
        <v>30</v>
      </c>
      <c r="B5" s="137" t="s">
        <v>205</v>
      </c>
      <c r="C5" s="137" t="s">
        <v>75</v>
      </c>
      <c r="D5" s="137" t="s">
        <v>206</v>
      </c>
      <c r="E5" s="137">
        <v>1</v>
      </c>
      <c r="F5" s="146" t="s">
        <v>27</v>
      </c>
    </row>
    <row r="6" spans="1:6" ht="15.75" customHeight="1">
      <c r="A6" s="137" t="s">
        <v>30</v>
      </c>
      <c r="B6" s="137" t="s">
        <v>208</v>
      </c>
      <c r="C6" s="137" t="s">
        <v>36</v>
      </c>
      <c r="D6" s="137" t="s">
        <v>209</v>
      </c>
      <c r="E6" s="137">
        <v>1</v>
      </c>
      <c r="F6" s="147" t="s">
        <v>37</v>
      </c>
    </row>
    <row r="7" spans="1:6" ht="15.75" customHeight="1">
      <c r="A7" s="137" t="s">
        <v>30</v>
      </c>
      <c r="B7" s="137" t="s">
        <v>208</v>
      </c>
      <c r="C7" s="137" t="s">
        <v>30</v>
      </c>
      <c r="D7" s="137" t="s">
        <v>209</v>
      </c>
      <c r="E7" s="137">
        <v>1</v>
      </c>
      <c r="F7" s="146" t="s">
        <v>27</v>
      </c>
    </row>
    <row r="8" spans="1:6" ht="15.75" customHeight="1">
      <c r="A8" s="137" t="s">
        <v>30</v>
      </c>
      <c r="B8" s="137" t="s">
        <v>208</v>
      </c>
      <c r="C8" s="137" t="s">
        <v>48</v>
      </c>
      <c r="D8" s="137" t="s">
        <v>209</v>
      </c>
      <c r="E8" s="137">
        <v>1</v>
      </c>
      <c r="F8" s="146" t="s">
        <v>27</v>
      </c>
    </row>
    <row r="9" spans="1:6" ht="15.75" customHeight="1">
      <c r="A9" s="137" t="s">
        <v>30</v>
      </c>
      <c r="B9" s="137" t="s">
        <v>208</v>
      </c>
      <c r="C9" s="137" t="s">
        <v>54</v>
      </c>
      <c r="D9" s="137" t="s">
        <v>209</v>
      </c>
      <c r="E9" s="137">
        <v>1</v>
      </c>
      <c r="F9" s="146" t="s">
        <v>27</v>
      </c>
    </row>
    <row r="10" spans="1:6" ht="15.75" customHeight="1">
      <c r="A10" s="137" t="s">
        <v>30</v>
      </c>
      <c r="B10" s="137" t="s">
        <v>208</v>
      </c>
      <c r="C10" s="137" t="s">
        <v>30</v>
      </c>
      <c r="D10" s="137" t="s">
        <v>209</v>
      </c>
      <c r="E10" s="137">
        <v>1</v>
      </c>
      <c r="F10" s="146" t="s">
        <v>27</v>
      </c>
    </row>
    <row r="11" spans="1:6" ht="15.75" customHeight="1">
      <c r="A11" s="137" t="s">
        <v>30</v>
      </c>
      <c r="B11" s="137" t="s">
        <v>208</v>
      </c>
      <c r="C11" s="137" t="s">
        <v>30</v>
      </c>
      <c r="D11" s="137" t="s">
        <v>209</v>
      </c>
      <c r="E11" s="137">
        <v>1</v>
      </c>
      <c r="F11" s="146" t="s">
        <v>27</v>
      </c>
    </row>
    <row r="12" spans="1:6" ht="15.75" customHeight="1">
      <c r="A12" s="137" t="s">
        <v>30</v>
      </c>
      <c r="B12" s="137" t="s">
        <v>210</v>
      </c>
      <c r="C12" s="137" t="s">
        <v>30</v>
      </c>
      <c r="D12" s="137" t="s">
        <v>211</v>
      </c>
      <c r="E12" s="137">
        <v>1</v>
      </c>
      <c r="F12" s="146" t="s">
        <v>27</v>
      </c>
    </row>
    <row r="13" spans="1:6" ht="15.75" customHeight="1">
      <c r="A13" s="137" t="s">
        <v>30</v>
      </c>
      <c r="B13" s="137" t="s">
        <v>210</v>
      </c>
      <c r="C13" s="137" t="s">
        <v>30</v>
      </c>
      <c r="D13" s="137" t="s">
        <v>212</v>
      </c>
      <c r="E13" s="137">
        <v>2</v>
      </c>
      <c r="F13" s="146" t="s">
        <v>27</v>
      </c>
    </row>
    <row r="14" spans="1:6" ht="15.75" customHeight="1">
      <c r="A14" s="137" t="s">
        <v>30</v>
      </c>
      <c r="B14" s="137" t="s">
        <v>210</v>
      </c>
      <c r="C14" s="137" t="s">
        <v>48</v>
      </c>
      <c r="D14" s="137" t="s">
        <v>211</v>
      </c>
      <c r="E14" s="137">
        <v>1</v>
      </c>
      <c r="F14" s="146" t="s">
        <v>27</v>
      </c>
    </row>
    <row r="15" spans="1:6" ht="15.75" customHeight="1">
      <c r="A15" s="137" t="s">
        <v>30</v>
      </c>
      <c r="B15" s="137" t="s">
        <v>210</v>
      </c>
      <c r="C15" s="137" t="s">
        <v>71</v>
      </c>
      <c r="D15" s="137" t="s">
        <v>211</v>
      </c>
      <c r="E15" s="137">
        <v>1</v>
      </c>
      <c r="F15" s="146" t="s">
        <v>27</v>
      </c>
    </row>
    <row r="16" spans="1:6" ht="15.75" customHeight="1">
      <c r="A16" s="137" t="s">
        <v>30</v>
      </c>
      <c r="B16" s="137" t="s">
        <v>213</v>
      </c>
      <c r="C16" s="137" t="s">
        <v>30</v>
      </c>
      <c r="D16" s="137" t="s">
        <v>214</v>
      </c>
      <c r="E16" s="137">
        <v>2</v>
      </c>
      <c r="F16" s="146" t="s">
        <v>27</v>
      </c>
    </row>
    <row r="17" spans="1:6" ht="15.75" customHeight="1">
      <c r="A17" s="137" t="s">
        <v>30</v>
      </c>
      <c r="B17" s="137" t="s">
        <v>213</v>
      </c>
      <c r="C17" s="137" t="s">
        <v>43</v>
      </c>
      <c r="D17" s="137" t="s">
        <v>215</v>
      </c>
      <c r="E17" s="137">
        <v>1</v>
      </c>
      <c r="F17" s="147" t="s">
        <v>37</v>
      </c>
    </row>
    <row r="18" spans="1:6" ht="15.75" customHeight="1">
      <c r="A18" s="137" t="s">
        <v>30</v>
      </c>
      <c r="B18" s="137" t="s">
        <v>213</v>
      </c>
      <c r="C18" s="137" t="s">
        <v>26</v>
      </c>
      <c r="D18" s="137" t="s">
        <v>215</v>
      </c>
      <c r="E18" s="137">
        <v>1</v>
      </c>
      <c r="F18" s="146" t="s">
        <v>27</v>
      </c>
    </row>
    <row r="19" spans="1:6" ht="15.75" customHeight="1">
      <c r="A19" s="137" t="s">
        <v>30</v>
      </c>
      <c r="B19" s="137" t="s">
        <v>213</v>
      </c>
      <c r="C19" s="137" t="s">
        <v>30</v>
      </c>
      <c r="D19" s="137" t="s">
        <v>215</v>
      </c>
      <c r="E19" s="137">
        <v>1</v>
      </c>
      <c r="F19" s="146" t="s">
        <v>27</v>
      </c>
    </row>
    <row r="20" spans="1:6" ht="15.75" customHeight="1">
      <c r="A20" s="137" t="s">
        <v>30</v>
      </c>
      <c r="B20" s="137" t="s">
        <v>213</v>
      </c>
      <c r="C20" s="137" t="s">
        <v>30</v>
      </c>
      <c r="D20" s="137" t="s">
        <v>216</v>
      </c>
      <c r="E20" s="137">
        <v>3</v>
      </c>
      <c r="F20" s="146" t="s">
        <v>27</v>
      </c>
    </row>
    <row r="21" spans="1:6" ht="15.75" customHeight="1">
      <c r="A21" s="137" t="s">
        <v>30</v>
      </c>
      <c r="B21" s="137" t="s">
        <v>217</v>
      </c>
      <c r="C21" s="137" t="s">
        <v>31</v>
      </c>
      <c r="D21" s="137" t="s">
        <v>218</v>
      </c>
      <c r="E21" s="137">
        <v>1</v>
      </c>
      <c r="F21" s="146" t="s">
        <v>27</v>
      </c>
    </row>
    <row r="22" spans="1:6" ht="15.75" customHeight="1">
      <c r="A22" s="137" t="s">
        <v>30</v>
      </c>
      <c r="B22" s="137" t="s">
        <v>217</v>
      </c>
      <c r="C22" s="137" t="s">
        <v>44</v>
      </c>
      <c r="D22" s="137" t="s">
        <v>218</v>
      </c>
      <c r="E22" s="137">
        <v>1</v>
      </c>
      <c r="F22" s="148"/>
    </row>
    <row r="23" spans="1:6" ht="15.75" customHeight="1">
      <c r="A23" s="137" t="s">
        <v>30</v>
      </c>
      <c r="B23" s="137" t="s">
        <v>219</v>
      </c>
      <c r="C23" s="137" t="s">
        <v>30</v>
      </c>
      <c r="D23" s="137" t="s">
        <v>220</v>
      </c>
      <c r="E23" s="137">
        <v>2</v>
      </c>
      <c r="F23" s="146" t="s">
        <v>27</v>
      </c>
    </row>
    <row r="24" spans="1:6" ht="15.75" customHeight="1">
      <c r="A24" s="137" t="s">
        <v>30</v>
      </c>
      <c r="B24" s="137" t="s">
        <v>219</v>
      </c>
      <c r="C24" s="137" t="s">
        <v>30</v>
      </c>
      <c r="D24" s="137" t="s">
        <v>221</v>
      </c>
      <c r="E24" s="137">
        <v>1</v>
      </c>
      <c r="F24" s="146" t="s">
        <v>27</v>
      </c>
    </row>
    <row r="25" spans="1:6" ht="15.75" customHeight="1">
      <c r="A25" s="137" t="s">
        <v>30</v>
      </c>
      <c r="B25" s="137" t="s">
        <v>222</v>
      </c>
      <c r="C25" s="137" t="s">
        <v>30</v>
      </c>
      <c r="D25" s="137" t="s">
        <v>223</v>
      </c>
      <c r="E25" s="137">
        <v>2</v>
      </c>
      <c r="F25" s="146" t="s">
        <v>27</v>
      </c>
    </row>
    <row r="26" spans="1:6" ht="15.75" customHeight="1">
      <c r="A26" s="137" t="s">
        <v>30</v>
      </c>
      <c r="B26" s="137" t="s">
        <v>222</v>
      </c>
      <c r="C26" s="137" t="s">
        <v>30</v>
      </c>
      <c r="D26" s="137" t="s">
        <v>224</v>
      </c>
      <c r="E26" s="137">
        <v>1</v>
      </c>
      <c r="F26" s="146" t="s">
        <v>27</v>
      </c>
    </row>
    <row r="27" spans="1:6" ht="15.75" customHeight="1">
      <c r="A27" s="137" t="s">
        <v>30</v>
      </c>
      <c r="B27" s="137" t="s">
        <v>225</v>
      </c>
      <c r="C27" s="137" t="s">
        <v>89</v>
      </c>
      <c r="D27" s="137" t="s">
        <v>226</v>
      </c>
      <c r="E27" s="137">
        <v>1</v>
      </c>
      <c r="F27" s="147" t="s">
        <v>37</v>
      </c>
    </row>
    <row r="28" spans="1:6" ht="15.75" customHeight="1">
      <c r="A28" s="137" t="s">
        <v>30</v>
      </c>
      <c r="B28" s="137" t="s">
        <v>227</v>
      </c>
      <c r="C28" s="137" t="s">
        <v>30</v>
      </c>
      <c r="D28" s="137" t="s">
        <v>228</v>
      </c>
      <c r="E28" s="137">
        <v>2</v>
      </c>
      <c r="F28" s="146" t="s">
        <v>27</v>
      </c>
    </row>
    <row r="29" spans="1:6" ht="15.75" customHeight="1">
      <c r="A29" s="137" t="s">
        <v>30</v>
      </c>
      <c r="B29" s="137" t="s">
        <v>227</v>
      </c>
      <c r="C29" s="137" t="s">
        <v>99</v>
      </c>
      <c r="D29" s="137" t="s">
        <v>229</v>
      </c>
      <c r="E29" s="137">
        <v>1</v>
      </c>
      <c r="F29" s="146" t="s">
        <v>27</v>
      </c>
    </row>
    <row r="30" spans="1:6" ht="15.75" customHeight="1">
      <c r="A30" s="137" t="s">
        <v>30</v>
      </c>
      <c r="B30" s="137" t="s">
        <v>230</v>
      </c>
      <c r="C30" s="137" t="s">
        <v>30</v>
      </c>
      <c r="D30" s="137" t="s">
        <v>231</v>
      </c>
      <c r="E30" s="137">
        <v>1</v>
      </c>
      <c r="F30" s="146" t="s">
        <v>27</v>
      </c>
    </row>
    <row r="31" spans="1:6" ht="15.75" customHeight="1">
      <c r="A31" s="137" t="s">
        <v>30</v>
      </c>
      <c r="B31" s="137" t="s">
        <v>230</v>
      </c>
      <c r="C31" s="137" t="s">
        <v>30</v>
      </c>
      <c r="D31" s="137" t="s">
        <v>231</v>
      </c>
      <c r="E31" s="137">
        <v>1</v>
      </c>
      <c r="F31" s="146" t="s">
        <v>27</v>
      </c>
    </row>
    <row r="32" spans="1:6">
      <c r="A32" s="139" t="s">
        <v>30</v>
      </c>
      <c r="B32" s="139" t="s">
        <v>232</v>
      </c>
      <c r="C32" s="139" t="s">
        <v>84</v>
      </c>
      <c r="D32" s="139" t="s">
        <v>233</v>
      </c>
      <c r="E32" s="155">
        <v>1</v>
      </c>
      <c r="F32" s="142" t="s">
        <v>27</v>
      </c>
    </row>
    <row r="33" spans="1:6">
      <c r="A33" s="139" t="s">
        <v>30</v>
      </c>
      <c r="B33" s="139" t="s">
        <v>232</v>
      </c>
      <c r="C33" s="139" t="s">
        <v>88</v>
      </c>
      <c r="D33" s="139" t="s">
        <v>233</v>
      </c>
      <c r="E33" s="155">
        <v>1</v>
      </c>
      <c r="F33" s="142" t="s">
        <v>27</v>
      </c>
    </row>
    <row r="34" spans="1:6">
      <c r="A34" s="139" t="s">
        <v>30</v>
      </c>
      <c r="B34" s="139" t="s">
        <v>232</v>
      </c>
      <c r="C34" s="139" t="s">
        <v>30</v>
      </c>
      <c r="D34" s="139" t="s">
        <v>233</v>
      </c>
      <c r="E34" s="155">
        <v>1</v>
      </c>
      <c r="F34" s="142" t="s">
        <v>27</v>
      </c>
    </row>
    <row r="35" spans="1:6">
      <c r="A35" s="139" t="s">
        <v>30</v>
      </c>
      <c r="B35" s="139" t="s">
        <v>232</v>
      </c>
      <c r="C35" s="139" t="s">
        <v>107</v>
      </c>
      <c r="D35" s="139" t="s">
        <v>233</v>
      </c>
      <c r="E35" s="155">
        <v>1</v>
      </c>
      <c r="F35" s="142" t="s">
        <v>27</v>
      </c>
    </row>
    <row r="36" spans="1:6">
      <c r="A36" s="139" t="s">
        <v>30</v>
      </c>
      <c r="B36" s="139" t="s">
        <v>234</v>
      </c>
      <c r="C36" s="139" t="s">
        <v>30</v>
      </c>
      <c r="D36" s="139" t="s">
        <v>235</v>
      </c>
      <c r="E36" s="155">
        <v>1</v>
      </c>
      <c r="F36" s="142" t="s">
        <v>27</v>
      </c>
    </row>
    <row r="37" spans="1:6">
      <c r="A37" s="139" t="s">
        <v>30</v>
      </c>
      <c r="B37" s="139" t="s">
        <v>234</v>
      </c>
      <c r="C37" s="139" t="s">
        <v>30</v>
      </c>
      <c r="D37" s="139" t="s">
        <v>235</v>
      </c>
      <c r="E37" s="155">
        <v>1</v>
      </c>
      <c r="F37" s="142" t="s">
        <v>27</v>
      </c>
    </row>
    <row r="38" spans="1:6">
      <c r="A38" s="139" t="s">
        <v>30</v>
      </c>
      <c r="B38" s="139" t="s">
        <v>236</v>
      </c>
      <c r="C38" s="139" t="s">
        <v>30</v>
      </c>
      <c r="D38" s="139" t="s">
        <v>237</v>
      </c>
      <c r="E38" s="155">
        <v>1</v>
      </c>
      <c r="F38" s="142" t="s">
        <v>27</v>
      </c>
    </row>
    <row r="39" spans="1:6">
      <c r="A39" s="139" t="s">
        <v>30</v>
      </c>
      <c r="B39" s="139" t="s">
        <v>236</v>
      </c>
      <c r="C39" s="139" t="s">
        <v>142</v>
      </c>
      <c r="D39" s="139" t="s">
        <v>237</v>
      </c>
      <c r="E39" s="155">
        <v>1</v>
      </c>
      <c r="F39" s="149" t="s">
        <v>37</v>
      </c>
    </row>
    <row r="40" spans="1:6">
      <c r="A40" s="139" t="s">
        <v>30</v>
      </c>
      <c r="B40" s="139" t="s">
        <v>238</v>
      </c>
      <c r="C40" s="139" t="s">
        <v>30</v>
      </c>
      <c r="D40" s="139" t="s">
        <v>239</v>
      </c>
      <c r="E40" s="155">
        <v>1</v>
      </c>
      <c r="F40" s="142" t="s">
        <v>27</v>
      </c>
    </row>
    <row r="41" spans="1:6">
      <c r="A41" s="139" t="s">
        <v>30</v>
      </c>
      <c r="B41" s="139" t="s">
        <v>238</v>
      </c>
      <c r="C41" s="139" t="s">
        <v>48</v>
      </c>
      <c r="D41" s="139" t="s">
        <v>239</v>
      </c>
      <c r="E41" s="155">
        <v>1</v>
      </c>
      <c r="F41" s="142" t="s">
        <v>27</v>
      </c>
    </row>
    <row r="42" spans="1:6">
      <c r="A42" s="139" t="s">
        <v>30</v>
      </c>
      <c r="B42" s="139" t="s">
        <v>238</v>
      </c>
      <c r="C42" s="139" t="s">
        <v>30</v>
      </c>
      <c r="D42" s="139" t="s">
        <v>239</v>
      </c>
      <c r="E42" s="155">
        <v>1</v>
      </c>
      <c r="F42" s="142" t="s">
        <v>27</v>
      </c>
    </row>
    <row r="43" spans="1:6">
      <c r="A43" s="139" t="s">
        <v>30</v>
      </c>
      <c r="B43" s="139" t="s">
        <v>240</v>
      </c>
      <c r="C43" s="139" t="s">
        <v>30</v>
      </c>
      <c r="D43" s="139" t="s">
        <v>241</v>
      </c>
      <c r="E43" s="155">
        <v>1</v>
      </c>
      <c r="F43" s="142" t="s">
        <v>27</v>
      </c>
    </row>
    <row r="44" spans="1:6">
      <c r="A44" s="139" t="s">
        <v>30</v>
      </c>
      <c r="B44" s="139" t="s">
        <v>242</v>
      </c>
      <c r="C44" s="139" t="s">
        <v>48</v>
      </c>
      <c r="D44" s="139" t="s">
        <v>243</v>
      </c>
      <c r="E44" s="155">
        <v>3</v>
      </c>
      <c r="F44" s="142" t="s">
        <v>27</v>
      </c>
    </row>
    <row r="45" spans="1:6">
      <c r="A45" s="139" t="s">
        <v>30</v>
      </c>
      <c r="B45" s="139" t="s">
        <v>242</v>
      </c>
      <c r="C45" s="139" t="s">
        <v>169</v>
      </c>
      <c r="D45" s="139" t="s">
        <v>244</v>
      </c>
      <c r="E45" s="155">
        <v>1</v>
      </c>
      <c r="F45" s="142" t="s">
        <v>27</v>
      </c>
    </row>
    <row r="46" spans="1:6">
      <c r="A46" s="139" t="s">
        <v>30</v>
      </c>
      <c r="B46" s="139" t="s">
        <v>245</v>
      </c>
      <c r="C46" s="139" t="s">
        <v>149</v>
      </c>
      <c r="D46" s="139" t="s">
        <v>231</v>
      </c>
      <c r="E46" s="155">
        <v>1</v>
      </c>
      <c r="F46" s="142" t="s">
        <v>27</v>
      </c>
    </row>
    <row r="47" spans="1:6">
      <c r="A47" s="139" t="s">
        <v>30</v>
      </c>
      <c r="B47" s="139" t="s">
        <v>245</v>
      </c>
      <c r="C47" s="139" t="s">
        <v>154</v>
      </c>
      <c r="D47" s="139" t="s">
        <v>231</v>
      </c>
      <c r="E47" s="155">
        <v>1</v>
      </c>
      <c r="F47" s="142" t="s">
        <v>27</v>
      </c>
    </row>
    <row r="48" spans="1:6">
      <c r="A48" s="139" t="s">
        <v>30</v>
      </c>
      <c r="B48" s="139" t="s">
        <v>246</v>
      </c>
      <c r="C48" s="139" t="s">
        <v>75</v>
      </c>
      <c r="D48" s="139" t="s">
        <v>247</v>
      </c>
      <c r="E48" s="155">
        <v>1</v>
      </c>
      <c r="F48" s="142" t="s">
        <v>27</v>
      </c>
    </row>
    <row r="49" spans="1:6">
      <c r="A49" s="139" t="s">
        <v>30</v>
      </c>
      <c r="B49" s="139" t="s">
        <v>246</v>
      </c>
      <c r="C49" s="139" t="s">
        <v>30</v>
      </c>
      <c r="D49" s="139" t="s">
        <v>247</v>
      </c>
      <c r="E49" s="155">
        <v>1</v>
      </c>
      <c r="F49" s="142" t="s">
        <v>27</v>
      </c>
    </row>
    <row r="50" spans="1:6">
      <c r="A50" s="139" t="s">
        <v>30</v>
      </c>
      <c r="B50" s="139" t="s">
        <v>246</v>
      </c>
      <c r="C50" s="139" t="s">
        <v>173</v>
      </c>
      <c r="D50" s="139" t="s">
        <v>247</v>
      </c>
      <c r="E50" s="155">
        <v>1</v>
      </c>
      <c r="F50" s="149" t="s">
        <v>37</v>
      </c>
    </row>
    <row r="51" spans="1:6">
      <c r="A51" s="139" t="s">
        <v>30</v>
      </c>
      <c r="B51" s="139" t="s">
        <v>248</v>
      </c>
      <c r="C51" s="139" t="s">
        <v>30</v>
      </c>
      <c r="D51" s="139" t="s">
        <v>249</v>
      </c>
      <c r="E51" s="155">
        <v>1</v>
      </c>
      <c r="F51" s="142" t="s">
        <v>27</v>
      </c>
    </row>
    <row r="52" spans="1:6">
      <c r="A52" s="139" t="s">
        <v>30</v>
      </c>
      <c r="B52" s="139" t="s">
        <v>248</v>
      </c>
      <c r="C52" s="139" t="s">
        <v>43</v>
      </c>
      <c r="D52" s="139" t="s">
        <v>249</v>
      </c>
      <c r="E52" s="155">
        <v>1</v>
      </c>
      <c r="F52" s="149" t="s">
        <v>37</v>
      </c>
    </row>
    <row r="53" spans="1:6">
      <c r="A53" s="139" t="s">
        <v>30</v>
      </c>
      <c r="B53" s="139" t="s">
        <v>250</v>
      </c>
      <c r="C53" s="139" t="s">
        <v>30</v>
      </c>
      <c r="D53" s="139" t="s">
        <v>251</v>
      </c>
      <c r="E53" s="155">
        <v>1</v>
      </c>
      <c r="F53" s="142" t="s">
        <v>27</v>
      </c>
    </row>
    <row r="54" spans="1:6">
      <c r="A54" s="139" t="s">
        <v>62</v>
      </c>
      <c r="B54" s="139" t="s">
        <v>208</v>
      </c>
      <c r="C54" s="139" t="s">
        <v>62</v>
      </c>
      <c r="D54" s="139" t="s">
        <v>209</v>
      </c>
      <c r="E54" s="155">
        <v>1</v>
      </c>
      <c r="F54" s="143" t="s">
        <v>42</v>
      </c>
    </row>
    <row r="55" spans="1:6">
      <c r="A55" s="139" t="s">
        <v>62</v>
      </c>
      <c r="B55" s="139" t="s">
        <v>210</v>
      </c>
      <c r="C55" s="139" t="s">
        <v>59</v>
      </c>
      <c r="D55" s="139" t="s">
        <v>211</v>
      </c>
      <c r="E55" s="155">
        <v>1</v>
      </c>
      <c r="F55" s="143" t="s">
        <v>42</v>
      </c>
    </row>
    <row r="56" spans="1:6">
      <c r="A56" s="139" t="s">
        <v>62</v>
      </c>
      <c r="B56" s="139" t="s">
        <v>210</v>
      </c>
      <c r="C56" s="139" t="s">
        <v>63</v>
      </c>
      <c r="D56" s="139" t="s">
        <v>211</v>
      </c>
      <c r="E56" s="155">
        <v>1</v>
      </c>
      <c r="F56" s="143" t="s">
        <v>42</v>
      </c>
    </row>
    <row r="57" spans="1:6">
      <c r="A57" s="139" t="s">
        <v>62</v>
      </c>
      <c r="B57" s="139" t="s">
        <v>210</v>
      </c>
      <c r="C57" s="139" t="s">
        <v>76</v>
      </c>
      <c r="D57" s="139" t="s">
        <v>211</v>
      </c>
      <c r="E57" s="155">
        <v>1</v>
      </c>
      <c r="F57" s="143" t="s">
        <v>42</v>
      </c>
    </row>
    <row r="58" spans="1:6">
      <c r="A58" s="139" t="s">
        <v>62</v>
      </c>
      <c r="B58" s="139" t="s">
        <v>222</v>
      </c>
      <c r="C58" s="139" t="s">
        <v>101</v>
      </c>
      <c r="D58" s="139" t="s">
        <v>224</v>
      </c>
      <c r="E58" s="155">
        <v>1</v>
      </c>
      <c r="F58" s="143" t="s">
        <v>42</v>
      </c>
    </row>
    <row r="59" spans="1:6">
      <c r="A59" s="139" t="s">
        <v>62</v>
      </c>
      <c r="B59" s="139" t="s">
        <v>225</v>
      </c>
      <c r="C59" s="139" t="s">
        <v>62</v>
      </c>
      <c r="D59" s="139" t="s">
        <v>252</v>
      </c>
      <c r="E59" s="155">
        <v>2</v>
      </c>
      <c r="F59" s="143" t="s">
        <v>42</v>
      </c>
    </row>
    <row r="60" spans="1:6">
      <c r="A60" s="139" t="s">
        <v>62</v>
      </c>
      <c r="B60" s="139" t="s">
        <v>253</v>
      </c>
      <c r="C60" s="139" t="s">
        <v>62</v>
      </c>
      <c r="D60" s="139" t="s">
        <v>254</v>
      </c>
      <c r="E60" s="155">
        <v>1</v>
      </c>
      <c r="F60" s="143" t="s">
        <v>42</v>
      </c>
    </row>
    <row r="61" spans="1:6">
      <c r="A61" s="139" t="s">
        <v>62</v>
      </c>
      <c r="B61" s="139" t="s">
        <v>232</v>
      </c>
      <c r="C61" s="139" t="s">
        <v>104</v>
      </c>
      <c r="D61" s="139" t="s">
        <v>233</v>
      </c>
      <c r="E61" s="155">
        <v>1</v>
      </c>
      <c r="F61" s="143" t="s">
        <v>42</v>
      </c>
    </row>
    <row r="62" spans="1:6">
      <c r="A62" s="139" t="s">
        <v>62</v>
      </c>
      <c r="B62" s="139" t="s">
        <v>234</v>
      </c>
      <c r="C62" s="139" t="s">
        <v>62</v>
      </c>
      <c r="D62" s="139" t="s">
        <v>235</v>
      </c>
      <c r="E62" s="155">
        <v>1</v>
      </c>
      <c r="F62" s="143" t="s">
        <v>42</v>
      </c>
    </row>
    <row r="63" spans="1:6">
      <c r="A63" s="139" t="s">
        <v>62</v>
      </c>
      <c r="B63" s="139" t="s">
        <v>234</v>
      </c>
      <c r="C63" s="139" t="s">
        <v>62</v>
      </c>
      <c r="D63" s="139" t="s">
        <v>255</v>
      </c>
      <c r="E63" s="155">
        <v>2</v>
      </c>
      <c r="F63" s="143" t="s">
        <v>42</v>
      </c>
    </row>
    <row r="64" spans="1:6">
      <c r="A64" s="139" t="s">
        <v>62</v>
      </c>
      <c r="B64" s="139" t="s">
        <v>236</v>
      </c>
      <c r="C64" s="139" t="s">
        <v>62</v>
      </c>
      <c r="D64" s="139" t="s">
        <v>256</v>
      </c>
      <c r="E64" s="155">
        <v>2</v>
      </c>
      <c r="F64" s="143" t="s">
        <v>42</v>
      </c>
    </row>
    <row r="65" spans="1:6">
      <c r="A65" s="139" t="s">
        <v>62</v>
      </c>
      <c r="B65" s="139" t="s">
        <v>236</v>
      </c>
      <c r="C65" s="139" t="s">
        <v>132</v>
      </c>
      <c r="D65" s="139" t="s">
        <v>237</v>
      </c>
      <c r="E65" s="155">
        <v>1</v>
      </c>
      <c r="F65" s="143" t="s">
        <v>42</v>
      </c>
    </row>
    <row r="66" spans="1:6">
      <c r="A66" s="139" t="s">
        <v>62</v>
      </c>
      <c r="B66" s="139" t="s">
        <v>236</v>
      </c>
      <c r="C66" s="139" t="s">
        <v>62</v>
      </c>
      <c r="D66" s="139" t="s">
        <v>237</v>
      </c>
      <c r="E66" s="155">
        <v>1</v>
      </c>
      <c r="F66" s="143" t="s">
        <v>42</v>
      </c>
    </row>
    <row r="67" spans="1:6">
      <c r="A67" s="139" t="s">
        <v>62</v>
      </c>
      <c r="B67" s="139" t="s">
        <v>236</v>
      </c>
      <c r="C67" s="139" t="s">
        <v>144</v>
      </c>
      <c r="D67" s="139" t="s">
        <v>237</v>
      </c>
      <c r="E67" s="155">
        <v>1</v>
      </c>
      <c r="F67" s="143" t="s">
        <v>42</v>
      </c>
    </row>
    <row r="68" spans="1:6">
      <c r="A68" s="139" t="s">
        <v>62</v>
      </c>
      <c r="B68" s="139" t="s">
        <v>238</v>
      </c>
      <c r="C68" s="139" t="s">
        <v>62</v>
      </c>
      <c r="D68" s="139" t="s">
        <v>239</v>
      </c>
      <c r="E68" s="155">
        <v>1</v>
      </c>
      <c r="F68" s="143" t="s">
        <v>42</v>
      </c>
    </row>
    <row r="69" spans="1:6">
      <c r="A69" s="139" t="s">
        <v>62</v>
      </c>
      <c r="B69" s="139" t="s">
        <v>238</v>
      </c>
      <c r="C69" s="139" t="s">
        <v>62</v>
      </c>
      <c r="D69" s="139" t="s">
        <v>239</v>
      </c>
      <c r="E69" s="155">
        <v>1</v>
      </c>
      <c r="F69" s="143" t="s">
        <v>42</v>
      </c>
    </row>
    <row r="70" spans="1:6">
      <c r="A70" s="139" t="s">
        <v>62</v>
      </c>
      <c r="B70" s="139" t="s">
        <v>257</v>
      </c>
      <c r="C70" s="139" t="s">
        <v>62</v>
      </c>
      <c r="D70" s="139" t="s">
        <v>258</v>
      </c>
      <c r="E70" s="155">
        <v>1</v>
      </c>
      <c r="F70" s="143" t="s">
        <v>42</v>
      </c>
    </row>
    <row r="71" spans="1:6">
      <c r="A71" s="139" t="s">
        <v>62</v>
      </c>
      <c r="B71" s="139" t="s">
        <v>257</v>
      </c>
      <c r="C71" s="139" t="s">
        <v>62</v>
      </c>
      <c r="D71" s="139" t="s">
        <v>258</v>
      </c>
      <c r="E71" s="155">
        <v>1</v>
      </c>
      <c r="F71" s="143" t="s">
        <v>42</v>
      </c>
    </row>
    <row r="72" spans="1:6">
      <c r="A72" s="139" t="s">
        <v>62</v>
      </c>
      <c r="B72" s="139" t="s">
        <v>246</v>
      </c>
      <c r="C72" s="139" t="s">
        <v>62</v>
      </c>
      <c r="D72" s="139" t="s">
        <v>247</v>
      </c>
      <c r="E72" s="155">
        <v>1</v>
      </c>
      <c r="F72" s="143" t="s">
        <v>42</v>
      </c>
    </row>
    <row r="73" spans="1:6">
      <c r="A73" s="139" t="s">
        <v>62</v>
      </c>
      <c r="B73" s="139" t="s">
        <v>246</v>
      </c>
      <c r="C73" s="139" t="s">
        <v>168</v>
      </c>
      <c r="D73" s="139" t="s">
        <v>247</v>
      </c>
      <c r="E73" s="155">
        <v>1</v>
      </c>
      <c r="F73" s="143" t="s">
        <v>42</v>
      </c>
    </row>
    <row r="74" spans="1:6">
      <c r="A74" s="139" t="s">
        <v>62</v>
      </c>
      <c r="B74" s="139" t="s">
        <v>248</v>
      </c>
      <c r="C74" s="139" t="s">
        <v>62</v>
      </c>
      <c r="D74" s="139" t="s">
        <v>259</v>
      </c>
      <c r="E74" s="155">
        <v>3</v>
      </c>
      <c r="F74" s="143" t="s">
        <v>42</v>
      </c>
    </row>
    <row r="75" spans="1:6">
      <c r="A75" s="139" t="s">
        <v>62</v>
      </c>
      <c r="B75" s="139" t="s">
        <v>248</v>
      </c>
      <c r="C75" s="139" t="s">
        <v>186</v>
      </c>
      <c r="D75" s="139" t="s">
        <v>249</v>
      </c>
      <c r="E75" s="155">
        <v>1</v>
      </c>
      <c r="F75" s="143" t="s">
        <v>42</v>
      </c>
    </row>
    <row r="76" spans="1:6">
      <c r="A76" s="139" t="s">
        <v>62</v>
      </c>
      <c r="B76" s="139" t="s">
        <v>250</v>
      </c>
      <c r="C76" s="139" t="s">
        <v>62</v>
      </c>
      <c r="D76" s="139" t="s">
        <v>260</v>
      </c>
      <c r="E76" s="155">
        <v>2</v>
      </c>
      <c r="F76" s="143" t="s">
        <v>42</v>
      </c>
    </row>
    <row r="77" spans="1:6">
      <c r="A77" s="139" t="s">
        <v>147</v>
      </c>
      <c r="B77" s="139" t="s">
        <v>205</v>
      </c>
      <c r="C77" s="139" t="s">
        <v>66</v>
      </c>
      <c r="D77" s="139" t="s">
        <v>207</v>
      </c>
      <c r="E77" s="155">
        <v>2</v>
      </c>
      <c r="F77" s="140" t="s">
        <v>33</v>
      </c>
    </row>
    <row r="78" spans="1:6">
      <c r="A78" s="139" t="s">
        <v>147</v>
      </c>
      <c r="B78" s="139" t="s">
        <v>222</v>
      </c>
      <c r="C78" s="139" t="s">
        <v>66</v>
      </c>
      <c r="D78" s="139" t="s">
        <v>224</v>
      </c>
      <c r="E78" s="155">
        <v>1</v>
      </c>
      <c r="F78" s="140" t="s">
        <v>33</v>
      </c>
    </row>
    <row r="79" spans="1:6">
      <c r="A79" s="139" t="s">
        <v>147</v>
      </c>
      <c r="B79" s="139" t="s">
        <v>225</v>
      </c>
      <c r="C79" s="139" t="s">
        <v>66</v>
      </c>
      <c r="D79" s="139" t="s">
        <v>226</v>
      </c>
      <c r="E79" s="155">
        <v>1</v>
      </c>
      <c r="F79" s="140" t="s">
        <v>33</v>
      </c>
    </row>
    <row r="80" spans="1:6">
      <c r="A80" s="139" t="s">
        <v>147</v>
      </c>
      <c r="B80" s="139" t="s">
        <v>225</v>
      </c>
      <c r="C80" s="139" t="s">
        <v>103</v>
      </c>
      <c r="D80" s="139" t="s">
        <v>226</v>
      </c>
      <c r="E80" s="155">
        <v>1</v>
      </c>
      <c r="F80" s="140" t="s">
        <v>33</v>
      </c>
    </row>
    <row r="81" spans="1:6">
      <c r="A81" s="139" t="s">
        <v>147</v>
      </c>
      <c r="B81" s="139" t="s">
        <v>227</v>
      </c>
      <c r="C81" s="139" t="s">
        <v>66</v>
      </c>
      <c r="D81" s="139" t="s">
        <v>261</v>
      </c>
      <c r="E81" s="155">
        <v>3</v>
      </c>
      <c r="F81" s="140" t="s">
        <v>33</v>
      </c>
    </row>
    <row r="82" spans="1:6">
      <c r="A82" s="139" t="s">
        <v>147</v>
      </c>
      <c r="B82" s="139" t="s">
        <v>230</v>
      </c>
      <c r="C82" s="139" t="s">
        <v>66</v>
      </c>
      <c r="D82" s="139" t="s">
        <v>262</v>
      </c>
      <c r="E82" s="155">
        <v>2</v>
      </c>
      <c r="F82" s="140" t="s">
        <v>33</v>
      </c>
    </row>
    <row r="83" spans="1:6">
      <c r="A83" s="139" t="s">
        <v>147</v>
      </c>
      <c r="B83" s="139" t="s">
        <v>234</v>
      </c>
      <c r="C83" s="139" t="s">
        <v>66</v>
      </c>
      <c r="D83" s="139" t="s">
        <v>235</v>
      </c>
      <c r="E83" s="155">
        <v>1</v>
      </c>
      <c r="F83" s="140" t="s">
        <v>33</v>
      </c>
    </row>
    <row r="84" spans="1:6">
      <c r="A84" s="139" t="s">
        <v>147</v>
      </c>
      <c r="B84" s="139" t="s">
        <v>234</v>
      </c>
      <c r="C84" s="139" t="s">
        <v>66</v>
      </c>
      <c r="D84" s="139" t="s">
        <v>235</v>
      </c>
      <c r="E84" s="155">
        <v>1</v>
      </c>
      <c r="F84" s="140" t="s">
        <v>33</v>
      </c>
    </row>
    <row r="85" spans="1:6">
      <c r="A85" s="139" t="s">
        <v>147</v>
      </c>
      <c r="B85" s="139" t="s">
        <v>236</v>
      </c>
      <c r="C85" s="139" t="s">
        <v>66</v>
      </c>
      <c r="D85" s="139" t="s">
        <v>237</v>
      </c>
      <c r="E85" s="155">
        <v>1</v>
      </c>
      <c r="F85" s="140" t="s">
        <v>33</v>
      </c>
    </row>
    <row r="86" spans="1:6">
      <c r="A86" s="139" t="s">
        <v>147</v>
      </c>
      <c r="B86" s="139" t="s">
        <v>257</v>
      </c>
      <c r="C86" s="139" t="s">
        <v>66</v>
      </c>
      <c r="D86" s="139" t="s">
        <v>258</v>
      </c>
      <c r="E86" s="155">
        <v>1</v>
      </c>
      <c r="F86" s="140" t="s">
        <v>33</v>
      </c>
    </row>
    <row r="87" spans="1:6">
      <c r="A87" s="139" t="s">
        <v>147</v>
      </c>
      <c r="B87" s="139" t="s">
        <v>242</v>
      </c>
      <c r="C87" s="139" t="s">
        <v>147</v>
      </c>
      <c r="D87" s="139" t="s">
        <v>263</v>
      </c>
      <c r="E87" s="155">
        <v>2</v>
      </c>
      <c r="F87" s="140" t="s">
        <v>33</v>
      </c>
    </row>
    <row r="88" spans="1:6">
      <c r="A88" s="139" t="s">
        <v>147</v>
      </c>
      <c r="B88" s="139" t="s">
        <v>242</v>
      </c>
      <c r="C88" s="139" t="s">
        <v>66</v>
      </c>
      <c r="D88" s="139" t="s">
        <v>244</v>
      </c>
      <c r="E88" s="155">
        <v>1</v>
      </c>
      <c r="F88" s="140" t="s">
        <v>33</v>
      </c>
    </row>
    <row r="89" spans="1:6">
      <c r="A89" s="139" t="s">
        <v>147</v>
      </c>
      <c r="B89" s="139" t="s">
        <v>264</v>
      </c>
      <c r="C89" s="139" t="s">
        <v>147</v>
      </c>
      <c r="D89" s="139" t="s">
        <v>265</v>
      </c>
      <c r="E89" s="155">
        <v>2</v>
      </c>
      <c r="F89" s="140" t="s">
        <v>33</v>
      </c>
    </row>
    <row r="90" spans="1:6">
      <c r="A90" s="139" t="s">
        <v>147</v>
      </c>
      <c r="B90" s="139" t="s">
        <v>245</v>
      </c>
      <c r="C90" s="139" t="s">
        <v>147</v>
      </c>
      <c r="D90" s="139" t="s">
        <v>266</v>
      </c>
      <c r="E90" s="155">
        <v>4</v>
      </c>
      <c r="F90" s="140" t="s">
        <v>33</v>
      </c>
    </row>
    <row r="91" spans="1:6">
      <c r="A91" s="139" t="s">
        <v>147</v>
      </c>
      <c r="B91" s="139" t="s">
        <v>267</v>
      </c>
      <c r="C91" s="139" t="s">
        <v>147</v>
      </c>
      <c r="D91" s="139" t="s">
        <v>268</v>
      </c>
      <c r="E91" s="155">
        <v>1</v>
      </c>
      <c r="F91" s="140" t="s">
        <v>33</v>
      </c>
    </row>
    <row r="92" spans="1:6">
      <c r="A92" s="139" t="s">
        <v>147</v>
      </c>
      <c r="B92" s="139" t="s">
        <v>269</v>
      </c>
      <c r="C92" s="139" t="s">
        <v>147</v>
      </c>
      <c r="D92" s="139" t="s">
        <v>270</v>
      </c>
      <c r="E92" s="155">
        <v>2</v>
      </c>
      <c r="F92" s="140" t="s">
        <v>33</v>
      </c>
    </row>
    <row r="93" spans="1:6">
      <c r="A93" s="139" t="s">
        <v>83</v>
      </c>
      <c r="B93" s="139" t="s">
        <v>205</v>
      </c>
      <c r="C93" s="139" t="s">
        <v>41</v>
      </c>
      <c r="D93" s="139" t="s">
        <v>206</v>
      </c>
      <c r="E93" s="155">
        <v>1</v>
      </c>
      <c r="F93" s="143" t="s">
        <v>42</v>
      </c>
    </row>
    <row r="94" spans="1:6">
      <c r="A94" s="139" t="s">
        <v>83</v>
      </c>
      <c r="B94" s="139" t="s">
        <v>205</v>
      </c>
      <c r="C94" s="139" t="s">
        <v>41</v>
      </c>
      <c r="D94" s="139" t="s">
        <v>206</v>
      </c>
      <c r="E94" s="155">
        <v>1</v>
      </c>
      <c r="F94" s="143" t="s">
        <v>42</v>
      </c>
    </row>
    <row r="95" spans="1:6">
      <c r="A95" s="139" t="s">
        <v>83</v>
      </c>
      <c r="B95" s="139" t="s">
        <v>205</v>
      </c>
      <c r="C95" s="139" t="s">
        <v>69</v>
      </c>
      <c r="D95" s="139" t="s">
        <v>206</v>
      </c>
      <c r="E95" s="155">
        <v>1</v>
      </c>
      <c r="F95" s="143" t="s">
        <v>42</v>
      </c>
    </row>
    <row r="96" spans="1:6">
      <c r="A96" s="139" t="s">
        <v>83</v>
      </c>
      <c r="B96" s="139" t="s">
        <v>219</v>
      </c>
      <c r="C96" s="139" t="s">
        <v>41</v>
      </c>
      <c r="D96" s="139" t="s">
        <v>220</v>
      </c>
      <c r="E96" s="155">
        <v>2</v>
      </c>
      <c r="F96" s="143" t="s">
        <v>42</v>
      </c>
    </row>
    <row r="97" spans="1:6">
      <c r="A97" s="139" t="s">
        <v>83</v>
      </c>
      <c r="B97" s="139" t="s">
        <v>219</v>
      </c>
      <c r="C97" s="139" t="s">
        <v>61</v>
      </c>
      <c r="D97" s="139" t="s">
        <v>221</v>
      </c>
      <c r="E97" s="155">
        <v>1</v>
      </c>
      <c r="F97" s="143" t="s">
        <v>42</v>
      </c>
    </row>
    <row r="98" spans="1:6">
      <c r="A98" s="139" t="s">
        <v>83</v>
      </c>
      <c r="B98" s="139" t="s">
        <v>222</v>
      </c>
      <c r="C98" s="139" t="s">
        <v>41</v>
      </c>
      <c r="D98" s="139" t="s">
        <v>223</v>
      </c>
      <c r="E98" s="155">
        <v>2</v>
      </c>
      <c r="F98" s="143" t="s">
        <v>42</v>
      </c>
    </row>
    <row r="99" spans="1:6">
      <c r="A99" s="139" t="s">
        <v>83</v>
      </c>
      <c r="B99" s="139" t="s">
        <v>222</v>
      </c>
      <c r="C99" s="139" t="s">
        <v>105</v>
      </c>
      <c r="D99" s="139" t="s">
        <v>224</v>
      </c>
      <c r="E99" s="155">
        <v>1</v>
      </c>
      <c r="F99" s="143" t="s">
        <v>42</v>
      </c>
    </row>
    <row r="100" spans="1:6">
      <c r="A100" s="139" t="s">
        <v>83</v>
      </c>
      <c r="B100" s="139" t="s">
        <v>225</v>
      </c>
      <c r="C100" s="139" t="s">
        <v>69</v>
      </c>
      <c r="D100" s="139" t="s">
        <v>226</v>
      </c>
      <c r="E100" s="155">
        <v>1</v>
      </c>
      <c r="F100" s="143" t="s">
        <v>42</v>
      </c>
    </row>
    <row r="101" spans="1:6">
      <c r="A101" s="139" t="s">
        <v>83</v>
      </c>
      <c r="B101" s="139" t="s">
        <v>253</v>
      </c>
      <c r="C101" s="139" t="s">
        <v>69</v>
      </c>
      <c r="D101" s="139" t="s">
        <v>254</v>
      </c>
      <c r="E101" s="155">
        <v>1</v>
      </c>
      <c r="F101" s="143" t="s">
        <v>42</v>
      </c>
    </row>
    <row r="102" spans="1:6">
      <c r="A102" s="139" t="s">
        <v>83</v>
      </c>
      <c r="B102" s="139" t="s">
        <v>227</v>
      </c>
      <c r="C102" s="139" t="s">
        <v>41</v>
      </c>
      <c r="D102" s="139" t="s">
        <v>229</v>
      </c>
      <c r="E102" s="155">
        <v>1</v>
      </c>
      <c r="F102" s="143" t="s">
        <v>42</v>
      </c>
    </row>
    <row r="103" spans="1:6">
      <c r="A103" s="139" t="s">
        <v>83</v>
      </c>
      <c r="B103" s="139" t="s">
        <v>271</v>
      </c>
      <c r="C103" s="139" t="s">
        <v>83</v>
      </c>
      <c r="D103" s="139" t="s">
        <v>268</v>
      </c>
      <c r="E103" s="155">
        <v>1</v>
      </c>
      <c r="F103" s="143" t="s">
        <v>42</v>
      </c>
    </row>
    <row r="104" spans="1:6">
      <c r="A104" s="139" t="s">
        <v>83</v>
      </c>
      <c r="B104" s="139" t="s">
        <v>271</v>
      </c>
      <c r="C104" s="139" t="s">
        <v>69</v>
      </c>
      <c r="D104" s="139" t="s">
        <v>268</v>
      </c>
      <c r="E104" s="155">
        <v>1</v>
      </c>
      <c r="F104" s="143" t="s">
        <v>42</v>
      </c>
    </row>
    <row r="105" spans="1:6">
      <c r="A105" s="139" t="s">
        <v>83</v>
      </c>
      <c r="B105" s="139" t="s">
        <v>271</v>
      </c>
      <c r="C105" s="139" t="s">
        <v>92</v>
      </c>
      <c r="D105" s="139" t="s">
        <v>268</v>
      </c>
      <c r="E105" s="155">
        <v>1</v>
      </c>
      <c r="F105" s="143" t="s">
        <v>42</v>
      </c>
    </row>
    <row r="106" spans="1:6">
      <c r="A106" s="139" t="s">
        <v>83</v>
      </c>
      <c r="B106" s="139" t="s">
        <v>271</v>
      </c>
      <c r="C106" s="139" t="s">
        <v>41</v>
      </c>
      <c r="D106" s="139" t="s">
        <v>268</v>
      </c>
      <c r="E106" s="155">
        <v>1</v>
      </c>
      <c r="F106" s="143" t="s">
        <v>42</v>
      </c>
    </row>
    <row r="107" spans="1:6">
      <c r="A107" s="139" t="s">
        <v>83</v>
      </c>
      <c r="B107" s="139" t="s">
        <v>234</v>
      </c>
      <c r="C107" s="139" t="s">
        <v>116</v>
      </c>
      <c r="D107" s="139" t="s">
        <v>235</v>
      </c>
      <c r="E107" s="155">
        <v>1</v>
      </c>
      <c r="F107" s="143" t="s">
        <v>42</v>
      </c>
    </row>
    <row r="108" spans="1:6">
      <c r="A108" s="139" t="s">
        <v>83</v>
      </c>
      <c r="B108" s="139" t="s">
        <v>234</v>
      </c>
      <c r="C108" s="139" t="s">
        <v>41</v>
      </c>
      <c r="D108" s="139" t="s">
        <v>235</v>
      </c>
      <c r="E108" s="155">
        <v>1</v>
      </c>
      <c r="F108" s="143" t="s">
        <v>42</v>
      </c>
    </row>
    <row r="109" spans="1:6">
      <c r="A109" s="139" t="s">
        <v>83</v>
      </c>
      <c r="B109" s="139" t="s">
        <v>234</v>
      </c>
      <c r="C109" s="139" t="s">
        <v>41</v>
      </c>
      <c r="D109" s="139" t="s">
        <v>235</v>
      </c>
      <c r="E109" s="155">
        <v>1</v>
      </c>
      <c r="F109" s="143" t="s">
        <v>42</v>
      </c>
    </row>
    <row r="110" spans="1:6">
      <c r="A110" s="139" t="s">
        <v>83</v>
      </c>
      <c r="B110" s="139" t="s">
        <v>238</v>
      </c>
      <c r="C110" s="139" t="s">
        <v>41</v>
      </c>
      <c r="D110" s="139" t="s">
        <v>239</v>
      </c>
      <c r="E110" s="155">
        <v>1</v>
      </c>
      <c r="F110" s="143" t="s">
        <v>42</v>
      </c>
    </row>
    <row r="111" spans="1:6">
      <c r="A111" s="139" t="s">
        <v>83</v>
      </c>
      <c r="B111" s="139" t="s">
        <v>238</v>
      </c>
      <c r="C111" s="139" t="s">
        <v>137</v>
      </c>
      <c r="D111" s="139" t="s">
        <v>239</v>
      </c>
      <c r="E111" s="155">
        <v>1</v>
      </c>
      <c r="F111" s="143" t="s">
        <v>42</v>
      </c>
    </row>
    <row r="112" spans="1:6">
      <c r="A112" s="139" t="s">
        <v>83</v>
      </c>
      <c r="B112" s="139" t="s">
        <v>257</v>
      </c>
      <c r="C112" s="139" t="s">
        <v>140</v>
      </c>
      <c r="D112" s="139" t="s">
        <v>258</v>
      </c>
      <c r="E112" s="155">
        <v>1</v>
      </c>
      <c r="F112" s="143" t="s">
        <v>42</v>
      </c>
    </row>
    <row r="113" spans="1:6">
      <c r="A113" s="139" t="s">
        <v>83</v>
      </c>
      <c r="B113" s="139" t="s">
        <v>267</v>
      </c>
      <c r="C113" s="139" t="s">
        <v>41</v>
      </c>
      <c r="D113" s="139" t="s">
        <v>268</v>
      </c>
      <c r="E113" s="155">
        <v>1</v>
      </c>
      <c r="F113" s="143" t="s">
        <v>42</v>
      </c>
    </row>
    <row r="114" spans="1:6">
      <c r="A114" s="139" t="s">
        <v>79</v>
      </c>
      <c r="B114" s="139" t="s">
        <v>208</v>
      </c>
      <c r="C114" s="139" t="s">
        <v>28</v>
      </c>
      <c r="D114" s="139" t="s">
        <v>272</v>
      </c>
      <c r="E114" s="155">
        <v>2</v>
      </c>
      <c r="F114" s="142" t="s">
        <v>27</v>
      </c>
    </row>
    <row r="115" spans="1:6">
      <c r="A115" s="139" t="s">
        <v>79</v>
      </c>
      <c r="B115" s="139" t="s">
        <v>210</v>
      </c>
      <c r="C115" s="139" t="s">
        <v>65</v>
      </c>
      <c r="D115" s="139" t="s">
        <v>211</v>
      </c>
      <c r="E115" s="155">
        <v>1</v>
      </c>
      <c r="F115" s="142" t="s">
        <v>27</v>
      </c>
    </row>
    <row r="116" spans="1:6">
      <c r="A116" s="139" t="s">
        <v>79</v>
      </c>
      <c r="B116" s="139" t="s">
        <v>213</v>
      </c>
      <c r="C116" s="139" t="s">
        <v>28</v>
      </c>
      <c r="D116" s="139" t="s">
        <v>214</v>
      </c>
      <c r="E116" s="155">
        <v>2</v>
      </c>
      <c r="F116" s="142" t="s">
        <v>27</v>
      </c>
    </row>
    <row r="117" spans="1:6">
      <c r="A117" s="139" t="s">
        <v>79</v>
      </c>
      <c r="B117" s="139" t="s">
        <v>217</v>
      </c>
      <c r="C117" s="139" t="s">
        <v>39</v>
      </c>
      <c r="D117" s="139" t="s">
        <v>218</v>
      </c>
      <c r="E117" s="155">
        <v>1</v>
      </c>
      <c r="F117" s="142" t="s">
        <v>27</v>
      </c>
    </row>
    <row r="118" spans="1:6">
      <c r="A118" s="139" t="s">
        <v>79</v>
      </c>
      <c r="B118" s="139" t="s">
        <v>217</v>
      </c>
      <c r="C118" s="139" t="s">
        <v>56</v>
      </c>
      <c r="D118" s="139" t="s">
        <v>218</v>
      </c>
      <c r="E118" s="155">
        <v>1</v>
      </c>
      <c r="F118" s="142" t="s">
        <v>27</v>
      </c>
    </row>
    <row r="119" spans="1:6">
      <c r="A119" s="139" t="s">
        <v>79</v>
      </c>
      <c r="B119" s="139" t="s">
        <v>273</v>
      </c>
      <c r="C119" s="139" t="s">
        <v>51</v>
      </c>
      <c r="D119" s="139" t="s">
        <v>270</v>
      </c>
      <c r="E119" s="155">
        <v>1</v>
      </c>
      <c r="F119" s="142" t="s">
        <v>27</v>
      </c>
    </row>
    <row r="120" spans="1:6">
      <c r="A120" s="139" t="s">
        <v>79</v>
      </c>
      <c r="B120" s="139" t="s">
        <v>273</v>
      </c>
      <c r="C120" s="139" t="s">
        <v>28</v>
      </c>
      <c r="D120" s="139" t="s">
        <v>270</v>
      </c>
      <c r="E120" s="155">
        <v>1</v>
      </c>
      <c r="F120" s="142" t="s">
        <v>27</v>
      </c>
    </row>
    <row r="121" spans="1:6">
      <c r="A121" s="139" t="s">
        <v>79</v>
      </c>
      <c r="B121" s="139" t="s">
        <v>219</v>
      </c>
      <c r="C121" s="139" t="s">
        <v>65</v>
      </c>
      <c r="D121" s="139" t="s">
        <v>221</v>
      </c>
      <c r="E121" s="155">
        <v>1</v>
      </c>
      <c r="F121" s="142" t="s">
        <v>27</v>
      </c>
    </row>
    <row r="122" spans="1:6">
      <c r="A122" s="139" t="s">
        <v>79</v>
      </c>
      <c r="B122" s="139" t="s">
        <v>225</v>
      </c>
      <c r="C122" s="139" t="s">
        <v>79</v>
      </c>
      <c r="D122" s="139" t="s">
        <v>226</v>
      </c>
      <c r="E122" s="155">
        <v>1</v>
      </c>
      <c r="F122" s="142" t="s">
        <v>27</v>
      </c>
    </row>
    <row r="123" spans="1:6">
      <c r="A123" s="139" t="s">
        <v>79</v>
      </c>
      <c r="B123" s="139" t="s">
        <v>227</v>
      </c>
      <c r="C123" s="139" t="s">
        <v>102</v>
      </c>
      <c r="D123" s="139" t="s">
        <v>229</v>
      </c>
      <c r="E123" s="155">
        <v>1</v>
      </c>
      <c r="F123" s="142" t="s">
        <v>27</v>
      </c>
    </row>
    <row r="124" spans="1:6">
      <c r="A124" s="139" t="s">
        <v>79</v>
      </c>
      <c r="B124" s="139" t="s">
        <v>232</v>
      </c>
      <c r="C124" s="139" t="s">
        <v>79</v>
      </c>
      <c r="D124" s="139" t="s">
        <v>233</v>
      </c>
      <c r="E124" s="155">
        <v>1</v>
      </c>
      <c r="F124" s="142" t="s">
        <v>27</v>
      </c>
    </row>
    <row r="125" spans="1:6">
      <c r="A125" s="139" t="s">
        <v>79</v>
      </c>
      <c r="B125" s="139" t="s">
        <v>232</v>
      </c>
      <c r="C125" s="139" t="s">
        <v>112</v>
      </c>
      <c r="D125" s="139" t="s">
        <v>233</v>
      </c>
      <c r="E125" s="155">
        <v>1</v>
      </c>
      <c r="F125" s="142" t="s">
        <v>27</v>
      </c>
    </row>
    <row r="126" spans="1:6">
      <c r="A126" s="139" t="s">
        <v>79</v>
      </c>
      <c r="B126" s="139" t="s">
        <v>257</v>
      </c>
      <c r="C126" s="139" t="s">
        <v>141</v>
      </c>
      <c r="D126" s="139" t="s">
        <v>258</v>
      </c>
      <c r="E126" s="155">
        <v>1</v>
      </c>
      <c r="F126" s="142" t="s">
        <v>27</v>
      </c>
    </row>
    <row r="127" spans="1:6">
      <c r="A127" s="139" t="s">
        <v>79</v>
      </c>
      <c r="B127" s="139" t="s">
        <v>274</v>
      </c>
      <c r="C127" s="139" t="s">
        <v>129</v>
      </c>
      <c r="D127" s="139" t="s">
        <v>275</v>
      </c>
      <c r="E127" s="155">
        <v>1</v>
      </c>
      <c r="F127" s="142" t="s">
        <v>27</v>
      </c>
    </row>
    <row r="128" spans="1:6">
      <c r="A128" s="139" t="s">
        <v>79</v>
      </c>
      <c r="B128" s="139" t="s">
        <v>264</v>
      </c>
      <c r="C128" s="139" t="s">
        <v>28</v>
      </c>
      <c r="D128" s="139" t="s">
        <v>270</v>
      </c>
      <c r="E128" s="155">
        <v>1</v>
      </c>
      <c r="F128" s="142" t="s">
        <v>27</v>
      </c>
    </row>
    <row r="129" spans="1:6">
      <c r="A129" s="139" t="s">
        <v>79</v>
      </c>
      <c r="B129" s="139" t="s">
        <v>264</v>
      </c>
      <c r="C129" s="139" t="s">
        <v>79</v>
      </c>
      <c r="D129" s="139" t="s">
        <v>270</v>
      </c>
      <c r="E129" s="155">
        <v>1</v>
      </c>
      <c r="F129" s="142" t="s">
        <v>27</v>
      </c>
    </row>
    <row r="130" spans="1:6">
      <c r="A130" s="139" t="s">
        <v>79</v>
      </c>
      <c r="B130" s="139" t="s">
        <v>269</v>
      </c>
      <c r="C130" s="139" t="s">
        <v>167</v>
      </c>
      <c r="D130" s="139" t="s">
        <v>276</v>
      </c>
      <c r="E130" s="155">
        <v>1</v>
      </c>
      <c r="F130" s="142" t="s">
        <v>27</v>
      </c>
    </row>
    <row r="131" spans="1:6">
      <c r="A131" s="139" t="s">
        <v>79</v>
      </c>
      <c r="B131" s="139" t="s">
        <v>248</v>
      </c>
      <c r="C131" s="139" t="s">
        <v>182</v>
      </c>
      <c r="D131" s="139" t="s">
        <v>249</v>
      </c>
      <c r="E131" s="155">
        <v>1</v>
      </c>
      <c r="F131" s="142" t="s">
        <v>27</v>
      </c>
    </row>
    <row r="132" spans="1:6">
      <c r="A132" s="139" t="s">
        <v>277</v>
      </c>
      <c r="B132" s="139" t="s">
        <v>213</v>
      </c>
      <c r="C132" s="139" t="s">
        <v>60</v>
      </c>
      <c r="D132" s="139" t="s">
        <v>215</v>
      </c>
      <c r="E132" s="155">
        <v>1</v>
      </c>
      <c r="F132" s="140" t="s">
        <v>33</v>
      </c>
    </row>
    <row r="133" spans="1:6">
      <c r="A133" s="139" t="s">
        <v>277</v>
      </c>
      <c r="B133" s="139" t="s">
        <v>273</v>
      </c>
      <c r="C133" s="139" t="s">
        <v>40</v>
      </c>
      <c r="D133" s="139" t="s">
        <v>270</v>
      </c>
      <c r="E133" s="155">
        <v>1</v>
      </c>
      <c r="F133" s="140" t="s">
        <v>33</v>
      </c>
    </row>
    <row r="134" spans="1:6">
      <c r="A134" s="139" t="s">
        <v>277</v>
      </c>
      <c r="B134" s="139" t="s">
        <v>222</v>
      </c>
      <c r="C134" s="139" t="s">
        <v>94</v>
      </c>
      <c r="D134" s="139" t="s">
        <v>224</v>
      </c>
      <c r="E134" s="155">
        <v>1</v>
      </c>
      <c r="F134" s="140" t="s">
        <v>33</v>
      </c>
    </row>
    <row r="135" spans="1:6">
      <c r="A135" s="139" t="s">
        <v>277</v>
      </c>
      <c r="B135" s="139" t="s">
        <v>225</v>
      </c>
      <c r="C135" s="139" t="s">
        <v>86</v>
      </c>
      <c r="D135" s="139" t="s">
        <v>226</v>
      </c>
      <c r="E135" s="155">
        <v>1</v>
      </c>
      <c r="F135" s="140" t="s">
        <v>33</v>
      </c>
    </row>
    <row r="136" spans="1:6">
      <c r="A136" s="139" t="s">
        <v>277</v>
      </c>
      <c r="B136" s="139" t="s">
        <v>225</v>
      </c>
      <c r="C136" s="139" t="s">
        <v>106</v>
      </c>
      <c r="D136" s="139" t="s">
        <v>226</v>
      </c>
      <c r="E136" s="155">
        <v>1</v>
      </c>
      <c r="F136" s="140" t="s">
        <v>33</v>
      </c>
    </row>
    <row r="137" spans="1:6">
      <c r="A137" s="139" t="s">
        <v>277</v>
      </c>
      <c r="B137" s="139" t="s">
        <v>271</v>
      </c>
      <c r="C137" s="139" t="s">
        <v>78</v>
      </c>
      <c r="D137" s="139" t="s">
        <v>268</v>
      </c>
      <c r="E137" s="155">
        <v>1</v>
      </c>
      <c r="F137" s="140" t="s">
        <v>33</v>
      </c>
    </row>
    <row r="138" spans="1:6">
      <c r="A138" s="139" t="s">
        <v>277</v>
      </c>
      <c r="B138" s="139" t="s">
        <v>232</v>
      </c>
      <c r="C138" s="139" t="s">
        <v>110</v>
      </c>
      <c r="D138" s="139" t="s">
        <v>233</v>
      </c>
      <c r="E138" s="155">
        <v>1</v>
      </c>
      <c r="F138" s="140" t="s">
        <v>33</v>
      </c>
    </row>
    <row r="139" spans="1:6">
      <c r="A139" s="139" t="s">
        <v>277</v>
      </c>
      <c r="B139" s="139" t="s">
        <v>236</v>
      </c>
      <c r="C139" s="139" t="s">
        <v>135</v>
      </c>
      <c r="D139" s="139" t="s">
        <v>237</v>
      </c>
      <c r="E139" s="155">
        <v>1</v>
      </c>
      <c r="F139" s="140" t="s">
        <v>33</v>
      </c>
    </row>
    <row r="140" spans="1:6">
      <c r="A140" s="139" t="s">
        <v>277</v>
      </c>
      <c r="B140" s="139" t="s">
        <v>257</v>
      </c>
      <c r="C140" s="139" t="s">
        <v>123</v>
      </c>
      <c r="D140" s="139" t="s">
        <v>258</v>
      </c>
      <c r="E140" s="155">
        <v>1</v>
      </c>
      <c r="F140" s="140" t="s">
        <v>33</v>
      </c>
    </row>
    <row r="141" spans="1:6">
      <c r="A141" s="139" t="s">
        <v>277</v>
      </c>
      <c r="B141" s="139" t="s">
        <v>257</v>
      </c>
      <c r="C141" s="139" t="s">
        <v>127</v>
      </c>
      <c r="D141" s="139" t="s">
        <v>258</v>
      </c>
      <c r="E141" s="155">
        <v>1</v>
      </c>
      <c r="F141" s="144"/>
    </row>
    <row r="142" spans="1:6">
      <c r="A142" s="139" t="s">
        <v>277</v>
      </c>
      <c r="B142" s="139" t="s">
        <v>240</v>
      </c>
      <c r="C142" s="139" t="s">
        <v>119</v>
      </c>
      <c r="D142" s="139" t="s">
        <v>241</v>
      </c>
      <c r="E142" s="155">
        <v>1</v>
      </c>
      <c r="F142" s="140" t="s">
        <v>33</v>
      </c>
    </row>
    <row r="143" spans="1:6">
      <c r="A143" s="139" t="s">
        <v>277</v>
      </c>
      <c r="B143" s="139" t="s">
        <v>242</v>
      </c>
      <c r="C143" s="139" t="s">
        <v>164</v>
      </c>
      <c r="D143" s="139" t="s">
        <v>244</v>
      </c>
      <c r="E143" s="155">
        <v>1</v>
      </c>
      <c r="F143" s="140" t="s">
        <v>33</v>
      </c>
    </row>
    <row r="144" spans="1:6">
      <c r="A144" s="139" t="s">
        <v>277</v>
      </c>
      <c r="B144" s="139" t="s">
        <v>264</v>
      </c>
      <c r="C144" s="139" t="s">
        <v>159</v>
      </c>
      <c r="D144" s="139" t="s">
        <v>270</v>
      </c>
      <c r="E144" s="155">
        <v>1</v>
      </c>
      <c r="F144" s="140" t="s">
        <v>33</v>
      </c>
    </row>
    <row r="145" spans="1:6">
      <c r="A145" s="139" t="s">
        <v>277</v>
      </c>
      <c r="B145" s="139" t="s">
        <v>245</v>
      </c>
      <c r="C145" s="139" t="s">
        <v>160</v>
      </c>
      <c r="D145" s="139" t="s">
        <v>231</v>
      </c>
      <c r="E145" s="155">
        <v>1</v>
      </c>
      <c r="F145" s="142" t="s">
        <v>27</v>
      </c>
    </row>
    <row r="146" spans="1:6">
      <c r="A146" s="139" t="s">
        <v>277</v>
      </c>
      <c r="B146" s="139" t="s">
        <v>245</v>
      </c>
      <c r="C146" s="139" t="s">
        <v>165</v>
      </c>
      <c r="D146" s="139" t="s">
        <v>231</v>
      </c>
      <c r="E146" s="155">
        <v>1</v>
      </c>
      <c r="F146" s="144"/>
    </row>
    <row r="147" spans="1:6">
      <c r="A147" s="139" t="s">
        <v>278</v>
      </c>
      <c r="B147" s="139" t="s">
        <v>205</v>
      </c>
      <c r="C147" s="139" t="s">
        <v>57</v>
      </c>
      <c r="D147" s="139" t="s">
        <v>206</v>
      </c>
      <c r="E147" s="155">
        <v>1</v>
      </c>
      <c r="F147" s="143" t="s">
        <v>42</v>
      </c>
    </row>
    <row r="148" spans="1:6">
      <c r="A148" s="139" t="s">
        <v>278</v>
      </c>
      <c r="B148" s="139" t="s">
        <v>210</v>
      </c>
      <c r="C148" s="139" t="s">
        <v>55</v>
      </c>
      <c r="D148" s="139" t="s">
        <v>211</v>
      </c>
      <c r="E148" s="155">
        <v>1</v>
      </c>
      <c r="F148" s="149" t="s">
        <v>37</v>
      </c>
    </row>
    <row r="149" spans="1:6">
      <c r="A149" s="139" t="s">
        <v>278</v>
      </c>
      <c r="B149" s="139" t="s">
        <v>225</v>
      </c>
      <c r="C149" s="139" t="s">
        <v>95</v>
      </c>
      <c r="D149" s="139" t="s">
        <v>226</v>
      </c>
      <c r="E149" s="155">
        <v>1</v>
      </c>
      <c r="F149" s="149" t="s">
        <v>37</v>
      </c>
    </row>
    <row r="150" spans="1:6">
      <c r="A150" s="139" t="s">
        <v>278</v>
      </c>
      <c r="B150" s="139" t="s">
        <v>253</v>
      </c>
      <c r="C150" s="139" t="s">
        <v>87</v>
      </c>
      <c r="D150" s="139" t="s">
        <v>254</v>
      </c>
      <c r="E150" s="155">
        <v>1</v>
      </c>
      <c r="F150" s="140" t="s">
        <v>33</v>
      </c>
    </row>
    <row r="151" spans="1:6">
      <c r="A151" s="139" t="s">
        <v>278</v>
      </c>
      <c r="B151" s="139" t="s">
        <v>236</v>
      </c>
      <c r="C151" s="139" t="s">
        <v>131</v>
      </c>
      <c r="D151" s="139" t="s">
        <v>237</v>
      </c>
      <c r="E151" s="155">
        <v>1</v>
      </c>
      <c r="F151" s="144"/>
    </row>
    <row r="152" spans="1:6">
      <c r="A152" s="139" t="s">
        <v>278</v>
      </c>
      <c r="B152" s="139" t="s">
        <v>236</v>
      </c>
      <c r="C152" s="139" t="s">
        <v>139</v>
      </c>
      <c r="D152" s="139" t="s">
        <v>237</v>
      </c>
      <c r="E152" s="155">
        <v>1</v>
      </c>
      <c r="F152" s="143" t="s">
        <v>42</v>
      </c>
    </row>
    <row r="153" spans="1:6">
      <c r="A153" s="139" t="s">
        <v>278</v>
      </c>
      <c r="B153" s="139" t="s">
        <v>242</v>
      </c>
      <c r="C153" s="139" t="s">
        <v>158</v>
      </c>
      <c r="D153" s="139" t="s">
        <v>244</v>
      </c>
      <c r="E153" s="155">
        <v>1</v>
      </c>
      <c r="F153" s="143" t="s">
        <v>42</v>
      </c>
    </row>
    <row r="154" spans="1:6">
      <c r="A154" s="139" t="s">
        <v>278</v>
      </c>
      <c r="B154" s="139" t="s">
        <v>246</v>
      </c>
      <c r="C154" s="139" t="s">
        <v>152</v>
      </c>
      <c r="D154" s="139" t="s">
        <v>247</v>
      </c>
      <c r="E154" s="155">
        <v>1</v>
      </c>
      <c r="F154" s="143" t="s">
        <v>42</v>
      </c>
    </row>
    <row r="155" spans="1:6">
      <c r="A155" s="139" t="s">
        <v>278</v>
      </c>
      <c r="B155" s="139" t="s">
        <v>246</v>
      </c>
      <c r="C155" s="139" t="s">
        <v>156</v>
      </c>
      <c r="D155" s="139" t="s">
        <v>247</v>
      </c>
      <c r="E155" s="155">
        <v>1</v>
      </c>
      <c r="F155" s="143" t="s">
        <v>42</v>
      </c>
    </row>
    <row r="156" spans="1:6">
      <c r="A156" s="139" t="s">
        <v>128</v>
      </c>
      <c r="B156" s="139" t="s">
        <v>227</v>
      </c>
      <c r="C156" s="139" t="s">
        <v>96</v>
      </c>
      <c r="D156" s="139" t="s">
        <v>229</v>
      </c>
      <c r="E156" s="155">
        <v>1</v>
      </c>
      <c r="F156" s="143" t="s">
        <v>42</v>
      </c>
    </row>
    <row r="157" spans="1:6">
      <c r="A157" s="139" t="s">
        <v>128</v>
      </c>
      <c r="B157" s="139" t="s">
        <v>238</v>
      </c>
      <c r="C157" s="139" t="s">
        <v>133</v>
      </c>
      <c r="D157" s="139" t="s">
        <v>239</v>
      </c>
      <c r="E157" s="155">
        <v>1</v>
      </c>
      <c r="F157" s="143" t="s">
        <v>42</v>
      </c>
    </row>
    <row r="158" spans="1:6">
      <c r="A158" s="139" t="s">
        <v>128</v>
      </c>
      <c r="B158" s="139" t="s">
        <v>238</v>
      </c>
      <c r="C158" s="139" t="s">
        <v>128</v>
      </c>
      <c r="D158" s="139" t="s">
        <v>239</v>
      </c>
      <c r="E158" s="155">
        <v>1</v>
      </c>
      <c r="F158" s="143" t="s">
        <v>42</v>
      </c>
    </row>
    <row r="159" spans="1:6">
      <c r="A159" s="139" t="s">
        <v>128</v>
      </c>
      <c r="B159" s="139" t="s">
        <v>257</v>
      </c>
      <c r="C159" s="139" t="s">
        <v>134</v>
      </c>
      <c r="D159" s="139" t="s">
        <v>258</v>
      </c>
      <c r="E159" s="155">
        <v>1</v>
      </c>
      <c r="F159" s="143" t="s">
        <v>42</v>
      </c>
    </row>
    <row r="160" spans="1:6">
      <c r="A160" s="139" t="s">
        <v>128</v>
      </c>
      <c r="B160" s="139" t="s">
        <v>240</v>
      </c>
      <c r="C160" s="139" t="s">
        <v>128</v>
      </c>
      <c r="D160" s="139" t="s">
        <v>241</v>
      </c>
      <c r="E160" s="155">
        <v>1</v>
      </c>
      <c r="F160" s="143" t="s">
        <v>42</v>
      </c>
    </row>
    <row r="161" spans="1:6">
      <c r="A161" s="139" t="s">
        <v>128</v>
      </c>
      <c r="B161" s="139" t="s">
        <v>242</v>
      </c>
      <c r="C161" s="139" t="s">
        <v>174</v>
      </c>
      <c r="D161" s="139" t="s">
        <v>244</v>
      </c>
      <c r="E161" s="155">
        <v>1</v>
      </c>
      <c r="F161" s="143" t="s">
        <v>42</v>
      </c>
    </row>
    <row r="162" spans="1:6">
      <c r="A162" s="139" t="s">
        <v>128</v>
      </c>
      <c r="B162" s="139" t="s">
        <v>248</v>
      </c>
      <c r="C162" s="139" t="s">
        <v>183</v>
      </c>
      <c r="D162" s="139" t="s">
        <v>249</v>
      </c>
      <c r="E162" s="155">
        <v>1</v>
      </c>
      <c r="F162" s="143" t="s">
        <v>42</v>
      </c>
    </row>
    <row r="163" spans="1:6">
      <c r="A163" s="139" t="s">
        <v>128</v>
      </c>
      <c r="B163" s="139" t="s">
        <v>248</v>
      </c>
      <c r="C163" s="139" t="s">
        <v>187</v>
      </c>
      <c r="D163" s="139" t="s">
        <v>249</v>
      </c>
      <c r="E163" s="155">
        <v>1</v>
      </c>
      <c r="F163" s="143" t="s">
        <v>42</v>
      </c>
    </row>
    <row r="164" spans="1:6">
      <c r="A164" s="139" t="s">
        <v>128</v>
      </c>
      <c r="B164" s="139" t="s">
        <v>250</v>
      </c>
      <c r="C164" s="139" t="s">
        <v>128</v>
      </c>
      <c r="D164" s="139" t="s">
        <v>251</v>
      </c>
      <c r="E164" s="155">
        <v>1</v>
      </c>
      <c r="F164" s="143" t="s">
        <v>42</v>
      </c>
    </row>
    <row r="165" spans="1:6">
      <c r="A165" s="139" t="s">
        <v>279</v>
      </c>
      <c r="B165" s="139" t="s">
        <v>225</v>
      </c>
      <c r="C165" s="139" t="s">
        <v>81</v>
      </c>
      <c r="D165" s="139" t="s">
        <v>226</v>
      </c>
      <c r="E165" s="155">
        <v>1</v>
      </c>
      <c r="F165" s="140" t="s">
        <v>33</v>
      </c>
    </row>
    <row r="166" spans="1:6">
      <c r="A166" s="139" t="s">
        <v>279</v>
      </c>
      <c r="B166" s="139" t="s">
        <v>234</v>
      </c>
      <c r="C166" s="139" t="s">
        <v>130</v>
      </c>
      <c r="D166" s="139" t="s">
        <v>235</v>
      </c>
      <c r="E166" s="155">
        <v>1</v>
      </c>
      <c r="F166" s="140" t="s">
        <v>33</v>
      </c>
    </row>
    <row r="167" spans="1:6">
      <c r="A167" s="139" t="s">
        <v>279</v>
      </c>
      <c r="B167" s="139" t="s">
        <v>267</v>
      </c>
      <c r="C167" s="139" t="s">
        <v>155</v>
      </c>
      <c r="D167" s="139" t="s">
        <v>268</v>
      </c>
      <c r="E167" s="155">
        <v>1</v>
      </c>
      <c r="F167" s="140" t="s">
        <v>33</v>
      </c>
    </row>
    <row r="168" spans="1:6">
      <c r="A168" s="139" t="s">
        <v>279</v>
      </c>
      <c r="B168" s="139" t="s">
        <v>267</v>
      </c>
      <c r="C168" s="139" t="s">
        <v>161</v>
      </c>
      <c r="D168" s="139" t="s">
        <v>268</v>
      </c>
      <c r="E168" s="155">
        <v>1</v>
      </c>
      <c r="F168" s="140" t="s">
        <v>33</v>
      </c>
    </row>
    <row r="169" spans="1:6">
      <c r="A169" s="139" t="s">
        <v>279</v>
      </c>
      <c r="B169" s="139" t="s">
        <v>269</v>
      </c>
      <c r="C169" s="139" t="s">
        <v>151</v>
      </c>
      <c r="D169" s="139" t="s">
        <v>270</v>
      </c>
      <c r="E169" s="155">
        <v>2</v>
      </c>
      <c r="F169" s="140" t="s">
        <v>33</v>
      </c>
    </row>
    <row r="170" spans="1:6">
      <c r="A170" s="139" t="s">
        <v>279</v>
      </c>
      <c r="B170" s="139" t="s">
        <v>248</v>
      </c>
      <c r="C170" s="139" t="s">
        <v>184</v>
      </c>
      <c r="D170" s="139" t="s">
        <v>249</v>
      </c>
      <c r="E170" s="155">
        <v>1</v>
      </c>
      <c r="F170" s="140" t="s">
        <v>33</v>
      </c>
    </row>
    <row r="171" spans="1:6">
      <c r="A171" s="139" t="s">
        <v>280</v>
      </c>
      <c r="B171" s="139" t="s">
        <v>225</v>
      </c>
      <c r="C171" s="139" t="s">
        <v>109</v>
      </c>
      <c r="D171" s="139" t="s">
        <v>226</v>
      </c>
      <c r="E171" s="155">
        <v>1</v>
      </c>
      <c r="F171" s="140" t="s">
        <v>33</v>
      </c>
    </row>
    <row r="172" spans="1:6">
      <c r="A172" s="139" t="s">
        <v>280</v>
      </c>
      <c r="B172" s="139" t="s">
        <v>240</v>
      </c>
      <c r="C172" s="139" t="s">
        <v>124</v>
      </c>
      <c r="D172" s="139" t="s">
        <v>241</v>
      </c>
      <c r="E172" s="155">
        <v>1</v>
      </c>
      <c r="F172" s="140" t="s">
        <v>33</v>
      </c>
    </row>
    <row r="173" spans="1:6">
      <c r="A173" s="139" t="s">
        <v>280</v>
      </c>
      <c r="B173" s="139" t="s">
        <v>267</v>
      </c>
      <c r="C173" s="139" t="s">
        <v>150</v>
      </c>
      <c r="D173" s="139" t="s">
        <v>268</v>
      </c>
      <c r="E173" s="155">
        <v>1</v>
      </c>
      <c r="F173" s="140" t="s">
        <v>33</v>
      </c>
    </row>
    <row r="174" spans="1:6">
      <c r="A174" s="139" t="s">
        <v>280</v>
      </c>
      <c r="B174" s="139" t="s">
        <v>267</v>
      </c>
      <c r="C174" s="139" t="s">
        <v>166</v>
      </c>
      <c r="D174" s="139" t="s">
        <v>268</v>
      </c>
      <c r="E174" s="155">
        <v>1</v>
      </c>
      <c r="F174" s="140" t="s">
        <v>33</v>
      </c>
    </row>
    <row r="175" spans="1:6">
      <c r="A175" s="139" t="s">
        <v>280</v>
      </c>
      <c r="B175" s="139" t="s">
        <v>269</v>
      </c>
      <c r="C175" s="139" t="s">
        <v>150</v>
      </c>
      <c r="D175" s="139" t="s">
        <v>276</v>
      </c>
      <c r="E175" s="155">
        <v>1</v>
      </c>
      <c r="F175" s="140" t="s">
        <v>33</v>
      </c>
    </row>
    <row r="176" spans="1:6">
      <c r="A176" s="139" t="s">
        <v>280</v>
      </c>
      <c r="B176" s="139" t="s">
        <v>248</v>
      </c>
      <c r="C176" s="139" t="s">
        <v>150</v>
      </c>
      <c r="D176" s="139" t="s">
        <v>249</v>
      </c>
      <c r="E176" s="155">
        <v>1</v>
      </c>
      <c r="F176" s="140" t="s">
        <v>33</v>
      </c>
    </row>
    <row r="177" spans="1:6">
      <c r="A177" s="139" t="s">
        <v>281</v>
      </c>
      <c r="B177" s="139" t="s">
        <v>205</v>
      </c>
      <c r="C177" s="139" t="s">
        <v>34</v>
      </c>
      <c r="D177" s="139" t="s">
        <v>206</v>
      </c>
      <c r="E177" s="155">
        <v>1</v>
      </c>
      <c r="F177" s="145" t="s">
        <v>35</v>
      </c>
    </row>
    <row r="178" spans="1:6">
      <c r="A178" s="139" t="s">
        <v>281</v>
      </c>
      <c r="B178" s="139" t="s">
        <v>205</v>
      </c>
      <c r="C178" s="139" t="s">
        <v>47</v>
      </c>
      <c r="D178" s="139" t="s">
        <v>206</v>
      </c>
      <c r="E178" s="155">
        <v>1</v>
      </c>
      <c r="F178" s="140" t="s">
        <v>33</v>
      </c>
    </row>
    <row r="179" spans="1:6">
      <c r="A179" s="139" t="s">
        <v>281</v>
      </c>
      <c r="B179" s="139" t="s">
        <v>205</v>
      </c>
      <c r="C179" s="139" t="s">
        <v>53</v>
      </c>
      <c r="D179" s="139" t="s">
        <v>206</v>
      </c>
      <c r="E179" s="155">
        <v>1</v>
      </c>
      <c r="F179" s="143" t="s">
        <v>42</v>
      </c>
    </row>
    <row r="180" spans="1:6">
      <c r="A180" s="139" t="s">
        <v>281</v>
      </c>
      <c r="B180" s="139" t="s">
        <v>205</v>
      </c>
      <c r="C180" s="139" t="s">
        <v>70</v>
      </c>
      <c r="D180" s="139" t="s">
        <v>207</v>
      </c>
      <c r="E180" s="155">
        <v>2</v>
      </c>
      <c r="F180" s="149" t="s">
        <v>37</v>
      </c>
    </row>
    <row r="181" spans="1:6">
      <c r="A181" s="139" t="s">
        <v>281</v>
      </c>
      <c r="B181" s="139" t="s">
        <v>205</v>
      </c>
      <c r="C181" s="139" t="s">
        <v>72</v>
      </c>
      <c r="D181" s="139" t="s">
        <v>206</v>
      </c>
      <c r="E181" s="155">
        <v>1</v>
      </c>
      <c r="F181" s="149" t="s">
        <v>37</v>
      </c>
    </row>
    <row r="182" spans="1:6">
      <c r="A182" s="139" t="s">
        <v>281</v>
      </c>
      <c r="B182" s="139" t="s">
        <v>208</v>
      </c>
      <c r="C182" s="139" t="s">
        <v>58</v>
      </c>
      <c r="D182" s="139" t="s">
        <v>209</v>
      </c>
      <c r="E182" s="155">
        <v>1</v>
      </c>
      <c r="F182" s="140" t="s">
        <v>33</v>
      </c>
    </row>
    <row r="183" spans="1:6">
      <c r="A183" s="139" t="s">
        <v>281</v>
      </c>
      <c r="B183" s="139" t="s">
        <v>210</v>
      </c>
      <c r="C183" s="139" t="s">
        <v>29</v>
      </c>
      <c r="D183" s="139" t="s">
        <v>211</v>
      </c>
      <c r="E183" s="155">
        <v>1</v>
      </c>
      <c r="F183" s="144"/>
    </row>
    <row r="184" spans="1:6">
      <c r="A184" s="139" t="s">
        <v>281</v>
      </c>
      <c r="B184" s="139" t="s">
        <v>210</v>
      </c>
      <c r="C184" s="139" t="s">
        <v>38</v>
      </c>
      <c r="D184" s="139" t="s">
        <v>211</v>
      </c>
      <c r="E184" s="155">
        <v>1</v>
      </c>
      <c r="F184" s="149" t="s">
        <v>37</v>
      </c>
    </row>
    <row r="185" spans="1:6">
      <c r="A185" s="139" t="s">
        <v>281</v>
      </c>
      <c r="B185" s="139" t="s">
        <v>210</v>
      </c>
      <c r="C185" s="139" t="s">
        <v>49</v>
      </c>
      <c r="D185" s="139" t="s">
        <v>211</v>
      </c>
      <c r="E185" s="155">
        <v>1</v>
      </c>
      <c r="F185" s="142" t="s">
        <v>27</v>
      </c>
    </row>
    <row r="186" spans="1:6">
      <c r="A186" s="139" t="s">
        <v>281</v>
      </c>
      <c r="B186" s="139" t="s">
        <v>210</v>
      </c>
      <c r="C186" s="139" t="s">
        <v>73</v>
      </c>
      <c r="D186" s="139" t="s">
        <v>211</v>
      </c>
      <c r="E186" s="155">
        <v>1</v>
      </c>
      <c r="F186" s="143" t="s">
        <v>42</v>
      </c>
    </row>
    <row r="187" spans="1:6">
      <c r="A187" s="139" t="s">
        <v>281</v>
      </c>
      <c r="B187" s="139" t="s">
        <v>210</v>
      </c>
      <c r="C187" s="139" t="s">
        <v>74</v>
      </c>
      <c r="D187" s="139" t="s">
        <v>211</v>
      </c>
      <c r="E187" s="155">
        <v>1</v>
      </c>
      <c r="F187" s="140" t="s">
        <v>33</v>
      </c>
    </row>
    <row r="188" spans="1:6">
      <c r="A188" s="139" t="s">
        <v>281</v>
      </c>
      <c r="B188" s="139" t="s">
        <v>213</v>
      </c>
      <c r="C188" s="139" t="s">
        <v>64</v>
      </c>
      <c r="D188" s="139" t="s">
        <v>215</v>
      </c>
      <c r="E188" s="155">
        <v>1</v>
      </c>
      <c r="F188" s="140" t="s">
        <v>33</v>
      </c>
    </row>
    <row r="189" spans="1:6">
      <c r="A189" s="139" t="s">
        <v>281</v>
      </c>
      <c r="B189" s="139" t="s">
        <v>213</v>
      </c>
      <c r="C189" s="139" t="s">
        <v>68</v>
      </c>
      <c r="D189" s="139" t="s">
        <v>215</v>
      </c>
      <c r="E189" s="155">
        <v>1</v>
      </c>
      <c r="F189" s="143" t="s">
        <v>42</v>
      </c>
    </row>
    <row r="190" spans="1:6">
      <c r="A190" s="139" t="s">
        <v>281</v>
      </c>
      <c r="B190" s="139" t="s">
        <v>217</v>
      </c>
      <c r="C190" s="139" t="s">
        <v>50</v>
      </c>
      <c r="D190" s="139" t="s">
        <v>218</v>
      </c>
      <c r="E190" s="155">
        <v>1</v>
      </c>
      <c r="F190" s="143" t="s">
        <v>42</v>
      </c>
    </row>
    <row r="191" spans="1:6">
      <c r="A191" s="139" t="s">
        <v>281</v>
      </c>
      <c r="B191" s="139" t="s">
        <v>273</v>
      </c>
      <c r="C191" s="139" t="s">
        <v>32</v>
      </c>
      <c r="D191" s="139" t="s">
        <v>270</v>
      </c>
      <c r="E191" s="155">
        <v>1</v>
      </c>
      <c r="F191" s="140" t="s">
        <v>33</v>
      </c>
    </row>
    <row r="192" spans="1:6">
      <c r="A192" s="139" t="s">
        <v>281</v>
      </c>
      <c r="B192" s="139" t="s">
        <v>273</v>
      </c>
      <c r="C192" s="139" t="s">
        <v>45</v>
      </c>
      <c r="D192" s="139" t="s">
        <v>270</v>
      </c>
      <c r="E192" s="155">
        <v>1</v>
      </c>
      <c r="F192" s="144"/>
    </row>
    <row r="193" spans="1:6">
      <c r="A193" s="139" t="s">
        <v>281</v>
      </c>
      <c r="B193" s="139" t="s">
        <v>219</v>
      </c>
      <c r="C193" s="139" t="s">
        <v>46</v>
      </c>
      <c r="D193" s="139" t="s">
        <v>221</v>
      </c>
      <c r="E193" s="155">
        <v>1</v>
      </c>
      <c r="F193" s="140" t="s">
        <v>33</v>
      </c>
    </row>
    <row r="194" spans="1:6">
      <c r="A194" s="139" t="s">
        <v>281</v>
      </c>
      <c r="B194" s="139" t="s">
        <v>219</v>
      </c>
      <c r="C194" s="139" t="s">
        <v>52</v>
      </c>
      <c r="D194" s="139" t="s">
        <v>221</v>
      </c>
      <c r="E194" s="155">
        <v>1</v>
      </c>
      <c r="F194" s="149" t="s">
        <v>37</v>
      </c>
    </row>
    <row r="195" spans="1:6">
      <c r="A195" s="139" t="s">
        <v>281</v>
      </c>
      <c r="B195" s="139" t="s">
        <v>219</v>
      </c>
      <c r="C195" s="139" t="s">
        <v>67</v>
      </c>
      <c r="D195" s="139" t="s">
        <v>221</v>
      </c>
      <c r="E195" s="155">
        <v>1</v>
      </c>
      <c r="F195" s="142" t="s">
        <v>27</v>
      </c>
    </row>
    <row r="196" spans="1:6">
      <c r="A196" s="139" t="s">
        <v>281</v>
      </c>
      <c r="B196" s="139" t="s">
        <v>222</v>
      </c>
      <c r="C196" s="139" t="s">
        <v>80</v>
      </c>
      <c r="D196" s="139" t="s">
        <v>224</v>
      </c>
      <c r="E196" s="155">
        <v>1</v>
      </c>
      <c r="F196" s="143" t="s">
        <v>42</v>
      </c>
    </row>
    <row r="197" spans="1:6">
      <c r="A197" s="139" t="s">
        <v>281</v>
      </c>
      <c r="B197" s="139" t="s">
        <v>222</v>
      </c>
      <c r="C197" s="139" t="s">
        <v>85</v>
      </c>
      <c r="D197" s="139" t="s">
        <v>224</v>
      </c>
      <c r="E197" s="155">
        <v>1</v>
      </c>
      <c r="F197" s="149" t="s">
        <v>37</v>
      </c>
    </row>
    <row r="198" spans="1:6">
      <c r="A198" s="139" t="s">
        <v>281</v>
      </c>
      <c r="B198" s="139" t="s">
        <v>222</v>
      </c>
      <c r="C198" s="139" t="s">
        <v>108</v>
      </c>
      <c r="D198" s="139" t="s">
        <v>224</v>
      </c>
      <c r="E198" s="155">
        <v>1</v>
      </c>
      <c r="F198" s="142" t="s">
        <v>27</v>
      </c>
    </row>
    <row r="199" spans="1:6">
      <c r="A199" s="139" t="s">
        <v>281</v>
      </c>
      <c r="B199" s="139" t="s">
        <v>225</v>
      </c>
      <c r="C199" s="139" t="s">
        <v>111</v>
      </c>
      <c r="D199" s="139" t="s">
        <v>226</v>
      </c>
      <c r="E199" s="155">
        <v>1</v>
      </c>
      <c r="F199" s="143" t="s">
        <v>42</v>
      </c>
    </row>
    <row r="200" spans="1:6">
      <c r="A200" s="139" t="s">
        <v>281</v>
      </c>
      <c r="B200" s="139" t="s">
        <v>225</v>
      </c>
      <c r="C200" s="139" t="s">
        <v>113</v>
      </c>
      <c r="D200" s="139" t="s">
        <v>226</v>
      </c>
      <c r="E200" s="155">
        <v>1</v>
      </c>
      <c r="F200" s="149" t="s">
        <v>37</v>
      </c>
    </row>
    <row r="201" spans="1:6">
      <c r="A201" s="139" t="s">
        <v>281</v>
      </c>
      <c r="B201" s="139" t="s">
        <v>225</v>
      </c>
      <c r="C201" s="139" t="s">
        <v>114</v>
      </c>
      <c r="D201" s="139" t="s">
        <v>226</v>
      </c>
      <c r="E201" s="155">
        <v>1</v>
      </c>
      <c r="F201" s="142" t="s">
        <v>27</v>
      </c>
    </row>
    <row r="202" spans="1:6">
      <c r="A202" s="139" t="s">
        <v>281</v>
      </c>
      <c r="B202" s="139" t="s">
        <v>225</v>
      </c>
      <c r="C202" s="139" t="s">
        <v>115</v>
      </c>
      <c r="D202" s="139" t="s">
        <v>226</v>
      </c>
      <c r="E202" s="155">
        <v>1</v>
      </c>
      <c r="F202" s="140" t="s">
        <v>33</v>
      </c>
    </row>
    <row r="203" spans="1:6">
      <c r="A203" s="139" t="s">
        <v>281</v>
      </c>
      <c r="B203" s="139" t="s">
        <v>253</v>
      </c>
      <c r="C203" s="139" t="s">
        <v>77</v>
      </c>
      <c r="D203" s="139" t="s">
        <v>254</v>
      </c>
      <c r="E203" s="155">
        <v>1</v>
      </c>
      <c r="F203" s="140" t="s">
        <v>33</v>
      </c>
    </row>
    <row r="204" spans="1:6">
      <c r="A204" s="139" t="s">
        <v>281</v>
      </c>
      <c r="B204" s="139" t="s">
        <v>253</v>
      </c>
      <c r="C204" s="139" t="s">
        <v>82</v>
      </c>
      <c r="D204" s="139" t="s">
        <v>254</v>
      </c>
      <c r="E204" s="155">
        <v>1</v>
      </c>
      <c r="F204" s="143" t="s">
        <v>42</v>
      </c>
    </row>
    <row r="205" spans="1:6">
      <c r="A205" s="139" t="s">
        <v>281</v>
      </c>
      <c r="B205" s="139" t="s">
        <v>253</v>
      </c>
      <c r="C205" s="139" t="s">
        <v>98</v>
      </c>
      <c r="D205" s="139" t="s">
        <v>254</v>
      </c>
      <c r="E205" s="155">
        <v>1</v>
      </c>
      <c r="F205" s="143" t="s">
        <v>42</v>
      </c>
    </row>
    <row r="206" spans="1:6">
      <c r="A206" s="139" t="s">
        <v>281</v>
      </c>
      <c r="B206" s="139" t="s">
        <v>227</v>
      </c>
      <c r="C206" s="139" t="s">
        <v>90</v>
      </c>
      <c r="D206" s="139" t="s">
        <v>229</v>
      </c>
      <c r="E206" s="155">
        <v>1</v>
      </c>
      <c r="F206" s="143" t="s">
        <v>42</v>
      </c>
    </row>
    <row r="207" spans="1:6">
      <c r="A207" s="139" t="s">
        <v>281</v>
      </c>
      <c r="B207" s="139" t="s">
        <v>230</v>
      </c>
      <c r="C207" s="139" t="s">
        <v>91</v>
      </c>
      <c r="D207" s="139" t="s">
        <v>231</v>
      </c>
      <c r="E207" s="155">
        <v>1</v>
      </c>
      <c r="F207" s="140" t="s">
        <v>33</v>
      </c>
    </row>
    <row r="208" spans="1:6">
      <c r="A208" s="139" t="s">
        <v>281</v>
      </c>
      <c r="B208" s="139" t="s">
        <v>232</v>
      </c>
      <c r="C208" s="139" t="s">
        <v>93</v>
      </c>
      <c r="D208" s="139" t="s">
        <v>233</v>
      </c>
      <c r="E208" s="155">
        <v>1</v>
      </c>
      <c r="F208" s="149" t="s">
        <v>37</v>
      </c>
    </row>
    <row r="209" spans="1:6">
      <c r="A209" s="139" t="s">
        <v>281</v>
      </c>
      <c r="B209" s="139" t="s">
        <v>232</v>
      </c>
      <c r="C209" s="139" t="s">
        <v>97</v>
      </c>
      <c r="D209" s="139" t="s">
        <v>233</v>
      </c>
      <c r="E209" s="155">
        <v>1</v>
      </c>
      <c r="F209" s="143" t="s">
        <v>42</v>
      </c>
    </row>
    <row r="210" spans="1:6">
      <c r="A210" s="139" t="s">
        <v>281</v>
      </c>
      <c r="B210" s="139" t="s">
        <v>232</v>
      </c>
      <c r="C210" s="139" t="s">
        <v>100</v>
      </c>
      <c r="D210" s="139" t="s">
        <v>233</v>
      </c>
      <c r="E210" s="155">
        <v>1</v>
      </c>
      <c r="F210" s="143" t="s">
        <v>42</v>
      </c>
    </row>
    <row r="211" spans="1:6">
      <c r="A211" s="139" t="s">
        <v>281</v>
      </c>
      <c r="B211" s="139" t="s">
        <v>234</v>
      </c>
      <c r="C211" s="139" t="s">
        <v>138</v>
      </c>
      <c r="D211" s="139" t="s">
        <v>235</v>
      </c>
      <c r="E211" s="155">
        <v>1</v>
      </c>
      <c r="F211" s="140" t="s">
        <v>33</v>
      </c>
    </row>
    <row r="212" spans="1:6">
      <c r="A212" s="139" t="s">
        <v>281</v>
      </c>
      <c r="B212" s="139" t="s">
        <v>236</v>
      </c>
      <c r="C212" s="139" t="s">
        <v>122</v>
      </c>
      <c r="D212" s="139" t="s">
        <v>237</v>
      </c>
      <c r="E212" s="155">
        <v>1</v>
      </c>
      <c r="F212" s="140" t="s">
        <v>33</v>
      </c>
    </row>
    <row r="213" spans="1:6">
      <c r="A213" s="139" t="s">
        <v>281</v>
      </c>
      <c r="B213" s="139" t="s">
        <v>236</v>
      </c>
      <c r="C213" s="139" t="s">
        <v>126</v>
      </c>
      <c r="D213" s="139" t="s">
        <v>237</v>
      </c>
      <c r="E213" s="155">
        <v>1</v>
      </c>
      <c r="F213" s="140" t="s">
        <v>33</v>
      </c>
    </row>
    <row r="214" spans="1:6">
      <c r="A214" s="139" t="s">
        <v>281</v>
      </c>
      <c r="B214" s="139" t="s">
        <v>236</v>
      </c>
      <c r="C214" s="139" t="s">
        <v>145</v>
      </c>
      <c r="D214" s="139" t="s">
        <v>237</v>
      </c>
      <c r="E214" s="155">
        <v>1</v>
      </c>
      <c r="F214" s="140" t="s">
        <v>33</v>
      </c>
    </row>
    <row r="215" spans="1:6">
      <c r="A215" s="139" t="s">
        <v>281</v>
      </c>
      <c r="B215" s="139" t="s">
        <v>238</v>
      </c>
      <c r="C215" s="139" t="s">
        <v>117</v>
      </c>
      <c r="D215" s="139" t="s">
        <v>239</v>
      </c>
      <c r="E215" s="155">
        <v>1</v>
      </c>
      <c r="F215" s="140" t="s">
        <v>33</v>
      </c>
    </row>
    <row r="216" spans="1:6">
      <c r="A216" s="139" t="s">
        <v>281</v>
      </c>
      <c r="B216" s="139" t="s">
        <v>257</v>
      </c>
      <c r="C216" s="139" t="s">
        <v>118</v>
      </c>
      <c r="D216" s="139" t="s">
        <v>258</v>
      </c>
      <c r="E216" s="155">
        <v>1</v>
      </c>
      <c r="F216" s="140" t="s">
        <v>33</v>
      </c>
    </row>
    <row r="217" spans="1:6">
      <c r="A217" s="139" t="s">
        <v>281</v>
      </c>
      <c r="B217" s="139" t="s">
        <v>257</v>
      </c>
      <c r="C217" s="139" t="s">
        <v>136</v>
      </c>
      <c r="D217" s="139" t="s">
        <v>258</v>
      </c>
      <c r="E217" s="155">
        <v>1</v>
      </c>
      <c r="F217" s="149" t="s">
        <v>37</v>
      </c>
    </row>
    <row r="218" spans="1:6">
      <c r="A218" s="139" t="s">
        <v>281</v>
      </c>
      <c r="B218" s="139" t="s">
        <v>257</v>
      </c>
      <c r="C218" s="139" t="s">
        <v>143</v>
      </c>
      <c r="D218" s="139" t="s">
        <v>258</v>
      </c>
      <c r="E218" s="155">
        <v>1</v>
      </c>
      <c r="F218" s="149" t="s">
        <v>37</v>
      </c>
    </row>
    <row r="219" spans="1:6">
      <c r="A219" s="139" t="s">
        <v>281</v>
      </c>
      <c r="B219" s="139" t="s">
        <v>282</v>
      </c>
      <c r="C219" s="139" t="s">
        <v>120</v>
      </c>
      <c r="D219" s="139" t="s">
        <v>283</v>
      </c>
      <c r="E219" s="155">
        <v>1</v>
      </c>
      <c r="F219" s="140" t="s">
        <v>33</v>
      </c>
    </row>
    <row r="220" spans="1:6">
      <c r="A220" s="139" t="s">
        <v>281</v>
      </c>
      <c r="B220" s="139" t="s">
        <v>274</v>
      </c>
      <c r="C220" s="139" t="s">
        <v>121</v>
      </c>
      <c r="D220" s="139" t="s">
        <v>275</v>
      </c>
      <c r="E220" s="155">
        <v>1</v>
      </c>
      <c r="F220" s="143" t="s">
        <v>42</v>
      </c>
    </row>
    <row r="221" spans="1:6">
      <c r="A221" s="139" t="s">
        <v>281</v>
      </c>
      <c r="B221" s="139" t="s">
        <v>274</v>
      </c>
      <c r="C221" s="139" t="s">
        <v>125</v>
      </c>
      <c r="D221" s="139" t="s">
        <v>275</v>
      </c>
      <c r="E221" s="155">
        <v>1</v>
      </c>
      <c r="F221" s="149" t="s">
        <v>37</v>
      </c>
    </row>
    <row r="222" spans="1:6">
      <c r="A222" s="139" t="s">
        <v>281</v>
      </c>
      <c r="B222" s="139" t="s">
        <v>284</v>
      </c>
      <c r="C222" s="139" t="s">
        <v>146</v>
      </c>
      <c r="D222" s="139" t="s">
        <v>260</v>
      </c>
      <c r="E222" s="155">
        <v>1</v>
      </c>
      <c r="F222" s="143" t="s">
        <v>42</v>
      </c>
    </row>
    <row r="223" spans="1:6">
      <c r="A223" s="139" t="s">
        <v>281</v>
      </c>
      <c r="B223" s="139" t="s">
        <v>284</v>
      </c>
      <c r="C223" s="139" t="s">
        <v>148</v>
      </c>
      <c r="D223" s="139" t="s">
        <v>260</v>
      </c>
      <c r="E223" s="155">
        <v>1</v>
      </c>
      <c r="F223" s="149" t="s">
        <v>37</v>
      </c>
    </row>
    <row r="224" spans="1:6">
      <c r="A224" s="139" t="s">
        <v>281</v>
      </c>
      <c r="B224" s="139" t="s">
        <v>284</v>
      </c>
      <c r="C224" s="139" t="s">
        <v>153</v>
      </c>
      <c r="D224" s="139" t="s">
        <v>260</v>
      </c>
      <c r="E224" s="155">
        <v>1</v>
      </c>
      <c r="F224" s="143" t="s">
        <v>42</v>
      </c>
    </row>
    <row r="225" spans="1:6">
      <c r="A225" s="139" t="s">
        <v>281</v>
      </c>
      <c r="B225" s="139" t="s">
        <v>284</v>
      </c>
      <c r="C225" s="139" t="s">
        <v>157</v>
      </c>
      <c r="D225" s="139" t="s">
        <v>260</v>
      </c>
      <c r="E225" s="155">
        <v>1</v>
      </c>
      <c r="F225" s="144"/>
    </row>
    <row r="226" spans="1:6">
      <c r="A226" s="139" t="s">
        <v>281</v>
      </c>
      <c r="B226" s="139" t="s">
        <v>284</v>
      </c>
      <c r="C226" s="139" t="s">
        <v>163</v>
      </c>
      <c r="D226" s="139" t="s">
        <v>260</v>
      </c>
      <c r="E226" s="155">
        <v>1</v>
      </c>
      <c r="F226" s="140" t="s">
        <v>33</v>
      </c>
    </row>
    <row r="227" spans="1:6">
      <c r="A227" s="139" t="s">
        <v>281</v>
      </c>
      <c r="B227" s="139" t="s">
        <v>242</v>
      </c>
      <c r="C227" s="139" t="s">
        <v>170</v>
      </c>
      <c r="D227" s="139" t="s">
        <v>244</v>
      </c>
      <c r="E227" s="155">
        <v>1</v>
      </c>
      <c r="F227" s="142" t="s">
        <v>27</v>
      </c>
    </row>
    <row r="228" spans="1:6">
      <c r="A228" s="139" t="s">
        <v>281</v>
      </c>
      <c r="B228" s="139" t="s">
        <v>242</v>
      </c>
      <c r="C228" s="139" t="s">
        <v>172</v>
      </c>
      <c r="D228" s="139" t="s">
        <v>244</v>
      </c>
      <c r="E228" s="155">
        <v>1</v>
      </c>
      <c r="F228" s="143" t="s">
        <v>42</v>
      </c>
    </row>
    <row r="229" spans="1:6">
      <c r="A229" s="139" t="s">
        <v>281</v>
      </c>
      <c r="B229" s="139" t="s">
        <v>267</v>
      </c>
      <c r="C229" s="139" t="s">
        <v>171</v>
      </c>
      <c r="D229" s="139" t="s">
        <v>268</v>
      </c>
      <c r="E229" s="155">
        <v>1</v>
      </c>
      <c r="F229" s="140" t="s">
        <v>33</v>
      </c>
    </row>
    <row r="230" spans="1:6">
      <c r="A230" s="139" t="s">
        <v>281</v>
      </c>
      <c r="B230" s="139" t="s">
        <v>269</v>
      </c>
      <c r="C230" s="139" t="s">
        <v>162</v>
      </c>
      <c r="D230" s="139" t="s">
        <v>270</v>
      </c>
      <c r="E230" s="155">
        <v>2</v>
      </c>
      <c r="F230" s="140" t="s">
        <v>33</v>
      </c>
    </row>
    <row r="231" spans="1:6">
      <c r="A231" s="139" t="s">
        <v>281</v>
      </c>
      <c r="B231" s="139" t="s">
        <v>246</v>
      </c>
      <c r="C231" s="139" t="s">
        <v>98</v>
      </c>
      <c r="D231" s="139" t="s">
        <v>247</v>
      </c>
      <c r="E231" s="155">
        <v>1</v>
      </c>
      <c r="F231" s="143" t="s">
        <v>42</v>
      </c>
    </row>
    <row r="232" spans="1:6">
      <c r="A232" s="139" t="s">
        <v>281</v>
      </c>
      <c r="B232" s="139" t="s">
        <v>246</v>
      </c>
      <c r="C232" s="139" t="s">
        <v>175</v>
      </c>
      <c r="D232" s="139" t="s">
        <v>247</v>
      </c>
      <c r="E232" s="155">
        <v>1</v>
      </c>
      <c r="F232" s="140" t="s">
        <v>33</v>
      </c>
    </row>
    <row r="233" spans="1:6">
      <c r="A233" s="139" t="s">
        <v>281</v>
      </c>
      <c r="B233" s="139" t="s">
        <v>248</v>
      </c>
      <c r="C233" s="139" t="s">
        <v>176</v>
      </c>
      <c r="D233" s="139" t="s">
        <v>285</v>
      </c>
      <c r="E233" s="155">
        <v>2</v>
      </c>
      <c r="F233" s="143" t="s">
        <v>42</v>
      </c>
    </row>
    <row r="234" spans="1:6">
      <c r="A234" s="139" t="s">
        <v>281</v>
      </c>
      <c r="B234" s="139" t="s">
        <v>248</v>
      </c>
      <c r="C234" s="139" t="s">
        <v>178</v>
      </c>
      <c r="D234" s="139" t="s">
        <v>249</v>
      </c>
      <c r="E234" s="155">
        <v>1</v>
      </c>
      <c r="F234" s="145" t="s">
        <v>35</v>
      </c>
    </row>
    <row r="235" spans="1:6">
      <c r="A235" s="139" t="s">
        <v>281</v>
      </c>
      <c r="B235" s="139" t="s">
        <v>248</v>
      </c>
      <c r="C235" s="139" t="s">
        <v>179</v>
      </c>
      <c r="D235" s="139" t="s">
        <v>249</v>
      </c>
      <c r="E235" s="155">
        <v>1</v>
      </c>
      <c r="F235" s="149" t="s">
        <v>37</v>
      </c>
    </row>
    <row r="236" spans="1:6">
      <c r="A236" s="139" t="s">
        <v>281</v>
      </c>
      <c r="B236" s="139" t="s">
        <v>248</v>
      </c>
      <c r="C236" s="139" t="s">
        <v>180</v>
      </c>
      <c r="D236" s="139" t="s">
        <v>249</v>
      </c>
      <c r="E236" s="155">
        <v>1</v>
      </c>
      <c r="F236" s="149" t="s">
        <v>37</v>
      </c>
    </row>
    <row r="237" spans="1:6">
      <c r="A237" s="139" t="s">
        <v>281</v>
      </c>
      <c r="B237" s="139" t="s">
        <v>248</v>
      </c>
      <c r="C237" s="139" t="s">
        <v>181</v>
      </c>
      <c r="D237" s="139" t="s">
        <v>249</v>
      </c>
      <c r="E237" s="155">
        <v>1</v>
      </c>
      <c r="F237" s="140" t="s">
        <v>33</v>
      </c>
    </row>
    <row r="238" spans="1:6">
      <c r="A238" s="139" t="s">
        <v>281</v>
      </c>
      <c r="B238" s="139" t="s">
        <v>248</v>
      </c>
      <c r="C238" s="139" t="s">
        <v>185</v>
      </c>
      <c r="D238" s="139" t="s">
        <v>249</v>
      </c>
      <c r="E238" s="155">
        <v>1</v>
      </c>
      <c r="F238" s="149" t="s">
        <v>37</v>
      </c>
    </row>
    <row r="239" spans="1:6">
      <c r="A239" s="139" t="s">
        <v>281</v>
      </c>
      <c r="B239" s="139" t="s">
        <v>250</v>
      </c>
      <c r="C239" s="139" t="s">
        <v>177</v>
      </c>
      <c r="D239" s="139" t="s">
        <v>251</v>
      </c>
      <c r="E239" s="155">
        <v>1</v>
      </c>
      <c r="F239" s="149" t="s">
        <v>37</v>
      </c>
    </row>
  </sheetData>
  <autoFilter ref="A1:F1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7"/>
  <sheetViews>
    <sheetView topLeftCell="B1" zoomScale="85" zoomScaleNormal="85" workbookViewId="0">
      <selection activeCell="H104" sqref="H104"/>
    </sheetView>
  </sheetViews>
  <sheetFormatPr defaultColWidth="8.6640625" defaultRowHeight="14.4"/>
  <cols>
    <col min="2" max="2" width="22" style="150" customWidth="1"/>
    <col min="3" max="3" width="7" style="150" customWidth="1"/>
    <col min="4" max="4" width="9" style="150" customWidth="1"/>
    <col min="5" max="5" width="22" style="150" customWidth="1"/>
    <col min="6" max="6" width="7" style="150" customWidth="1"/>
    <col min="7" max="7" width="9" style="150" customWidth="1"/>
    <col min="8" max="8" width="22" style="150" customWidth="1"/>
    <col min="9" max="9" width="7" style="150" customWidth="1"/>
    <col min="10" max="10" width="9" style="150" customWidth="1"/>
    <col min="11" max="11" width="22" style="150" customWidth="1"/>
    <col min="12" max="12" width="9.109375" style="150" customWidth="1"/>
    <col min="13" max="13" width="9" style="150" customWidth="1"/>
    <col min="14" max="14" width="22" style="150" customWidth="1"/>
    <col min="15" max="15" width="8.44140625" style="150" customWidth="1"/>
    <col min="16" max="16" width="9" style="150" customWidth="1"/>
    <col min="17" max="17" width="22" style="150" customWidth="1"/>
    <col min="18" max="18" width="7" style="150" customWidth="1"/>
    <col min="19" max="19" width="9" style="150" customWidth="1"/>
    <col min="20" max="20" width="22" style="150" customWidth="1"/>
    <col min="21" max="21" width="7" style="150" customWidth="1"/>
    <col min="22" max="22" width="9" style="150" customWidth="1"/>
  </cols>
  <sheetData>
    <row r="1" spans="2:22" ht="21.75" customHeight="1">
      <c r="B1" s="1" t="s">
        <v>0</v>
      </c>
      <c r="C1" s="2">
        <v>8</v>
      </c>
      <c r="D1" s="159" t="s">
        <v>1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2:22" ht="15.75" customHeight="1" thickBot="1"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3</v>
      </c>
      <c r="J2" s="3" t="s">
        <v>4</v>
      </c>
      <c r="K2" s="3" t="s">
        <v>2</v>
      </c>
      <c r="L2" s="3" t="s">
        <v>3</v>
      </c>
      <c r="M2" s="3" t="s">
        <v>4</v>
      </c>
      <c r="N2" s="3" t="s">
        <v>2</v>
      </c>
      <c r="O2" s="3" t="s">
        <v>3</v>
      </c>
      <c r="P2" s="3" t="s">
        <v>4</v>
      </c>
      <c r="Q2" s="3" t="s">
        <v>2</v>
      </c>
      <c r="R2" s="3" t="s">
        <v>3</v>
      </c>
      <c r="S2" s="3" t="s">
        <v>4</v>
      </c>
      <c r="T2" s="3" t="s">
        <v>2</v>
      </c>
      <c r="U2" s="3" t="s">
        <v>3</v>
      </c>
      <c r="V2" s="3" t="s">
        <v>4</v>
      </c>
    </row>
    <row r="3" spans="2:22" ht="15.75" customHeight="1">
      <c r="B3" s="4" t="str">
        <f>IF(1&lt;=DAY(EOMONTH(DATE(2026,$C$1,1),0)),$C$1&amp;"월 1일","")</f>
        <v>8월 1일</v>
      </c>
      <c r="C3" s="5"/>
      <c r="D3" s="6"/>
      <c r="E3" s="4" t="str">
        <f>IF(2&lt;=DAY(EOMONTH(DATE(2026,$C$1,1),0)),$C$1&amp;"월 2일","")</f>
        <v>8월 2일</v>
      </c>
      <c r="F3" s="5"/>
      <c r="G3" s="6"/>
      <c r="H3" s="4" t="str">
        <f>IF(3&lt;=DAY(EOMONTH(DATE(2026,$C$1,1),0)),$C$1&amp;"월 3일","")</f>
        <v>8월 3일</v>
      </c>
      <c r="I3" s="5"/>
      <c r="J3" s="6"/>
      <c r="K3" s="4" t="str">
        <f>IF(4&lt;=DAY(EOMONTH(DATE(2026,$C$1,1),0)),$C$1&amp;"월 4일","")</f>
        <v>8월 4일</v>
      </c>
      <c r="L3" s="5"/>
      <c r="M3" s="6"/>
      <c r="N3" s="4" t="str">
        <f>IF(5&lt;=DAY(EOMONTH(DATE(2026,$C$1,1),0)),$C$1&amp;"월 5일","")</f>
        <v>8월 5일</v>
      </c>
      <c r="O3" s="5"/>
      <c r="P3" s="6"/>
      <c r="Q3" s="4" t="str">
        <f>IF(6&lt;=DAY(EOMONTH(DATE(2026,$C$1,1),0)),$C$1&amp;"월 6일","")</f>
        <v>8월 6일</v>
      </c>
      <c r="R3" s="5"/>
      <c r="S3" s="6"/>
      <c r="T3" s="4" t="str">
        <f>IF(7&lt;=DAY(EOMONTH(DATE(2026,$C$1,1),0)),$C$1&amp;"월 7일","")</f>
        <v>8월 7일</v>
      </c>
      <c r="U3" s="5"/>
      <c r="V3" s="6"/>
    </row>
    <row r="4" spans="2:22" ht="15.75" customHeight="1">
      <c r="B4" s="120" t="s">
        <v>286</v>
      </c>
      <c r="C4" s="8">
        <v>0.125</v>
      </c>
      <c r="D4" s="9" t="s">
        <v>33</v>
      </c>
      <c r="E4" s="7" t="s">
        <v>287</v>
      </c>
      <c r="F4" s="8">
        <v>3.85E-2</v>
      </c>
      <c r="G4" s="9" t="s">
        <v>33</v>
      </c>
      <c r="H4" s="120" t="s">
        <v>83</v>
      </c>
      <c r="I4" s="8">
        <v>2.5000000000000001E-2</v>
      </c>
      <c r="J4" s="9" t="s">
        <v>42</v>
      </c>
      <c r="K4" s="10" t="s">
        <v>83</v>
      </c>
      <c r="L4" s="8">
        <v>4.3499999999999997E-2</v>
      </c>
      <c r="M4" s="9" t="s">
        <v>42</v>
      </c>
      <c r="N4" s="120" t="s">
        <v>147</v>
      </c>
      <c r="O4" s="8">
        <v>0.16669999999999999</v>
      </c>
      <c r="P4" s="9" t="s">
        <v>33</v>
      </c>
      <c r="Q4" s="120" t="s">
        <v>147</v>
      </c>
      <c r="R4" s="11">
        <v>0.16070000000000001</v>
      </c>
      <c r="S4" s="9" t="s">
        <v>33</v>
      </c>
      <c r="T4" s="10" t="s">
        <v>30</v>
      </c>
      <c r="U4" s="8">
        <v>7.4999999999999997E-2</v>
      </c>
      <c r="V4" s="9" t="s">
        <v>37</v>
      </c>
    </row>
    <row r="5" spans="2:22" ht="15.75" customHeight="1">
      <c r="B5" s="120" t="s">
        <v>288</v>
      </c>
      <c r="C5" s="8">
        <v>0.125</v>
      </c>
      <c r="D5" s="9" t="s">
        <v>33</v>
      </c>
      <c r="E5" s="120" t="s">
        <v>289</v>
      </c>
      <c r="F5" s="8">
        <v>3.85E-2</v>
      </c>
      <c r="G5" s="9" t="s">
        <v>33</v>
      </c>
      <c r="H5" s="120" t="s">
        <v>290</v>
      </c>
      <c r="I5" s="8">
        <v>1.2500000000000001E-2</v>
      </c>
      <c r="J5" s="9" t="s">
        <v>27</v>
      </c>
      <c r="K5" s="120" t="s">
        <v>30</v>
      </c>
      <c r="L5" s="8">
        <v>2.1700000000000001E-2</v>
      </c>
      <c r="M5" s="9" t="s">
        <v>37</v>
      </c>
      <c r="N5" s="120" t="s">
        <v>66</v>
      </c>
      <c r="O5" s="8">
        <v>3.6999999999999998E-2</v>
      </c>
      <c r="P5" s="9" t="s">
        <v>33</v>
      </c>
      <c r="Q5" s="7" t="s">
        <v>291</v>
      </c>
      <c r="R5" s="11">
        <v>7.1400000000000005E-2</v>
      </c>
      <c r="S5" s="9" t="s">
        <v>37</v>
      </c>
      <c r="T5" s="10" t="s">
        <v>292</v>
      </c>
      <c r="U5" s="8">
        <v>2.5000000000000001E-2</v>
      </c>
      <c r="V5" s="9" t="s">
        <v>27</v>
      </c>
    </row>
    <row r="6" spans="2:22" ht="15.75" customHeight="1">
      <c r="B6" s="120" t="s">
        <v>293</v>
      </c>
      <c r="C6" s="8">
        <v>0.125</v>
      </c>
      <c r="D6" s="9" t="s">
        <v>33</v>
      </c>
      <c r="E6" s="120" t="s">
        <v>128</v>
      </c>
      <c r="F6" s="8">
        <v>3.85E-2</v>
      </c>
      <c r="G6" s="9" t="s">
        <v>42</v>
      </c>
      <c r="H6" s="120" t="s">
        <v>166</v>
      </c>
      <c r="I6" s="8">
        <v>1.2500000000000001E-2</v>
      </c>
      <c r="J6" s="9" t="s">
        <v>33</v>
      </c>
      <c r="K6" s="120" t="s">
        <v>294</v>
      </c>
      <c r="L6" s="8">
        <v>2.1700000000000001E-2</v>
      </c>
      <c r="M6" s="9" t="s">
        <v>33</v>
      </c>
      <c r="N6" s="7" t="s">
        <v>295</v>
      </c>
      <c r="O6" s="8">
        <v>1.8499999999999999E-2</v>
      </c>
      <c r="P6" s="9" t="s">
        <v>37</v>
      </c>
      <c r="Q6" s="120" t="s">
        <v>66</v>
      </c>
      <c r="R6" s="11">
        <v>3.5700000000000003E-2</v>
      </c>
      <c r="S6" s="9" t="s">
        <v>33</v>
      </c>
      <c r="T6" s="10" t="s">
        <v>296</v>
      </c>
      <c r="U6" s="8">
        <v>2.5000000000000001E-2</v>
      </c>
      <c r="V6" s="9" t="s">
        <v>42</v>
      </c>
    </row>
    <row r="7" spans="2:22" ht="15.75" customHeight="1">
      <c r="B7" s="10" t="s">
        <v>69</v>
      </c>
      <c r="C7" s="8">
        <v>0.125</v>
      </c>
      <c r="D7" s="9" t="s">
        <v>42</v>
      </c>
      <c r="E7" s="10" t="s">
        <v>297</v>
      </c>
      <c r="F7" s="8">
        <v>3.85E-2</v>
      </c>
      <c r="G7" s="9" t="s">
        <v>33</v>
      </c>
      <c r="H7" s="120" t="s">
        <v>137</v>
      </c>
      <c r="I7" s="8">
        <v>1.2500000000000001E-2</v>
      </c>
      <c r="J7" s="9" t="s">
        <v>42</v>
      </c>
      <c r="K7" s="120" t="s">
        <v>298</v>
      </c>
      <c r="L7" s="8">
        <v>2.1700000000000001E-2</v>
      </c>
      <c r="M7" s="9" t="s">
        <v>42</v>
      </c>
      <c r="N7" s="120" t="s">
        <v>299</v>
      </c>
      <c r="O7" s="8">
        <v>1.8499999999999999E-2</v>
      </c>
      <c r="P7" s="9" t="s">
        <v>27</v>
      </c>
      <c r="Q7" s="120" t="s">
        <v>300</v>
      </c>
      <c r="R7" s="11">
        <v>1.7899999999999999E-2</v>
      </c>
      <c r="S7" s="9" t="s">
        <v>33</v>
      </c>
      <c r="T7" s="10" t="s">
        <v>301</v>
      </c>
      <c r="U7" s="8">
        <v>2.5000000000000001E-2</v>
      </c>
      <c r="V7" s="9" t="s">
        <v>42</v>
      </c>
    </row>
    <row r="8" spans="2:22" ht="15.75" customHeight="1">
      <c r="B8" s="120" t="s">
        <v>302</v>
      </c>
      <c r="C8" s="8">
        <v>0.125</v>
      </c>
      <c r="D8" s="9" t="s">
        <v>42</v>
      </c>
      <c r="E8" s="10" t="s">
        <v>30</v>
      </c>
      <c r="F8" s="8">
        <v>3.85E-2</v>
      </c>
      <c r="G8" s="9" t="s">
        <v>37</v>
      </c>
      <c r="H8" s="10" t="s">
        <v>303</v>
      </c>
      <c r="I8" s="8">
        <v>1.2500000000000001E-2</v>
      </c>
      <c r="J8" s="9" t="s">
        <v>42</v>
      </c>
      <c r="K8" s="120" t="s">
        <v>304</v>
      </c>
      <c r="L8" s="8">
        <v>2.1700000000000001E-2</v>
      </c>
      <c r="M8" s="9" t="s">
        <v>42</v>
      </c>
      <c r="N8" s="120" t="s">
        <v>305</v>
      </c>
      <c r="O8" s="8">
        <v>1.8499999999999999E-2</v>
      </c>
      <c r="P8" s="9" t="s">
        <v>42</v>
      </c>
      <c r="Q8" s="120" t="s">
        <v>306</v>
      </c>
      <c r="R8" s="11">
        <v>1.7899999999999999E-2</v>
      </c>
      <c r="S8" s="9" t="s">
        <v>42</v>
      </c>
      <c r="T8" s="10" t="s">
        <v>307</v>
      </c>
      <c r="U8" s="8">
        <v>2.5000000000000001E-2</v>
      </c>
      <c r="V8" s="9" t="s">
        <v>33</v>
      </c>
    </row>
    <row r="9" spans="2:22" ht="15.75" customHeight="1">
      <c r="B9" s="120" t="s">
        <v>298</v>
      </c>
      <c r="C9" s="8">
        <v>0.125</v>
      </c>
      <c r="D9" s="9" t="s">
        <v>42</v>
      </c>
      <c r="E9" s="120" t="s">
        <v>308</v>
      </c>
      <c r="F9" s="8">
        <v>3.85E-2</v>
      </c>
      <c r="G9" s="9" t="s">
        <v>42</v>
      </c>
      <c r="H9" s="120" t="s">
        <v>144</v>
      </c>
      <c r="I9" s="8">
        <v>1.2500000000000001E-2</v>
      </c>
      <c r="J9" s="9" t="s">
        <v>42</v>
      </c>
      <c r="K9" s="120" t="s">
        <v>309</v>
      </c>
      <c r="L9" s="8">
        <v>2.1700000000000001E-2</v>
      </c>
      <c r="M9" s="9" t="s">
        <v>37</v>
      </c>
      <c r="N9" s="120" t="s">
        <v>289</v>
      </c>
      <c r="O9" s="8">
        <v>1.8499999999999999E-2</v>
      </c>
      <c r="P9" s="9" t="s">
        <v>33</v>
      </c>
      <c r="Q9" s="120" t="s">
        <v>147</v>
      </c>
      <c r="R9" s="11">
        <v>0.1429</v>
      </c>
      <c r="S9" s="9" t="s">
        <v>33</v>
      </c>
      <c r="T9" s="10" t="s">
        <v>310</v>
      </c>
      <c r="U9" s="8">
        <v>2.5000000000000001E-2</v>
      </c>
      <c r="V9" s="9" t="s">
        <v>33</v>
      </c>
    </row>
    <row r="10" spans="2:22" ht="15.75" customHeight="1">
      <c r="B10" s="7"/>
      <c r="C10" s="8"/>
      <c r="D10" s="9"/>
      <c r="E10" s="120" t="s">
        <v>311</v>
      </c>
      <c r="F10" s="8">
        <v>3.85E-2</v>
      </c>
      <c r="G10" s="9" t="s">
        <v>33</v>
      </c>
      <c r="H10" s="120" t="s">
        <v>83</v>
      </c>
      <c r="I10" s="8">
        <v>1.2500000000000001E-2</v>
      </c>
      <c r="J10" s="9" t="s">
        <v>42</v>
      </c>
      <c r="K10" s="120" t="s">
        <v>308</v>
      </c>
      <c r="L10" s="8">
        <v>2.1700000000000001E-2</v>
      </c>
      <c r="M10" s="9" t="s">
        <v>42</v>
      </c>
      <c r="N10" s="10" t="s">
        <v>312</v>
      </c>
      <c r="O10" s="8">
        <v>1.8499999999999999E-2</v>
      </c>
      <c r="P10" s="9" t="s">
        <v>33</v>
      </c>
      <c r="Q10" s="120" t="s">
        <v>66</v>
      </c>
      <c r="R10" s="11">
        <v>5.3600000000000002E-2</v>
      </c>
      <c r="S10" s="9" t="s">
        <v>33</v>
      </c>
      <c r="T10" s="10" t="s">
        <v>62</v>
      </c>
      <c r="U10" s="8">
        <v>2.5000000000000001E-2</v>
      </c>
      <c r="V10" s="9" t="s">
        <v>42</v>
      </c>
    </row>
    <row r="11" spans="2:22" ht="15.75" customHeight="1">
      <c r="B11" s="7"/>
      <c r="C11" s="8"/>
      <c r="D11" s="9"/>
      <c r="E11" s="120" t="s">
        <v>313</v>
      </c>
      <c r="F11" s="8">
        <v>3.85E-2</v>
      </c>
      <c r="G11" s="9"/>
      <c r="H11" s="120" t="s">
        <v>298</v>
      </c>
      <c r="I11" s="8">
        <v>1.2500000000000001E-2</v>
      </c>
      <c r="J11" s="9" t="s">
        <v>42</v>
      </c>
      <c r="K11" s="10" t="s">
        <v>48</v>
      </c>
      <c r="L11" s="8">
        <v>4.3499999999999997E-2</v>
      </c>
      <c r="M11" s="9" t="s">
        <v>27</v>
      </c>
      <c r="N11" s="10" t="s">
        <v>314</v>
      </c>
      <c r="O11" s="8">
        <v>1.8499999999999999E-2</v>
      </c>
      <c r="P11" s="9" t="s">
        <v>27</v>
      </c>
      <c r="Q11" s="120" t="s">
        <v>315</v>
      </c>
      <c r="R11" s="8">
        <v>1.7899999999999999E-2</v>
      </c>
      <c r="S11" s="9" t="s">
        <v>33</v>
      </c>
      <c r="T11" s="10" t="s">
        <v>316</v>
      </c>
      <c r="U11" s="8">
        <v>2.5000000000000001E-2</v>
      </c>
      <c r="V11" s="9" t="s">
        <v>37</v>
      </c>
    </row>
    <row r="12" spans="2:22" ht="15.75" customHeight="1">
      <c r="B12" s="7"/>
      <c r="C12" s="8"/>
      <c r="D12" s="9"/>
      <c r="E12" s="120" t="s">
        <v>317</v>
      </c>
      <c r="F12" s="8">
        <v>3.85E-2</v>
      </c>
      <c r="G12" s="9"/>
      <c r="H12" s="10" t="s">
        <v>318</v>
      </c>
      <c r="I12" s="8">
        <v>1.2500000000000001E-2</v>
      </c>
      <c r="J12" s="9" t="s">
        <v>42</v>
      </c>
      <c r="K12" s="10"/>
      <c r="L12" s="8"/>
      <c r="M12" s="9"/>
      <c r="N12" s="10" t="s">
        <v>66</v>
      </c>
      <c r="O12" s="8">
        <v>1.8499999999999999E-2</v>
      </c>
      <c r="P12" s="9" t="s">
        <v>33</v>
      </c>
      <c r="Q12" s="120" t="s">
        <v>319</v>
      </c>
      <c r="R12" s="8">
        <v>1.7899999999999999E-2</v>
      </c>
      <c r="S12" s="9" t="s">
        <v>42</v>
      </c>
      <c r="T12" s="10" t="s">
        <v>147</v>
      </c>
      <c r="U12" s="8">
        <v>2.5000000000000001E-2</v>
      </c>
      <c r="V12" s="9" t="s">
        <v>33</v>
      </c>
    </row>
    <row r="13" spans="2:22" ht="15.75" customHeight="1">
      <c r="B13" s="7"/>
      <c r="C13" s="8"/>
      <c r="D13" s="9"/>
      <c r="E13" s="10"/>
      <c r="F13" s="8"/>
      <c r="G13" s="9"/>
      <c r="H13" s="120" t="s">
        <v>320</v>
      </c>
      <c r="I13" s="8">
        <v>1.2500000000000001E-2</v>
      </c>
      <c r="J13" s="9" t="s">
        <v>37</v>
      </c>
      <c r="K13" s="10"/>
      <c r="L13" s="8"/>
      <c r="M13" s="9"/>
      <c r="N13" s="10" t="s">
        <v>41</v>
      </c>
      <c r="O13" s="8">
        <v>1.8499999999999999E-2</v>
      </c>
      <c r="P13" s="9" t="s">
        <v>42</v>
      </c>
      <c r="Q13" s="120" t="s">
        <v>321</v>
      </c>
      <c r="R13" s="8">
        <v>1.7899999999999999E-2</v>
      </c>
      <c r="S13" s="9" t="s">
        <v>42</v>
      </c>
      <c r="T13" s="10" t="s">
        <v>322</v>
      </c>
      <c r="U13" s="8">
        <v>2.5000000000000001E-2</v>
      </c>
      <c r="V13" s="9" t="s">
        <v>33</v>
      </c>
    </row>
    <row r="14" spans="2:22" ht="15.75" customHeight="1">
      <c r="B14" s="7"/>
      <c r="C14" s="8"/>
      <c r="D14" s="9"/>
      <c r="E14" s="7"/>
      <c r="F14" s="8"/>
      <c r="G14" s="9"/>
      <c r="H14" s="10" t="s">
        <v>323</v>
      </c>
      <c r="I14" s="8">
        <v>1.2500000000000001E-2</v>
      </c>
      <c r="J14" s="9" t="s">
        <v>42</v>
      </c>
      <c r="K14" s="10"/>
      <c r="L14" s="8"/>
      <c r="M14" s="9"/>
      <c r="N14" s="10" t="s">
        <v>324</v>
      </c>
      <c r="O14" s="8">
        <v>1.8499999999999999E-2</v>
      </c>
      <c r="P14" s="9" t="s">
        <v>42</v>
      </c>
      <c r="Q14" s="7"/>
      <c r="R14" s="8"/>
      <c r="S14" s="9"/>
      <c r="T14" s="10"/>
      <c r="U14" s="8"/>
      <c r="V14" s="9"/>
    </row>
    <row r="15" spans="2:22" ht="15.75" customHeight="1">
      <c r="B15" s="7"/>
      <c r="C15" s="8"/>
      <c r="D15" s="9"/>
      <c r="E15" s="7"/>
      <c r="F15" s="8"/>
      <c r="G15" s="9"/>
      <c r="H15" s="10" t="s">
        <v>62</v>
      </c>
      <c r="I15" s="8">
        <v>1.2500000000000001E-2</v>
      </c>
      <c r="J15" s="9" t="s">
        <v>42</v>
      </c>
      <c r="K15" s="10"/>
      <c r="L15" s="8"/>
      <c r="M15" s="9"/>
      <c r="N15" s="10" t="s">
        <v>325</v>
      </c>
      <c r="O15" s="8">
        <v>1.8499999999999999E-2</v>
      </c>
      <c r="P15" s="9" t="s">
        <v>33</v>
      </c>
      <c r="Q15" s="7"/>
      <c r="R15" s="8"/>
      <c r="S15" s="9"/>
      <c r="T15" s="10"/>
      <c r="U15" s="12"/>
      <c r="V15" s="9"/>
    </row>
    <row r="16" spans="2:22" ht="15.75" customHeight="1">
      <c r="B16" s="7"/>
      <c r="C16" s="8"/>
      <c r="D16" s="9"/>
      <c r="E16" s="10"/>
      <c r="F16" s="8"/>
      <c r="G16" s="9"/>
      <c r="H16" s="10"/>
      <c r="I16" s="12"/>
      <c r="J16" s="9"/>
      <c r="K16" s="10"/>
      <c r="L16" s="8"/>
      <c r="M16" s="9"/>
      <c r="N16" s="10" t="s">
        <v>186</v>
      </c>
      <c r="O16" s="8">
        <v>1.8499999999999999E-2</v>
      </c>
      <c r="P16" s="9" t="s">
        <v>42</v>
      </c>
      <c r="Q16" s="7"/>
      <c r="R16" s="8"/>
      <c r="S16" s="9"/>
      <c r="T16" s="10"/>
      <c r="U16" s="12"/>
      <c r="V16" s="9"/>
    </row>
    <row r="17" spans="2:22" ht="15.75" customHeight="1">
      <c r="B17" s="7"/>
      <c r="C17" s="8"/>
      <c r="D17" s="9"/>
      <c r="E17" s="10"/>
      <c r="F17" s="8"/>
      <c r="G17" s="9"/>
      <c r="H17" s="10"/>
      <c r="I17" s="12"/>
      <c r="J17" s="9"/>
      <c r="K17" s="10"/>
      <c r="L17" s="8"/>
      <c r="M17" s="9"/>
      <c r="N17" s="10" t="s">
        <v>48</v>
      </c>
      <c r="O17" s="8">
        <v>1.8499999999999999E-2</v>
      </c>
      <c r="P17" s="9" t="s">
        <v>27</v>
      </c>
      <c r="Q17" s="7"/>
      <c r="R17" s="8"/>
      <c r="S17" s="9"/>
      <c r="T17" s="10"/>
      <c r="U17" s="12"/>
      <c r="V17" s="9"/>
    </row>
    <row r="18" spans="2:22" ht="15.75" customHeight="1">
      <c r="B18" s="7"/>
      <c r="C18" s="8"/>
      <c r="D18" s="9"/>
      <c r="E18" s="10"/>
      <c r="F18" s="8"/>
      <c r="G18" s="9"/>
      <c r="H18" s="10"/>
      <c r="I18" s="12"/>
      <c r="J18" s="9"/>
      <c r="K18" s="10"/>
      <c r="L18" s="12"/>
      <c r="M18" s="9"/>
      <c r="N18" s="10"/>
      <c r="O18" s="8"/>
      <c r="P18" s="9"/>
      <c r="Q18" s="7"/>
      <c r="R18" s="8"/>
      <c r="S18" s="9"/>
      <c r="T18" s="10"/>
      <c r="U18" s="12"/>
      <c r="V18" s="9"/>
    </row>
    <row r="19" spans="2:22" ht="15.75" customHeight="1">
      <c r="B19" s="10"/>
      <c r="C19" s="12"/>
      <c r="D19" s="9"/>
      <c r="E19" s="10"/>
      <c r="F19" s="8"/>
      <c r="G19" s="9"/>
      <c r="H19" s="10"/>
      <c r="I19" s="12"/>
      <c r="J19" s="9"/>
      <c r="K19" s="10"/>
      <c r="L19" s="12"/>
      <c r="M19" s="9"/>
      <c r="N19" s="10"/>
      <c r="O19" s="8"/>
      <c r="P19" s="9"/>
      <c r="Q19" s="7"/>
      <c r="R19" s="8"/>
      <c r="S19" s="9"/>
      <c r="T19" s="10"/>
      <c r="U19" s="12"/>
      <c r="V19" s="9"/>
    </row>
    <row r="20" spans="2:22" ht="15.75" customHeight="1">
      <c r="B20" s="10"/>
      <c r="C20" s="12"/>
      <c r="D20" s="9"/>
      <c r="E20" s="10"/>
      <c r="F20" s="8"/>
      <c r="G20" s="9"/>
      <c r="H20" s="10"/>
      <c r="I20" s="12"/>
      <c r="J20" s="9"/>
      <c r="K20" s="10"/>
      <c r="L20" s="12"/>
      <c r="M20" s="9"/>
      <c r="N20" s="10"/>
      <c r="O20" s="8"/>
      <c r="P20" s="9"/>
      <c r="Q20" s="7"/>
      <c r="R20" s="8"/>
      <c r="S20" s="9"/>
      <c r="T20" s="10"/>
      <c r="U20" s="12"/>
      <c r="V20" s="9"/>
    </row>
    <row r="21" spans="2:22" ht="15.75" customHeight="1">
      <c r="B21" s="10"/>
      <c r="C21" s="12"/>
      <c r="D21" s="9"/>
      <c r="E21" s="10"/>
      <c r="F21" s="8"/>
      <c r="G21" s="9"/>
      <c r="H21" s="10"/>
      <c r="I21" s="12"/>
      <c r="J21" s="9"/>
      <c r="K21" s="10"/>
      <c r="L21" s="12"/>
      <c r="M21" s="9"/>
      <c r="N21" s="10"/>
      <c r="O21" s="12"/>
      <c r="P21" s="9"/>
      <c r="Q21" s="7"/>
      <c r="R21" s="8"/>
      <c r="S21" s="9"/>
      <c r="T21" s="10"/>
      <c r="U21" s="12"/>
      <c r="V21" s="9"/>
    </row>
    <row r="22" spans="2:22" ht="15.75" customHeight="1">
      <c r="B22" s="10"/>
      <c r="C22" s="12"/>
      <c r="D22" s="9"/>
      <c r="E22" s="10"/>
      <c r="F22" s="8"/>
      <c r="G22" s="9"/>
      <c r="H22" s="10"/>
      <c r="I22" s="12"/>
      <c r="J22" s="9"/>
      <c r="K22" s="10"/>
      <c r="L22" s="12"/>
      <c r="M22" s="9"/>
      <c r="N22" s="10"/>
      <c r="O22" s="12"/>
      <c r="P22" s="9"/>
      <c r="Q22" s="7"/>
      <c r="R22" s="8"/>
      <c r="S22" s="9"/>
      <c r="T22" s="10"/>
      <c r="U22" s="12"/>
      <c r="V22" s="9"/>
    </row>
    <row r="23" spans="2:22" ht="15.75" customHeight="1" thickBot="1">
      <c r="B23" s="13"/>
      <c r="C23" s="14"/>
      <c r="D23" s="15"/>
      <c r="E23" s="13"/>
      <c r="F23" s="14"/>
      <c r="G23" s="15"/>
      <c r="H23" s="13"/>
      <c r="I23" s="14"/>
      <c r="J23" s="15"/>
      <c r="K23" s="13"/>
      <c r="L23" s="14"/>
      <c r="M23" s="15"/>
      <c r="N23" s="13"/>
      <c r="O23" s="14"/>
      <c r="P23" s="15"/>
      <c r="Q23" s="13"/>
      <c r="R23" s="14"/>
      <c r="S23" s="15"/>
      <c r="T23" s="13"/>
      <c r="U23" s="14"/>
      <c r="V23" s="15"/>
    </row>
    <row r="24" spans="2:22" ht="15.75" customHeight="1">
      <c r="B24" s="4" t="str">
        <f>IF(8&lt;=DAY(EOMONTH(DATE(2026,$C$1,1),0)),$C$1&amp;"월 8일","")</f>
        <v>8월 8일</v>
      </c>
      <c r="C24" s="5"/>
      <c r="D24" s="6"/>
      <c r="E24" s="4" t="str">
        <f>IF(9&lt;=DAY(EOMONTH(DATE(2026,$C$1,1),0)),$C$1&amp;"월 9일","")</f>
        <v>8월 9일</v>
      </c>
      <c r="F24" s="5"/>
      <c r="G24" s="6"/>
      <c r="H24" s="4" t="str">
        <f>IF(10&lt;=DAY(EOMONTH(DATE(2026,$C$1,1),0)),$C$1&amp;"월 10일","")</f>
        <v>8월 10일</v>
      </c>
      <c r="I24" s="5"/>
      <c r="J24" s="6"/>
      <c r="K24" s="4" t="str">
        <f>IF(11&lt;=DAY(EOMONTH(DATE(2026,$C$1,1),0)),$C$1&amp;"월 11일","")</f>
        <v>8월 11일</v>
      </c>
      <c r="L24" s="5"/>
      <c r="M24" s="6"/>
      <c r="N24" s="4" t="str">
        <f>IF(12&lt;=DAY(EOMONTH(DATE(2026,$C$1,1),0)),$C$1&amp;"월 12일","")</f>
        <v>8월 12일</v>
      </c>
      <c r="O24" s="5"/>
      <c r="P24" s="6"/>
      <c r="Q24" s="4" t="str">
        <f>IF(13&lt;=DAY(EOMONTH(DATE(2026,$C$1,1),0)),$C$1&amp;"월 13일","")</f>
        <v>8월 13일</v>
      </c>
      <c r="R24" s="5"/>
      <c r="S24" s="6"/>
      <c r="T24" s="4" t="str">
        <f>IF(14&lt;=DAY(EOMONTH(DATE(2026,$C$1,1),0)),$C$1&amp;"월 14일","")</f>
        <v>8월 14일</v>
      </c>
      <c r="U24" s="5"/>
      <c r="V24" s="6"/>
    </row>
    <row r="25" spans="2:22" ht="15.75" customHeight="1">
      <c r="B25" s="10" t="s">
        <v>30</v>
      </c>
      <c r="C25" s="8">
        <v>0.26090000000000002</v>
      </c>
      <c r="D25" s="9" t="s">
        <v>27</v>
      </c>
      <c r="E25" s="10" t="s">
        <v>147</v>
      </c>
      <c r="F25" s="8">
        <v>0.78129999999999999</v>
      </c>
      <c r="G25" s="9" t="s">
        <v>33</v>
      </c>
      <c r="H25" s="10" t="s">
        <v>147</v>
      </c>
      <c r="I25" s="8">
        <v>0.18290000000000001</v>
      </c>
      <c r="J25" s="9" t="s">
        <v>33</v>
      </c>
      <c r="K25" s="10" t="s">
        <v>147</v>
      </c>
      <c r="L25" s="8">
        <v>0.14069999999999999</v>
      </c>
      <c r="M25" s="9" t="s">
        <v>33</v>
      </c>
      <c r="N25" s="10" t="s">
        <v>147</v>
      </c>
      <c r="O25" s="8">
        <v>0.44829999999999998</v>
      </c>
      <c r="P25" s="9" t="s">
        <v>33</v>
      </c>
      <c r="Q25" s="10" t="s">
        <v>147</v>
      </c>
      <c r="R25" s="11">
        <v>0.18179999999999999</v>
      </c>
      <c r="S25" s="9" t="s">
        <v>33</v>
      </c>
      <c r="T25" s="10" t="s">
        <v>147</v>
      </c>
      <c r="U25" s="8">
        <v>0.2157</v>
      </c>
      <c r="V25" s="9" t="s">
        <v>33</v>
      </c>
    </row>
    <row r="26" spans="2:22" ht="15.75" customHeight="1">
      <c r="B26" s="10" t="s">
        <v>124</v>
      </c>
      <c r="C26" s="8">
        <v>8.6999999999999994E-2</v>
      </c>
      <c r="D26" s="9" t="s">
        <v>33</v>
      </c>
      <c r="E26" s="10" t="s">
        <v>326</v>
      </c>
      <c r="F26" s="11">
        <v>9.3799999999999994E-2</v>
      </c>
      <c r="G26" s="9" t="s">
        <v>27</v>
      </c>
      <c r="H26" s="10" t="s">
        <v>327</v>
      </c>
      <c r="I26" s="8">
        <v>5.7000000000000002E-3</v>
      </c>
      <c r="J26" s="9" t="s">
        <v>33</v>
      </c>
      <c r="K26" s="10" t="s">
        <v>328</v>
      </c>
      <c r="L26" s="8">
        <v>2.9600000000000001E-2</v>
      </c>
      <c r="M26" s="9" t="s">
        <v>27</v>
      </c>
      <c r="N26" s="10" t="s">
        <v>329</v>
      </c>
      <c r="O26" s="8">
        <v>1.72E-2</v>
      </c>
      <c r="P26" s="9" t="s">
        <v>37</v>
      </c>
      <c r="Q26" s="10" t="s">
        <v>330</v>
      </c>
      <c r="R26" s="8">
        <v>4.1300000000000003E-2</v>
      </c>
      <c r="S26" s="9" t="s">
        <v>33</v>
      </c>
      <c r="T26" s="10" t="s">
        <v>166</v>
      </c>
      <c r="U26" s="8">
        <v>2.9399999999999999E-2</v>
      </c>
      <c r="V26" s="9" t="s">
        <v>33</v>
      </c>
    </row>
    <row r="27" spans="2:22" ht="15.75" customHeight="1">
      <c r="B27" s="10" t="s">
        <v>331</v>
      </c>
      <c r="C27" s="8">
        <v>4.3499999999999997E-2</v>
      </c>
      <c r="D27" s="9" t="s">
        <v>42</v>
      </c>
      <c r="E27" s="10" t="s">
        <v>296</v>
      </c>
      <c r="F27" s="8">
        <v>3.1300000000000001E-2</v>
      </c>
      <c r="G27" s="9" t="s">
        <v>42</v>
      </c>
      <c r="H27" s="10" t="s">
        <v>30</v>
      </c>
      <c r="I27" s="8">
        <v>5.7000000000000002E-3</v>
      </c>
      <c r="J27" s="9" t="s">
        <v>37</v>
      </c>
      <c r="K27" s="10" t="s">
        <v>83</v>
      </c>
      <c r="L27" s="8">
        <v>1.4800000000000001E-2</v>
      </c>
      <c r="M27" s="9" t="s">
        <v>42</v>
      </c>
      <c r="N27" s="10" t="s">
        <v>332</v>
      </c>
      <c r="O27" s="8">
        <v>1.72E-2</v>
      </c>
      <c r="P27" s="9" t="s">
        <v>33</v>
      </c>
      <c r="Q27" s="10" t="s">
        <v>333</v>
      </c>
      <c r="R27" s="8">
        <v>8.3000000000000001E-3</v>
      </c>
      <c r="S27" s="9" t="s">
        <v>42</v>
      </c>
      <c r="T27" s="10" t="s">
        <v>66</v>
      </c>
      <c r="U27" s="8">
        <v>9.7999999999999997E-3</v>
      </c>
      <c r="V27" s="9" t="s">
        <v>33</v>
      </c>
    </row>
    <row r="28" spans="2:22" ht="15.75" customHeight="1">
      <c r="B28" s="10" t="s">
        <v>334</v>
      </c>
      <c r="C28" s="8">
        <v>4.3499999999999997E-2</v>
      </c>
      <c r="D28" s="9" t="s">
        <v>33</v>
      </c>
      <c r="E28" s="10" t="s">
        <v>334</v>
      </c>
      <c r="F28" s="8">
        <v>3.1300000000000001E-2</v>
      </c>
      <c r="G28" s="9" t="s">
        <v>33</v>
      </c>
      <c r="H28" s="10" t="s">
        <v>79</v>
      </c>
      <c r="I28" s="8">
        <v>5.7000000000000002E-3</v>
      </c>
      <c r="J28" s="9" t="s">
        <v>27</v>
      </c>
      <c r="K28" s="10" t="s">
        <v>41</v>
      </c>
      <c r="L28" s="8">
        <v>1.4800000000000001E-2</v>
      </c>
      <c r="M28" s="9" t="s">
        <v>42</v>
      </c>
      <c r="N28" s="10" t="s">
        <v>41</v>
      </c>
      <c r="O28" s="8">
        <v>1.72E-2</v>
      </c>
      <c r="P28" s="9" t="s">
        <v>42</v>
      </c>
      <c r="Q28" s="10" t="s">
        <v>39</v>
      </c>
      <c r="R28" s="8">
        <v>8.3000000000000001E-3</v>
      </c>
      <c r="S28" s="9" t="s">
        <v>27</v>
      </c>
      <c r="T28" s="10" t="s">
        <v>30</v>
      </c>
      <c r="U28" s="8">
        <v>9.7999999999999997E-3</v>
      </c>
      <c r="V28" s="9" t="s">
        <v>37</v>
      </c>
    </row>
    <row r="29" spans="2:22" ht="15.75" customHeight="1">
      <c r="B29" s="10" t="s">
        <v>335</v>
      </c>
      <c r="C29" s="8">
        <v>4.3499999999999997E-2</v>
      </c>
      <c r="D29" s="9" t="s">
        <v>33</v>
      </c>
      <c r="E29" s="10" t="s">
        <v>336</v>
      </c>
      <c r="F29" s="8">
        <v>3.1300000000000001E-2</v>
      </c>
      <c r="G29" s="9" t="s">
        <v>42</v>
      </c>
      <c r="H29" s="10" t="s">
        <v>83</v>
      </c>
      <c r="I29" s="8">
        <v>5.7000000000000002E-3</v>
      </c>
      <c r="J29" s="9" t="s">
        <v>42</v>
      </c>
      <c r="K29" s="10" t="s">
        <v>79</v>
      </c>
      <c r="L29" s="8">
        <v>7.4000000000000003E-3</v>
      </c>
      <c r="M29" s="9" t="s">
        <v>27</v>
      </c>
      <c r="N29" s="10" t="s">
        <v>128</v>
      </c>
      <c r="O29" s="8">
        <v>1.72E-2</v>
      </c>
      <c r="P29" s="9" t="s">
        <v>42</v>
      </c>
      <c r="Q29" s="10" t="s">
        <v>83</v>
      </c>
      <c r="R29" s="8">
        <v>8.3000000000000001E-3</v>
      </c>
      <c r="S29" s="9" t="s">
        <v>42</v>
      </c>
      <c r="T29" s="10" t="s">
        <v>39</v>
      </c>
      <c r="U29" s="8">
        <v>9.7999999999999997E-3</v>
      </c>
      <c r="V29" s="9" t="s">
        <v>27</v>
      </c>
    </row>
    <row r="30" spans="2:22" ht="15.75" customHeight="1">
      <c r="B30" s="10" t="s">
        <v>30</v>
      </c>
      <c r="C30" s="8">
        <v>4.3499999999999997E-2</v>
      </c>
      <c r="D30" s="9" t="s">
        <v>27</v>
      </c>
      <c r="E30" s="10" t="s">
        <v>147</v>
      </c>
      <c r="F30" s="8">
        <v>3.1300000000000001E-2</v>
      </c>
      <c r="G30" s="9" t="s">
        <v>33</v>
      </c>
      <c r="H30" s="10" t="s">
        <v>337</v>
      </c>
      <c r="I30" s="8">
        <v>5.7000000000000002E-3</v>
      </c>
      <c r="J30" s="9" t="s">
        <v>42</v>
      </c>
      <c r="K30" s="10" t="s">
        <v>338</v>
      </c>
      <c r="L30" s="8">
        <v>7.4000000000000003E-3</v>
      </c>
      <c r="M30" s="9" t="s">
        <v>37</v>
      </c>
      <c r="N30" s="10" t="s">
        <v>147</v>
      </c>
      <c r="O30" s="8">
        <v>8.6199999999999999E-2</v>
      </c>
      <c r="P30" s="9" t="s">
        <v>33</v>
      </c>
      <c r="Q30" s="10" t="s">
        <v>83</v>
      </c>
      <c r="R30" s="8">
        <v>2.4799999999999999E-2</v>
      </c>
      <c r="S30" s="9" t="s">
        <v>42</v>
      </c>
      <c r="T30" s="10" t="s">
        <v>28</v>
      </c>
      <c r="U30" s="8">
        <v>9.7999999999999997E-3</v>
      </c>
      <c r="V30" s="9" t="s">
        <v>27</v>
      </c>
    </row>
    <row r="31" spans="2:22" ht="15.75" customHeight="1">
      <c r="B31" s="10"/>
      <c r="C31" s="8"/>
      <c r="D31" s="9"/>
      <c r="E31" s="10"/>
      <c r="F31" s="8"/>
      <c r="G31" s="9"/>
      <c r="H31" s="10" t="s">
        <v>147</v>
      </c>
      <c r="I31" s="8">
        <v>4.5699999999999998E-2</v>
      </c>
      <c r="J31" s="9" t="s">
        <v>33</v>
      </c>
      <c r="K31" s="10" t="s">
        <v>339</v>
      </c>
      <c r="L31" s="8">
        <v>7.4000000000000003E-3</v>
      </c>
      <c r="M31" s="9" t="s">
        <v>42</v>
      </c>
      <c r="N31" s="10" t="s">
        <v>340</v>
      </c>
      <c r="O31" s="8">
        <v>3.4500000000000003E-2</v>
      </c>
      <c r="P31" s="9" t="s">
        <v>42</v>
      </c>
      <c r="Q31" s="10" t="s">
        <v>147</v>
      </c>
      <c r="R31" s="8">
        <v>1.6500000000000001E-2</v>
      </c>
      <c r="S31" s="9" t="s">
        <v>33</v>
      </c>
      <c r="T31" s="10" t="s">
        <v>140</v>
      </c>
      <c r="U31" s="8">
        <v>9.7999999999999997E-3</v>
      </c>
      <c r="V31" s="9" t="s">
        <v>42</v>
      </c>
    </row>
    <row r="32" spans="2:22" ht="15.75" customHeight="1">
      <c r="B32" s="10"/>
      <c r="C32" s="8"/>
      <c r="D32" s="9"/>
      <c r="E32" s="10"/>
      <c r="F32" s="8"/>
      <c r="G32" s="9"/>
      <c r="H32" s="10" t="s">
        <v>83</v>
      </c>
      <c r="I32" s="8">
        <v>2.29E-2</v>
      </c>
      <c r="J32" s="9" t="s">
        <v>42</v>
      </c>
      <c r="K32" s="10" t="s">
        <v>147</v>
      </c>
      <c r="L32" s="8">
        <v>3.6999999999999998E-2</v>
      </c>
      <c r="M32" s="9" t="s">
        <v>33</v>
      </c>
      <c r="N32" s="10" t="s">
        <v>83</v>
      </c>
      <c r="O32" s="8">
        <v>3.4500000000000003E-2</v>
      </c>
      <c r="P32" s="9" t="s">
        <v>42</v>
      </c>
      <c r="Q32" s="10" t="s">
        <v>341</v>
      </c>
      <c r="R32" s="8">
        <v>8.3000000000000001E-3</v>
      </c>
      <c r="S32" s="9" t="s">
        <v>33</v>
      </c>
      <c r="T32" s="10" t="s">
        <v>69</v>
      </c>
      <c r="U32" s="8">
        <v>9.7999999999999997E-3</v>
      </c>
      <c r="V32" s="9" t="s">
        <v>42</v>
      </c>
    </row>
    <row r="33" spans="2:22" ht="15.75" customHeight="1">
      <c r="B33" s="10"/>
      <c r="C33" s="8"/>
      <c r="D33" s="9"/>
      <c r="E33" s="10"/>
      <c r="F33" s="8"/>
      <c r="G33" s="9"/>
      <c r="H33" s="10" t="s">
        <v>30</v>
      </c>
      <c r="I33" s="8">
        <v>5.7000000000000002E-3</v>
      </c>
      <c r="J33" s="9" t="s">
        <v>37</v>
      </c>
      <c r="K33" s="10" t="s">
        <v>342</v>
      </c>
      <c r="L33" s="8">
        <v>7.4000000000000003E-3</v>
      </c>
      <c r="M33" s="9" t="s">
        <v>27</v>
      </c>
      <c r="N33" s="10" t="s">
        <v>41</v>
      </c>
      <c r="O33" s="8">
        <v>1.72E-2</v>
      </c>
      <c r="P33" s="9" t="s">
        <v>42</v>
      </c>
      <c r="Q33" s="10" t="s">
        <v>330</v>
      </c>
      <c r="R33" s="8">
        <v>8.3000000000000001E-3</v>
      </c>
      <c r="S33" s="9" t="s">
        <v>33</v>
      </c>
      <c r="T33" s="10" t="s">
        <v>92</v>
      </c>
      <c r="U33" s="8">
        <v>9.7999999999999997E-3</v>
      </c>
      <c r="V33" s="9" t="s">
        <v>42</v>
      </c>
    </row>
    <row r="34" spans="2:22" ht="15.75" customHeight="1">
      <c r="B34" s="10"/>
      <c r="C34" s="8"/>
      <c r="D34" s="9"/>
      <c r="E34" s="10"/>
      <c r="F34" s="8"/>
      <c r="G34" s="9"/>
      <c r="H34" s="10" t="s">
        <v>343</v>
      </c>
      <c r="I34" s="8">
        <v>5.7000000000000002E-3</v>
      </c>
      <c r="J34" s="9" t="s">
        <v>42</v>
      </c>
      <c r="K34" s="10" t="s">
        <v>344</v>
      </c>
      <c r="L34" s="8">
        <v>7.4000000000000003E-3</v>
      </c>
      <c r="M34" s="9" t="s">
        <v>37</v>
      </c>
      <c r="N34" s="10" t="s">
        <v>325</v>
      </c>
      <c r="O34" s="8">
        <v>1.72E-2</v>
      </c>
      <c r="P34" s="9" t="s">
        <v>33</v>
      </c>
      <c r="Q34" s="10" t="s">
        <v>345</v>
      </c>
      <c r="R34" s="8">
        <v>8.3000000000000001E-3</v>
      </c>
      <c r="S34" s="9"/>
      <c r="T34" s="10" t="s">
        <v>346</v>
      </c>
      <c r="U34" s="8">
        <v>9.7999999999999997E-3</v>
      </c>
      <c r="V34" s="9" t="s">
        <v>33</v>
      </c>
    </row>
    <row r="35" spans="2:22" ht="15.75" customHeight="1">
      <c r="B35" s="10"/>
      <c r="C35" s="8"/>
      <c r="D35" s="9"/>
      <c r="E35" s="10"/>
      <c r="F35" s="8"/>
      <c r="G35" s="9"/>
      <c r="H35" s="10" t="s">
        <v>347</v>
      </c>
      <c r="I35" s="8">
        <v>5.7000000000000002E-3</v>
      </c>
      <c r="J35" s="9" t="s">
        <v>33</v>
      </c>
      <c r="K35" s="10" t="s">
        <v>30</v>
      </c>
      <c r="L35" s="8">
        <v>7.4000000000000003E-3</v>
      </c>
      <c r="M35" s="9" t="s">
        <v>37</v>
      </c>
      <c r="N35" s="10" t="s">
        <v>348</v>
      </c>
      <c r="O35" s="11">
        <v>1.72E-2</v>
      </c>
      <c r="P35" s="9"/>
      <c r="Q35" s="10" t="s">
        <v>349</v>
      </c>
      <c r="R35" s="8">
        <v>8.3000000000000001E-3</v>
      </c>
      <c r="S35" s="9" t="s">
        <v>33</v>
      </c>
      <c r="T35" s="10" t="s">
        <v>147</v>
      </c>
      <c r="U35" s="8">
        <v>1.9599999999999999E-2</v>
      </c>
      <c r="V35" s="9" t="s">
        <v>33</v>
      </c>
    </row>
    <row r="36" spans="2:22" ht="15.75" customHeight="1">
      <c r="B36" s="10"/>
      <c r="C36" s="8"/>
      <c r="D36" s="9"/>
      <c r="E36" s="10"/>
      <c r="F36" s="11"/>
      <c r="G36" s="9"/>
      <c r="H36" s="10" t="s">
        <v>140</v>
      </c>
      <c r="I36" s="8">
        <v>5.7000000000000002E-3</v>
      </c>
      <c r="J36" s="9" t="s">
        <v>42</v>
      </c>
      <c r="K36" s="10" t="s">
        <v>350</v>
      </c>
      <c r="L36" s="8">
        <v>7.4000000000000003E-3</v>
      </c>
      <c r="M36" s="9" t="s">
        <v>37</v>
      </c>
      <c r="N36" s="10"/>
      <c r="O36" s="11"/>
      <c r="P36" s="9"/>
      <c r="Q36" s="10" t="s">
        <v>351</v>
      </c>
      <c r="R36" s="8">
        <v>8.3000000000000001E-3</v>
      </c>
      <c r="S36" s="9" t="s">
        <v>37</v>
      </c>
      <c r="T36" s="10" t="s">
        <v>352</v>
      </c>
      <c r="U36" s="8">
        <v>9.7999999999999997E-3</v>
      </c>
      <c r="V36" s="9" t="s">
        <v>37</v>
      </c>
    </row>
    <row r="37" spans="2:22" ht="15.75" customHeight="1">
      <c r="B37" s="10"/>
      <c r="C37" s="8"/>
      <c r="D37" s="9"/>
      <c r="E37" s="10"/>
      <c r="F37" s="8"/>
      <c r="G37" s="9"/>
      <c r="H37" s="10" t="s">
        <v>30</v>
      </c>
      <c r="I37" s="8">
        <v>5.7000000000000002E-3</v>
      </c>
      <c r="J37" s="9" t="s">
        <v>37</v>
      </c>
      <c r="K37" s="10" t="s">
        <v>353</v>
      </c>
      <c r="L37" s="8">
        <v>7.4000000000000003E-3</v>
      </c>
      <c r="M37" s="9" t="s">
        <v>42</v>
      </c>
      <c r="N37" s="10"/>
      <c r="O37" s="11"/>
      <c r="P37" s="9"/>
      <c r="Q37" s="10" t="s">
        <v>354</v>
      </c>
      <c r="R37" s="8">
        <v>8.3000000000000001E-3</v>
      </c>
      <c r="S37" s="9" t="s">
        <v>42</v>
      </c>
      <c r="T37" s="10" t="s">
        <v>355</v>
      </c>
      <c r="U37" s="8">
        <v>9.7999999999999997E-3</v>
      </c>
      <c r="V37" s="9" t="s">
        <v>33</v>
      </c>
    </row>
    <row r="38" spans="2:22" ht="15.75" customHeight="1">
      <c r="B38" s="10"/>
      <c r="C38" s="8"/>
      <c r="D38" s="9"/>
      <c r="E38" s="10"/>
      <c r="F38" s="8"/>
      <c r="G38" s="9"/>
      <c r="H38" s="10" t="s">
        <v>356</v>
      </c>
      <c r="I38" s="8">
        <v>5.7000000000000002E-3</v>
      </c>
      <c r="J38" s="9" t="s">
        <v>33</v>
      </c>
      <c r="K38" s="10" t="s">
        <v>144</v>
      </c>
      <c r="L38" s="8">
        <v>7.4000000000000003E-3</v>
      </c>
      <c r="M38" s="9" t="s">
        <v>42</v>
      </c>
      <c r="N38" s="10"/>
      <c r="O38" s="11"/>
      <c r="P38" s="9"/>
      <c r="Q38" s="10"/>
      <c r="R38" s="8"/>
      <c r="S38" s="9"/>
      <c r="T38" s="10" t="s">
        <v>30</v>
      </c>
      <c r="U38" s="8">
        <v>9.7999999999999997E-3</v>
      </c>
      <c r="V38" s="9" t="s">
        <v>37</v>
      </c>
    </row>
    <row r="39" spans="2:22" ht="15.75" customHeight="1">
      <c r="B39" s="10"/>
      <c r="C39" s="8"/>
      <c r="D39" s="9"/>
      <c r="E39" s="10"/>
      <c r="F39" s="8"/>
      <c r="G39" s="9"/>
      <c r="H39" s="10" t="s">
        <v>357</v>
      </c>
      <c r="I39" s="8">
        <v>5.7000000000000002E-3</v>
      </c>
      <c r="J39" s="9" t="s">
        <v>37</v>
      </c>
      <c r="K39" s="10" t="s">
        <v>358</v>
      </c>
      <c r="L39" s="8">
        <v>7.4000000000000003E-3</v>
      </c>
      <c r="M39" s="9" t="s">
        <v>42</v>
      </c>
      <c r="N39" s="10"/>
      <c r="O39" s="11"/>
      <c r="P39" s="9"/>
      <c r="Q39" s="10"/>
      <c r="R39" s="8"/>
      <c r="S39" s="9"/>
      <c r="T39" s="10" t="s">
        <v>48</v>
      </c>
      <c r="U39" s="8">
        <v>9.7999999999999997E-3</v>
      </c>
      <c r="V39" s="9" t="s">
        <v>27</v>
      </c>
    </row>
    <row r="40" spans="2:22" ht="15.75" customHeight="1">
      <c r="B40" s="10"/>
      <c r="C40" s="8"/>
      <c r="D40" s="9"/>
      <c r="E40" s="10"/>
      <c r="F40" s="12"/>
      <c r="G40" s="9"/>
      <c r="H40" s="10"/>
      <c r="I40" s="8"/>
      <c r="J40" s="9"/>
      <c r="K40" s="10" t="s">
        <v>69</v>
      </c>
      <c r="L40" s="8">
        <v>7.4000000000000003E-3</v>
      </c>
      <c r="M40" s="9" t="s">
        <v>42</v>
      </c>
      <c r="N40" s="10"/>
      <c r="O40" s="11"/>
      <c r="P40" s="9"/>
      <c r="Q40" s="10"/>
      <c r="R40" s="8"/>
      <c r="S40" s="9"/>
      <c r="T40" s="10" t="s">
        <v>359</v>
      </c>
      <c r="U40" s="8">
        <v>9.7999999999999997E-3</v>
      </c>
      <c r="V40" s="9" t="s">
        <v>33</v>
      </c>
    </row>
    <row r="41" spans="2:22" ht="15.75" customHeight="1">
      <c r="B41" s="10"/>
      <c r="C41" s="8"/>
      <c r="D41" s="9"/>
      <c r="E41" s="10"/>
      <c r="F41" s="12"/>
      <c r="G41" s="9"/>
      <c r="H41" s="10"/>
      <c r="I41" s="12"/>
      <c r="J41" s="9"/>
      <c r="K41" s="10" t="s">
        <v>48</v>
      </c>
      <c r="L41" s="8">
        <v>3.6999999999999998E-2</v>
      </c>
      <c r="M41" s="9" t="s">
        <v>27</v>
      </c>
      <c r="N41" s="10"/>
      <c r="O41" s="12"/>
      <c r="P41" s="9"/>
      <c r="Q41" s="10"/>
      <c r="R41" s="8"/>
      <c r="S41" s="9"/>
      <c r="T41" s="10" t="s">
        <v>28</v>
      </c>
      <c r="U41" s="8">
        <v>9.7999999999999997E-3</v>
      </c>
      <c r="V41" s="9" t="s">
        <v>27</v>
      </c>
    </row>
    <row r="42" spans="2:22" ht="15.75" customHeight="1">
      <c r="B42" s="10"/>
      <c r="C42" s="8"/>
      <c r="D42" s="9"/>
      <c r="E42" s="10"/>
      <c r="F42" s="12"/>
      <c r="G42" s="9"/>
      <c r="H42" s="10"/>
      <c r="I42" s="12"/>
      <c r="J42" s="9"/>
      <c r="K42" s="10"/>
      <c r="L42" s="12"/>
      <c r="M42" s="9"/>
      <c r="N42" s="10"/>
      <c r="O42" s="12"/>
      <c r="P42" s="9"/>
      <c r="Q42" s="10"/>
      <c r="R42" s="8"/>
      <c r="S42" s="9"/>
      <c r="T42" s="10" t="s">
        <v>360</v>
      </c>
      <c r="U42" s="8">
        <v>9.7999999999999997E-3</v>
      </c>
      <c r="V42" s="9" t="s">
        <v>42</v>
      </c>
    </row>
    <row r="43" spans="2:22" ht="15.75" customHeight="1">
      <c r="B43" s="10"/>
      <c r="C43" s="8"/>
      <c r="D43" s="9"/>
      <c r="E43" s="10"/>
      <c r="F43" s="12"/>
      <c r="G43" s="9"/>
      <c r="H43" s="10"/>
      <c r="I43" s="12"/>
      <c r="J43" s="9"/>
      <c r="K43" s="10"/>
      <c r="L43" s="12"/>
      <c r="M43" s="9"/>
      <c r="N43" s="10"/>
      <c r="O43" s="12"/>
      <c r="P43" s="9"/>
      <c r="Q43" s="10"/>
      <c r="R43" s="8"/>
      <c r="S43" s="9"/>
      <c r="T43" s="10" t="s">
        <v>361</v>
      </c>
      <c r="U43" s="8">
        <v>9.7999999999999997E-3</v>
      </c>
      <c r="V43" s="9" t="s">
        <v>42</v>
      </c>
    </row>
    <row r="44" spans="2:22" ht="15.75" customHeight="1">
      <c r="B44" s="10"/>
      <c r="C44" s="8"/>
      <c r="D44" s="9"/>
      <c r="E44" s="10"/>
      <c r="F44" s="12"/>
      <c r="G44" s="9"/>
      <c r="H44" s="10"/>
      <c r="I44" s="12"/>
      <c r="J44" s="9"/>
      <c r="K44" s="10"/>
      <c r="L44" s="12"/>
      <c r="M44" s="9"/>
      <c r="N44" s="10"/>
      <c r="O44" s="12"/>
      <c r="P44" s="9"/>
      <c r="Q44" s="10"/>
      <c r="R44" s="8"/>
      <c r="S44" s="9"/>
      <c r="T44" s="10" t="s">
        <v>83</v>
      </c>
      <c r="U44" s="8">
        <v>9.7999999999999997E-3</v>
      </c>
      <c r="V44" s="9" t="s">
        <v>42</v>
      </c>
    </row>
    <row r="45" spans="2:22" ht="15.75" customHeight="1">
      <c r="B45" s="10"/>
      <c r="C45" s="12"/>
      <c r="D45" s="9"/>
      <c r="E45" s="10"/>
      <c r="F45" s="12"/>
      <c r="G45" s="9"/>
      <c r="H45" s="10"/>
      <c r="I45" s="12"/>
      <c r="J45" s="9"/>
      <c r="K45" s="10"/>
      <c r="L45" s="12"/>
      <c r="M45" s="9"/>
      <c r="N45" s="10"/>
      <c r="O45" s="12"/>
      <c r="P45" s="9"/>
      <c r="Q45" s="10"/>
      <c r="R45" s="8"/>
      <c r="S45" s="9"/>
      <c r="T45" s="10" t="s">
        <v>30</v>
      </c>
      <c r="U45" s="8">
        <v>1.9599999999999999E-2</v>
      </c>
      <c r="V45" s="9" t="s">
        <v>27</v>
      </c>
    </row>
    <row r="46" spans="2:22" ht="15.75" customHeight="1">
      <c r="B46" s="16"/>
      <c r="C46" s="17"/>
      <c r="D46" s="18"/>
      <c r="E46" s="16"/>
      <c r="F46" s="17"/>
      <c r="G46" s="18"/>
      <c r="H46" s="16"/>
      <c r="I46" s="17"/>
      <c r="J46" s="18"/>
      <c r="K46" s="16"/>
      <c r="L46" s="17"/>
      <c r="M46" s="18"/>
      <c r="N46" s="16"/>
      <c r="O46" s="17"/>
      <c r="P46" s="18"/>
      <c r="Q46" s="16"/>
      <c r="R46" s="17"/>
      <c r="S46" s="18"/>
      <c r="T46" s="16" t="s">
        <v>362</v>
      </c>
      <c r="U46" s="19">
        <v>9.7999999999999997E-3</v>
      </c>
      <c r="V46" s="18" t="s">
        <v>27</v>
      </c>
    </row>
    <row r="47" spans="2:22" ht="15.75" customHeight="1" thickBot="1">
      <c r="B47" s="121"/>
      <c r="C47" s="122"/>
      <c r="D47" s="123"/>
      <c r="E47" s="121"/>
      <c r="F47" s="122"/>
      <c r="G47" s="123"/>
      <c r="H47" s="121"/>
      <c r="I47" s="122"/>
      <c r="J47" s="123"/>
      <c r="K47" s="121"/>
      <c r="L47" s="122"/>
      <c r="M47" s="123"/>
      <c r="N47" s="121"/>
      <c r="O47" s="122"/>
      <c r="P47" s="123"/>
      <c r="Q47" s="121"/>
      <c r="R47" s="122"/>
      <c r="S47" s="123"/>
      <c r="T47" s="121"/>
      <c r="U47" s="124"/>
      <c r="V47" s="123"/>
    </row>
    <row r="48" spans="2:22" ht="15.75" customHeight="1">
      <c r="B48" s="4" t="str">
        <f>IF(15&lt;=DAY(EOMONTH(DATE(2026,$C$1,1),0)),$C$1&amp;"월 15일","")</f>
        <v>8월 15일</v>
      </c>
      <c r="C48" s="5"/>
      <c r="D48" s="6"/>
      <c r="E48" s="4" t="str">
        <f>IF(16&lt;=DAY(EOMONTH(DATE(2026,$C$1,1),0)),$C$1&amp;"월 16일","")</f>
        <v>8월 16일</v>
      </c>
      <c r="F48" s="5"/>
      <c r="G48" s="6"/>
      <c r="H48" s="4" t="str">
        <f>IF(17&lt;=DAY(EOMONTH(DATE(2026,$C$1,1),0)),$C$1&amp;"월 17일","")</f>
        <v>8월 17일</v>
      </c>
      <c r="I48" s="5"/>
      <c r="J48" s="6"/>
      <c r="K48" s="4" t="str">
        <f>IF(18&lt;=DAY(EOMONTH(DATE(2026,$C$1,1),0)),$C$1&amp;"월 18일","")</f>
        <v>8월 18일</v>
      </c>
      <c r="L48" s="5"/>
      <c r="M48" s="6"/>
      <c r="N48" s="4" t="str">
        <f>IF(19&lt;=DAY(EOMONTH(DATE(2026,$C$1,1),0)),$C$1&amp;"월 19일","")</f>
        <v>8월 19일</v>
      </c>
      <c r="O48" s="5"/>
      <c r="P48" s="6"/>
      <c r="Q48" s="4" t="str">
        <f>IF(20&lt;=DAY(EOMONTH(DATE(2026,$C$1,1),0)),$C$1&amp;"월 20일","")</f>
        <v>8월 20일</v>
      </c>
      <c r="R48" s="5"/>
      <c r="S48" s="6"/>
      <c r="T48" s="4" t="str">
        <f>IF(21&lt;=DAY(EOMONTH(DATE(2026,$C$1,1),0)),$C$1&amp;"월 21일","")</f>
        <v>8월 21일</v>
      </c>
      <c r="U48" s="5"/>
      <c r="V48" s="6"/>
    </row>
    <row r="49" spans="2:22" ht="15.75" customHeight="1">
      <c r="B49" s="10" t="s">
        <v>147</v>
      </c>
      <c r="C49" s="8">
        <v>0.52500000000000002</v>
      </c>
      <c r="D49" s="9" t="s">
        <v>33</v>
      </c>
      <c r="E49" s="10" t="s">
        <v>147</v>
      </c>
      <c r="F49" s="8">
        <v>0.51160000000000005</v>
      </c>
      <c r="G49" s="9" t="s">
        <v>33</v>
      </c>
      <c r="H49" s="10" t="s">
        <v>147</v>
      </c>
      <c r="I49" s="8">
        <v>0.51459999999999995</v>
      </c>
      <c r="J49" s="9" t="s">
        <v>33</v>
      </c>
      <c r="K49" s="10" t="s">
        <v>147</v>
      </c>
      <c r="L49" s="8">
        <v>0.38240000000000002</v>
      </c>
      <c r="M49" s="9" t="s">
        <v>33</v>
      </c>
      <c r="N49" s="10" t="s">
        <v>147</v>
      </c>
      <c r="O49" s="8">
        <v>0.1346</v>
      </c>
      <c r="P49" s="9" t="s">
        <v>33</v>
      </c>
      <c r="Q49" s="10" t="s">
        <v>66</v>
      </c>
      <c r="R49" s="8">
        <v>0.1429</v>
      </c>
      <c r="S49" s="9" t="s">
        <v>33</v>
      </c>
      <c r="T49" s="10" t="s">
        <v>66</v>
      </c>
      <c r="U49" s="8">
        <v>5.7500000000000002E-2</v>
      </c>
      <c r="V49" s="9" t="s">
        <v>33</v>
      </c>
    </row>
    <row r="50" spans="2:22" ht="15.75" customHeight="1">
      <c r="B50" s="10" t="s">
        <v>363</v>
      </c>
      <c r="C50" s="8">
        <v>7.4999999999999997E-2</v>
      </c>
      <c r="D50" s="9" t="s">
        <v>37</v>
      </c>
      <c r="E50" s="10" t="s">
        <v>298</v>
      </c>
      <c r="F50" s="8">
        <v>9.2999999999999999E-2</v>
      </c>
      <c r="G50" s="9" t="s">
        <v>42</v>
      </c>
      <c r="H50" s="10" t="s">
        <v>66</v>
      </c>
      <c r="I50" s="8">
        <v>9.7100000000000006E-2</v>
      </c>
      <c r="J50" s="9" t="s">
        <v>33</v>
      </c>
      <c r="K50" s="10" t="s">
        <v>66</v>
      </c>
      <c r="L50" s="8">
        <v>4.41E-2</v>
      </c>
      <c r="M50" s="9" t="s">
        <v>33</v>
      </c>
      <c r="N50" s="10" t="s">
        <v>66</v>
      </c>
      <c r="O50" s="8">
        <v>5.7700000000000001E-2</v>
      </c>
      <c r="P50" s="9" t="s">
        <v>33</v>
      </c>
      <c r="Q50" s="10" t="s">
        <v>30</v>
      </c>
      <c r="R50" s="8">
        <v>2.0400000000000001E-2</v>
      </c>
      <c r="S50" s="9" t="s">
        <v>27</v>
      </c>
      <c r="T50" s="10" t="s">
        <v>364</v>
      </c>
      <c r="U50" s="8">
        <v>1.15E-2</v>
      </c>
      <c r="V50" s="9" t="s">
        <v>37</v>
      </c>
    </row>
    <row r="51" spans="2:22" ht="15.75" customHeight="1">
      <c r="B51" s="10" t="s">
        <v>365</v>
      </c>
      <c r="C51" s="8">
        <v>2.5000000000000001E-2</v>
      </c>
      <c r="D51" s="9"/>
      <c r="E51" s="10" t="s">
        <v>66</v>
      </c>
      <c r="F51" s="8">
        <v>4.65E-2</v>
      </c>
      <c r="G51" s="9" t="s">
        <v>33</v>
      </c>
      <c r="H51" s="10" t="s">
        <v>366</v>
      </c>
      <c r="I51" s="8">
        <v>9.7000000000000003E-3</v>
      </c>
      <c r="J51" s="9" t="s">
        <v>35</v>
      </c>
      <c r="K51" s="10" t="s">
        <v>83</v>
      </c>
      <c r="L51" s="8">
        <v>2.9399999999999999E-2</v>
      </c>
      <c r="M51" s="9" t="s">
        <v>42</v>
      </c>
      <c r="N51" s="10" t="s">
        <v>83</v>
      </c>
      <c r="O51" s="8">
        <v>3.85E-2</v>
      </c>
      <c r="P51" s="9" t="s">
        <v>42</v>
      </c>
      <c r="Q51" s="10" t="s">
        <v>367</v>
      </c>
      <c r="R51" s="8">
        <v>2.0400000000000001E-2</v>
      </c>
      <c r="S51" s="9" t="s">
        <v>37</v>
      </c>
      <c r="T51" s="10" t="s">
        <v>30</v>
      </c>
      <c r="U51" s="8">
        <v>1.15E-2</v>
      </c>
      <c r="V51" s="9" t="s">
        <v>27</v>
      </c>
    </row>
    <row r="52" spans="2:22" ht="15.75" customHeight="1">
      <c r="B52" s="10" t="s">
        <v>368</v>
      </c>
      <c r="C52" s="8">
        <v>2.5000000000000001E-2</v>
      </c>
      <c r="D52" s="9" t="s">
        <v>33</v>
      </c>
      <c r="E52" s="10" t="s">
        <v>369</v>
      </c>
      <c r="F52" s="8">
        <v>2.3300000000000001E-2</v>
      </c>
      <c r="G52" s="9" t="s">
        <v>35</v>
      </c>
      <c r="H52" s="10" t="s">
        <v>30</v>
      </c>
      <c r="I52" s="8">
        <v>9.7000000000000003E-3</v>
      </c>
      <c r="J52" s="9" t="s">
        <v>27</v>
      </c>
      <c r="K52" s="10" t="s">
        <v>370</v>
      </c>
      <c r="L52" s="8">
        <v>1.47E-2</v>
      </c>
      <c r="M52" s="9" t="s">
        <v>33</v>
      </c>
      <c r="N52" s="10" t="s">
        <v>28</v>
      </c>
      <c r="O52" s="8">
        <v>1.9199999999999998E-2</v>
      </c>
      <c r="P52" s="9" t="s">
        <v>27</v>
      </c>
      <c r="Q52" s="10" t="s">
        <v>62</v>
      </c>
      <c r="R52" s="8">
        <v>2.0400000000000001E-2</v>
      </c>
      <c r="S52" s="9" t="s">
        <v>42</v>
      </c>
      <c r="T52" s="10" t="s">
        <v>147</v>
      </c>
      <c r="U52" s="8">
        <v>1.15E-2</v>
      </c>
      <c r="V52" s="9" t="s">
        <v>33</v>
      </c>
    </row>
    <row r="53" spans="2:22" ht="15.75" customHeight="1">
      <c r="B53" s="10" t="s">
        <v>147</v>
      </c>
      <c r="C53" s="8">
        <v>0.05</v>
      </c>
      <c r="D53" s="9" t="s">
        <v>33</v>
      </c>
      <c r="E53" s="10" t="s">
        <v>371</v>
      </c>
      <c r="F53" s="8">
        <v>2.3300000000000001E-2</v>
      </c>
      <c r="G53" s="9" t="s">
        <v>33</v>
      </c>
      <c r="H53" s="10" t="s">
        <v>372</v>
      </c>
      <c r="I53" s="8">
        <v>9.7000000000000003E-3</v>
      </c>
      <c r="J53" s="9" t="s">
        <v>37</v>
      </c>
      <c r="K53" s="10" t="s">
        <v>294</v>
      </c>
      <c r="L53" s="8">
        <v>1.47E-2</v>
      </c>
      <c r="M53" s="9" t="s">
        <v>33</v>
      </c>
      <c r="N53" s="10" t="s">
        <v>294</v>
      </c>
      <c r="O53" s="8">
        <v>1.9199999999999998E-2</v>
      </c>
      <c r="P53" s="9" t="s">
        <v>33</v>
      </c>
      <c r="Q53" s="10" t="s">
        <v>373</v>
      </c>
      <c r="R53" s="8">
        <v>4.0800000000000003E-2</v>
      </c>
      <c r="S53" s="9" t="s">
        <v>42</v>
      </c>
      <c r="T53" s="10" t="s">
        <v>374</v>
      </c>
      <c r="U53" s="8">
        <v>1.15E-2</v>
      </c>
      <c r="V53" s="9" t="s">
        <v>42</v>
      </c>
    </row>
    <row r="54" spans="2:22" ht="15.75" customHeight="1">
      <c r="B54" s="10"/>
      <c r="C54" s="8"/>
      <c r="D54" s="9"/>
      <c r="E54" s="10" t="s">
        <v>83</v>
      </c>
      <c r="F54" s="8">
        <v>2.3300000000000001E-2</v>
      </c>
      <c r="G54" s="9" t="s">
        <v>42</v>
      </c>
      <c r="H54" s="10" t="s">
        <v>375</v>
      </c>
      <c r="I54" s="8">
        <v>9.7000000000000003E-3</v>
      </c>
      <c r="J54" s="9" t="s">
        <v>42</v>
      </c>
      <c r="K54" s="10" t="s">
        <v>62</v>
      </c>
      <c r="L54" s="8">
        <v>1.47E-2</v>
      </c>
      <c r="M54" s="9" t="s">
        <v>42</v>
      </c>
      <c r="N54" s="10" t="s">
        <v>41</v>
      </c>
      <c r="O54" s="8">
        <v>1.9199999999999998E-2</v>
      </c>
      <c r="P54" s="9" t="s">
        <v>42</v>
      </c>
      <c r="Q54" s="10" t="s">
        <v>376</v>
      </c>
      <c r="R54" s="8">
        <v>2.0400000000000001E-2</v>
      </c>
      <c r="S54" s="9" t="s">
        <v>42</v>
      </c>
      <c r="T54" s="10" t="s">
        <v>144</v>
      </c>
      <c r="U54" s="8">
        <v>1.15E-2</v>
      </c>
      <c r="V54" s="9" t="s">
        <v>42</v>
      </c>
    </row>
    <row r="55" spans="2:22" ht="15.75" customHeight="1">
      <c r="B55" s="10"/>
      <c r="C55" s="8"/>
      <c r="D55" s="9"/>
      <c r="E55" s="10" t="s">
        <v>69</v>
      </c>
      <c r="F55" s="8">
        <v>2.3300000000000001E-2</v>
      </c>
      <c r="G55" s="9" t="s">
        <v>42</v>
      </c>
      <c r="H55" s="10" t="s">
        <v>299</v>
      </c>
      <c r="I55" s="8">
        <v>1.9400000000000001E-2</v>
      </c>
      <c r="J55" s="9" t="s">
        <v>27</v>
      </c>
      <c r="K55" s="10" t="s">
        <v>41</v>
      </c>
      <c r="L55" s="8">
        <v>1.47E-2</v>
      </c>
      <c r="M55" s="9" t="s">
        <v>42</v>
      </c>
      <c r="N55" s="10" t="s">
        <v>140</v>
      </c>
      <c r="O55" s="8">
        <v>1.9199999999999998E-2</v>
      </c>
      <c r="P55" s="9" t="s">
        <v>42</v>
      </c>
      <c r="Q55" s="10" t="s">
        <v>377</v>
      </c>
      <c r="R55" s="8">
        <v>2.0400000000000001E-2</v>
      </c>
      <c r="S55" s="9" t="s">
        <v>27</v>
      </c>
      <c r="T55" s="10" t="s">
        <v>83</v>
      </c>
      <c r="U55" s="8">
        <v>1.15E-2</v>
      </c>
      <c r="V55" s="9" t="s">
        <v>42</v>
      </c>
    </row>
    <row r="56" spans="2:22" ht="15.75" customHeight="1">
      <c r="B56" s="10"/>
      <c r="C56" s="8"/>
      <c r="D56" s="9"/>
      <c r="E56" s="10" t="s">
        <v>378</v>
      </c>
      <c r="F56" s="8">
        <v>2.3300000000000001E-2</v>
      </c>
      <c r="G56" s="9" t="s">
        <v>33</v>
      </c>
      <c r="H56" s="10" t="s">
        <v>147</v>
      </c>
      <c r="I56" s="8">
        <v>9.7000000000000003E-3</v>
      </c>
      <c r="J56" s="9" t="s">
        <v>33</v>
      </c>
      <c r="K56" s="10" t="s">
        <v>298</v>
      </c>
      <c r="L56" s="8">
        <v>1.47E-2</v>
      </c>
      <c r="M56" s="9" t="s">
        <v>42</v>
      </c>
      <c r="N56" s="10" t="s">
        <v>298</v>
      </c>
      <c r="O56" s="8">
        <v>1.9199999999999998E-2</v>
      </c>
      <c r="P56" s="9" t="s">
        <v>42</v>
      </c>
      <c r="Q56" s="10" t="s">
        <v>369</v>
      </c>
      <c r="R56" s="8">
        <v>2.0400000000000001E-2</v>
      </c>
      <c r="S56" s="9" t="s">
        <v>35</v>
      </c>
      <c r="T56" s="10"/>
      <c r="U56" s="8"/>
      <c r="V56" s="9"/>
    </row>
    <row r="57" spans="2:22" ht="15.75" customHeight="1">
      <c r="B57" s="10"/>
      <c r="C57" s="8"/>
      <c r="D57" s="9"/>
      <c r="E57" s="10" t="s">
        <v>147</v>
      </c>
      <c r="F57" s="8">
        <v>4.65E-2</v>
      </c>
      <c r="G57" s="9" t="s">
        <v>33</v>
      </c>
      <c r="H57" s="10" t="s">
        <v>379</v>
      </c>
      <c r="I57" s="8">
        <v>9.7000000000000003E-3</v>
      </c>
      <c r="J57" s="9" t="s">
        <v>33</v>
      </c>
      <c r="K57" s="10" t="s">
        <v>147</v>
      </c>
      <c r="L57" s="8">
        <v>5.8799999999999998E-2</v>
      </c>
      <c r="M57" s="9" t="s">
        <v>33</v>
      </c>
      <c r="N57" s="10" t="s">
        <v>83</v>
      </c>
      <c r="O57" s="8">
        <v>3.85E-2</v>
      </c>
      <c r="P57" s="9" t="s">
        <v>42</v>
      </c>
      <c r="Q57" s="10" t="s">
        <v>380</v>
      </c>
      <c r="R57" s="8">
        <v>2.0400000000000001E-2</v>
      </c>
      <c r="S57" s="9" t="s">
        <v>42</v>
      </c>
      <c r="T57" s="10"/>
      <c r="U57" s="8"/>
      <c r="V57" s="9"/>
    </row>
    <row r="58" spans="2:22" ht="15.75" customHeight="1">
      <c r="B58" s="10"/>
      <c r="C58" s="8"/>
      <c r="D58" s="9"/>
      <c r="E58" s="10" t="s">
        <v>298</v>
      </c>
      <c r="F58" s="8">
        <v>4.65E-2</v>
      </c>
      <c r="G58" s="9" t="s">
        <v>42</v>
      </c>
      <c r="H58" s="10"/>
      <c r="I58" s="8"/>
      <c r="J58" s="9"/>
      <c r="K58" s="10" t="s">
        <v>48</v>
      </c>
      <c r="L58" s="8">
        <v>2.9399999999999999E-2</v>
      </c>
      <c r="M58" s="9" t="s">
        <v>27</v>
      </c>
      <c r="N58" s="10" t="s">
        <v>381</v>
      </c>
      <c r="O58" s="8">
        <v>1.9199999999999998E-2</v>
      </c>
      <c r="P58" s="9" t="s">
        <v>37</v>
      </c>
      <c r="Q58" s="10" t="s">
        <v>30</v>
      </c>
      <c r="R58" s="8">
        <v>2.0400000000000001E-2</v>
      </c>
      <c r="S58" s="9" t="s">
        <v>27</v>
      </c>
      <c r="T58" s="10"/>
      <c r="U58" s="8"/>
      <c r="V58" s="9"/>
    </row>
    <row r="59" spans="2:22" ht="15.75" customHeight="1">
      <c r="B59" s="10"/>
      <c r="C59" s="8"/>
      <c r="D59" s="9"/>
      <c r="E59" s="10" t="s">
        <v>30</v>
      </c>
      <c r="F59" s="8">
        <v>2.3300000000000001E-2</v>
      </c>
      <c r="G59" s="9" t="s">
        <v>27</v>
      </c>
      <c r="H59" s="10"/>
      <c r="I59" s="8"/>
      <c r="J59" s="9"/>
      <c r="K59" s="10" t="s">
        <v>382</v>
      </c>
      <c r="L59" s="8">
        <v>2.9399999999999999E-2</v>
      </c>
      <c r="M59" s="9" t="s">
        <v>42</v>
      </c>
      <c r="N59" s="10" t="s">
        <v>66</v>
      </c>
      <c r="O59" s="8">
        <v>1.9199999999999998E-2</v>
      </c>
      <c r="P59" s="9" t="s">
        <v>33</v>
      </c>
      <c r="Q59" s="10" t="s">
        <v>383</v>
      </c>
      <c r="R59" s="8">
        <v>2.0400000000000001E-2</v>
      </c>
      <c r="S59" s="9" t="s">
        <v>27</v>
      </c>
      <c r="T59" s="10"/>
      <c r="U59" s="8"/>
      <c r="V59" s="9"/>
    </row>
    <row r="60" spans="2:22" ht="15.75" customHeight="1">
      <c r="B60" s="10"/>
      <c r="C60" s="8"/>
      <c r="D60" s="9"/>
      <c r="E60" s="10" t="s">
        <v>28</v>
      </c>
      <c r="F60" s="8">
        <v>2.3300000000000001E-2</v>
      </c>
      <c r="G60" s="9" t="s">
        <v>27</v>
      </c>
      <c r="H60" s="10"/>
      <c r="I60" s="12"/>
      <c r="J60" s="9"/>
      <c r="K60" s="10" t="s">
        <v>384</v>
      </c>
      <c r="L60" s="8">
        <v>1.47E-2</v>
      </c>
      <c r="M60" s="9" t="s">
        <v>37</v>
      </c>
      <c r="N60" s="10" t="s">
        <v>345</v>
      </c>
      <c r="O60" s="8">
        <v>1.9199999999999998E-2</v>
      </c>
      <c r="P60" s="9"/>
      <c r="Q60" s="10" t="s">
        <v>385</v>
      </c>
      <c r="R60" s="8">
        <v>2.0400000000000001E-2</v>
      </c>
      <c r="S60" s="9" t="s">
        <v>35</v>
      </c>
      <c r="T60" s="10"/>
      <c r="U60" s="8"/>
      <c r="V60" s="9"/>
    </row>
    <row r="61" spans="2:22" ht="15.75" customHeight="1">
      <c r="B61" s="10"/>
      <c r="C61" s="8"/>
      <c r="D61" s="9"/>
      <c r="E61" s="10"/>
      <c r="F61" s="8"/>
      <c r="G61" s="9"/>
      <c r="H61" s="10"/>
      <c r="I61" s="12"/>
      <c r="J61" s="9"/>
      <c r="K61" s="10" t="s">
        <v>107</v>
      </c>
      <c r="L61" s="8">
        <v>1.47E-2</v>
      </c>
      <c r="M61" s="9" t="s">
        <v>37</v>
      </c>
      <c r="N61" s="10" t="s">
        <v>386</v>
      </c>
      <c r="O61" s="8">
        <v>1.9199999999999998E-2</v>
      </c>
      <c r="P61" s="9"/>
      <c r="Q61" s="10"/>
      <c r="R61" s="8"/>
      <c r="S61" s="9"/>
      <c r="T61" s="10"/>
      <c r="U61" s="8"/>
      <c r="V61" s="9"/>
    </row>
    <row r="62" spans="2:22" ht="15.75" customHeight="1">
      <c r="B62" s="10"/>
      <c r="C62" s="8"/>
      <c r="D62" s="9"/>
      <c r="E62" s="10"/>
      <c r="F62" s="8"/>
      <c r="G62" s="9"/>
      <c r="H62" s="10"/>
      <c r="I62" s="12"/>
      <c r="J62" s="9"/>
      <c r="K62" s="10" t="s">
        <v>387</v>
      </c>
      <c r="L62" s="8">
        <v>1.47E-2</v>
      </c>
      <c r="M62" s="9" t="s">
        <v>42</v>
      </c>
      <c r="N62" s="10" t="s">
        <v>388</v>
      </c>
      <c r="O62" s="8">
        <v>1.9199999999999998E-2</v>
      </c>
      <c r="P62" s="9" t="s">
        <v>33</v>
      </c>
      <c r="Q62" s="10"/>
      <c r="R62" s="12"/>
      <c r="S62" s="9"/>
      <c r="T62" s="10"/>
      <c r="U62" s="8"/>
      <c r="V62" s="9"/>
    </row>
    <row r="63" spans="2:22" ht="15.75" customHeight="1">
      <c r="B63" s="10"/>
      <c r="C63" s="8"/>
      <c r="D63" s="9"/>
      <c r="E63" s="10"/>
      <c r="F63" s="8"/>
      <c r="G63" s="9"/>
      <c r="H63" s="10"/>
      <c r="I63" s="12"/>
      <c r="J63" s="9"/>
      <c r="K63" s="10" t="s">
        <v>389</v>
      </c>
      <c r="L63" s="8">
        <v>1.47E-2</v>
      </c>
      <c r="M63" s="9" t="s">
        <v>37</v>
      </c>
      <c r="N63" s="10" t="s">
        <v>62</v>
      </c>
      <c r="O63" s="8">
        <v>1.9199999999999998E-2</v>
      </c>
      <c r="P63" s="9" t="s">
        <v>42</v>
      </c>
      <c r="Q63" s="10"/>
      <c r="R63" s="12"/>
      <c r="S63" s="9"/>
      <c r="T63" s="10"/>
      <c r="U63" s="8"/>
      <c r="V63" s="9"/>
    </row>
    <row r="64" spans="2:22" ht="15.75" customHeight="1">
      <c r="B64" s="10"/>
      <c r="C64" s="8"/>
      <c r="D64" s="9"/>
      <c r="E64" s="10"/>
      <c r="F64" s="8"/>
      <c r="G64" s="9"/>
      <c r="H64" s="10"/>
      <c r="I64" s="12"/>
      <c r="J64" s="9"/>
      <c r="K64" s="10" t="s">
        <v>390</v>
      </c>
      <c r="L64" s="8">
        <v>1.47E-2</v>
      </c>
      <c r="M64" s="9" t="s">
        <v>37</v>
      </c>
      <c r="N64" s="10" t="s">
        <v>360</v>
      </c>
      <c r="O64" s="8">
        <v>1.9199999999999998E-2</v>
      </c>
      <c r="P64" s="9" t="s">
        <v>42</v>
      </c>
      <c r="Q64" s="10"/>
      <c r="R64" s="12"/>
      <c r="S64" s="9"/>
      <c r="T64" s="10"/>
      <c r="U64" s="8"/>
      <c r="V64" s="9"/>
    </row>
    <row r="65" spans="2:22" ht="15.75" customHeight="1">
      <c r="B65" s="10"/>
      <c r="C65" s="8"/>
      <c r="D65" s="9"/>
      <c r="E65" s="10"/>
      <c r="F65" s="8"/>
      <c r="G65" s="9"/>
      <c r="H65" s="10"/>
      <c r="I65" s="12"/>
      <c r="J65" s="9"/>
      <c r="K65" s="10" t="s">
        <v>391</v>
      </c>
      <c r="L65" s="8">
        <v>1.47E-2</v>
      </c>
      <c r="M65" s="9" t="s">
        <v>37</v>
      </c>
      <c r="N65" s="10" t="s">
        <v>392</v>
      </c>
      <c r="O65" s="8">
        <v>1.9199999999999998E-2</v>
      </c>
      <c r="P65" s="9" t="s">
        <v>42</v>
      </c>
      <c r="Q65" s="10"/>
      <c r="R65" s="12"/>
      <c r="S65" s="9"/>
      <c r="T65" s="10"/>
      <c r="U65" s="8"/>
      <c r="V65" s="9"/>
    </row>
    <row r="66" spans="2:22" ht="15.75" customHeight="1">
      <c r="B66" s="10"/>
      <c r="C66" s="8"/>
      <c r="D66" s="9"/>
      <c r="E66" s="10"/>
      <c r="F66" s="8"/>
      <c r="G66" s="9"/>
      <c r="H66" s="10"/>
      <c r="I66" s="12"/>
      <c r="J66" s="9"/>
      <c r="K66" s="10" t="s">
        <v>298</v>
      </c>
      <c r="L66" s="8">
        <v>1.47E-2</v>
      </c>
      <c r="M66" s="9" t="s">
        <v>42</v>
      </c>
      <c r="N66" s="10" t="s">
        <v>393</v>
      </c>
      <c r="O66" s="8">
        <v>1.9199999999999998E-2</v>
      </c>
      <c r="P66" s="9" t="s">
        <v>27</v>
      </c>
      <c r="Q66" s="10"/>
      <c r="R66" s="12"/>
      <c r="S66" s="9"/>
      <c r="T66" s="10"/>
      <c r="U66" s="8"/>
      <c r="V66" s="9"/>
    </row>
    <row r="67" spans="2:22" ht="15.75" customHeight="1">
      <c r="B67" s="10"/>
      <c r="C67" s="8"/>
      <c r="D67" s="9"/>
      <c r="E67" s="10"/>
      <c r="F67" s="8"/>
      <c r="G67" s="9"/>
      <c r="H67" s="10"/>
      <c r="I67" s="12"/>
      <c r="J67" s="9"/>
      <c r="K67" s="10"/>
      <c r="L67" s="12"/>
      <c r="M67" s="9"/>
      <c r="N67" s="10" t="s">
        <v>69</v>
      </c>
      <c r="O67" s="8">
        <v>1.9199999999999998E-2</v>
      </c>
      <c r="P67" s="9" t="s">
        <v>42</v>
      </c>
      <c r="Q67" s="10"/>
      <c r="R67" s="12"/>
      <c r="S67" s="9"/>
      <c r="T67" s="10"/>
      <c r="U67" s="8"/>
      <c r="V67" s="9"/>
    </row>
    <row r="68" spans="2:22" ht="15.75" customHeight="1">
      <c r="B68" s="10"/>
      <c r="C68" s="8"/>
      <c r="D68" s="9"/>
      <c r="E68" s="10"/>
      <c r="F68" s="8"/>
      <c r="G68" s="9"/>
      <c r="H68" s="10"/>
      <c r="I68" s="12"/>
      <c r="J68" s="9"/>
      <c r="K68" s="10"/>
      <c r="L68" s="12"/>
      <c r="M68" s="9"/>
      <c r="N68" s="10" t="s">
        <v>298</v>
      </c>
      <c r="O68" s="8">
        <v>1.9199999999999998E-2</v>
      </c>
      <c r="P68" s="9" t="s">
        <v>42</v>
      </c>
      <c r="Q68" s="10"/>
      <c r="R68" s="12"/>
      <c r="S68" s="9"/>
      <c r="T68" s="10"/>
      <c r="U68" s="8"/>
      <c r="V68" s="9"/>
    </row>
    <row r="69" spans="2:22" ht="15.75" customHeight="1">
      <c r="B69" s="10"/>
      <c r="C69" s="8"/>
      <c r="D69" s="9"/>
      <c r="E69" s="10"/>
      <c r="F69" s="8"/>
      <c r="G69" s="9"/>
      <c r="H69" s="10"/>
      <c r="I69" s="12"/>
      <c r="J69" s="9"/>
      <c r="K69" s="10"/>
      <c r="L69" s="12"/>
      <c r="M69" s="9"/>
      <c r="N69" s="10" t="s">
        <v>394</v>
      </c>
      <c r="O69" s="8">
        <v>1.9199999999999998E-2</v>
      </c>
      <c r="P69" s="9" t="s">
        <v>27</v>
      </c>
      <c r="Q69" s="10"/>
      <c r="R69" s="12"/>
      <c r="S69" s="9"/>
      <c r="T69" s="10"/>
      <c r="U69" s="8"/>
      <c r="V69" s="9"/>
    </row>
    <row r="70" spans="2:22" ht="15.75" customHeight="1">
      <c r="B70" s="10"/>
      <c r="C70" s="8"/>
      <c r="D70" s="9"/>
      <c r="E70" s="10"/>
      <c r="F70" s="8"/>
      <c r="G70" s="9"/>
      <c r="H70" s="10"/>
      <c r="I70" s="12"/>
      <c r="J70" s="9"/>
      <c r="K70" s="10"/>
      <c r="L70" s="12"/>
      <c r="M70" s="9"/>
      <c r="N70" s="10" t="s">
        <v>395</v>
      </c>
      <c r="O70" s="8">
        <v>1.9199999999999998E-2</v>
      </c>
      <c r="P70" s="9"/>
      <c r="Q70" s="10"/>
      <c r="R70" s="12"/>
      <c r="S70" s="9"/>
      <c r="T70" s="10"/>
      <c r="U70" s="8"/>
      <c r="V70" s="9"/>
    </row>
    <row r="71" spans="2:22" ht="15.75" customHeight="1">
      <c r="B71" s="10"/>
      <c r="C71" s="8"/>
      <c r="D71" s="9"/>
      <c r="E71" s="10"/>
      <c r="F71" s="8"/>
      <c r="G71" s="9"/>
      <c r="H71" s="10"/>
      <c r="I71" s="12"/>
      <c r="J71" s="9"/>
      <c r="K71" s="10"/>
      <c r="L71" s="12"/>
      <c r="M71" s="9"/>
      <c r="N71" s="10"/>
      <c r="O71" s="12"/>
      <c r="P71" s="9"/>
      <c r="Q71" s="10"/>
      <c r="R71" s="12"/>
      <c r="S71" s="9"/>
      <c r="T71" s="10"/>
      <c r="U71" s="8"/>
      <c r="V71" s="9"/>
    </row>
    <row r="72" spans="2:22" ht="15.75" customHeight="1">
      <c r="B72" s="10"/>
      <c r="C72" s="12"/>
      <c r="D72" s="9"/>
      <c r="E72" s="10"/>
      <c r="F72" s="12"/>
      <c r="G72" s="9"/>
      <c r="H72" s="10"/>
      <c r="I72" s="12"/>
      <c r="J72" s="9"/>
      <c r="K72" s="10"/>
      <c r="L72" s="12"/>
      <c r="M72" s="9"/>
      <c r="N72" s="10"/>
      <c r="O72" s="12"/>
      <c r="P72" s="9"/>
      <c r="Q72" s="10"/>
      <c r="R72" s="12"/>
      <c r="S72" s="9"/>
      <c r="T72" s="10"/>
      <c r="U72" s="12"/>
      <c r="V72" s="9"/>
    </row>
    <row r="73" spans="2:22" ht="15.75" customHeight="1" thickBot="1">
      <c r="B73" s="13"/>
      <c r="C73" s="14"/>
      <c r="D73" s="15"/>
      <c r="E73" s="13"/>
      <c r="F73" s="14"/>
      <c r="G73" s="15"/>
      <c r="H73" s="13"/>
      <c r="I73" s="14"/>
      <c r="J73" s="15"/>
      <c r="K73" s="13"/>
      <c r="L73" s="14"/>
      <c r="M73" s="15"/>
      <c r="N73" s="13"/>
      <c r="O73" s="14"/>
      <c r="P73" s="15"/>
      <c r="Q73" s="13"/>
      <c r="R73" s="14"/>
      <c r="S73" s="15"/>
      <c r="T73" s="13"/>
      <c r="U73" s="14"/>
      <c r="V73" s="15"/>
    </row>
    <row r="74" spans="2:22" ht="15.75" customHeight="1">
      <c r="B74" s="4" t="str">
        <f>IF(22&lt;=DAY(EOMONTH(DATE(2026,$C$1,1),0)),$C$1&amp;"월 22일","")</f>
        <v>8월 22일</v>
      </c>
      <c r="C74" s="5"/>
      <c r="D74" s="6"/>
      <c r="E74" s="4" t="str">
        <f>IF(23&lt;=DAY(EOMONTH(DATE(2026,$C$1,1),0)),$C$1&amp;"월 23일","")</f>
        <v>8월 23일</v>
      </c>
      <c r="F74" s="5"/>
      <c r="G74" s="6"/>
      <c r="H74" s="4" t="str">
        <f>IF(24&lt;=DAY(EOMONTH(DATE(2026,$C$1,1),0)),$C$1&amp;"월 24일","")</f>
        <v>8월 24일</v>
      </c>
      <c r="I74" s="5"/>
      <c r="J74" s="6"/>
      <c r="K74" s="4" t="str">
        <f>IF(25&lt;=DAY(EOMONTH(DATE(2026,$C$1,1),0)),$C$1&amp;"월 25일","")</f>
        <v>8월 25일</v>
      </c>
      <c r="L74" s="5"/>
      <c r="M74" s="6"/>
      <c r="N74" s="4" t="str">
        <f>IF(26&lt;=DAY(EOMONTH(DATE(2026,$C$1,1),0)),$C$1&amp;"월 26일","")</f>
        <v>8월 26일</v>
      </c>
      <c r="O74" s="5"/>
      <c r="P74" s="6"/>
      <c r="Q74" s="4" t="str">
        <f>IF(27&lt;=DAY(EOMONTH(DATE(2026,$C$1,1),0)),$C$1&amp;"월 27일","")</f>
        <v>8월 27일</v>
      </c>
      <c r="R74" s="5"/>
      <c r="S74" s="6"/>
      <c r="T74" s="4" t="str">
        <f>IF(28&lt;=DAY(EOMONTH(DATE(2026,$C$1,1),0)),$C$1&amp;"월 28일","")</f>
        <v>8월 28일</v>
      </c>
      <c r="U74" s="5"/>
      <c r="V74" s="6"/>
    </row>
    <row r="75" spans="2:22" ht="15.75" customHeight="1">
      <c r="B75" s="10" t="s">
        <v>66</v>
      </c>
      <c r="C75" s="8">
        <v>0.4375</v>
      </c>
      <c r="D75" s="9" t="s">
        <v>33</v>
      </c>
      <c r="E75" s="10" t="s">
        <v>66</v>
      </c>
      <c r="F75" s="8">
        <v>0.23530000000000001</v>
      </c>
      <c r="G75" s="9" t="s">
        <v>33</v>
      </c>
      <c r="H75" s="10" t="s">
        <v>62</v>
      </c>
      <c r="I75" s="8">
        <v>8.3299999999999999E-2</v>
      </c>
      <c r="J75" s="9" t="s">
        <v>42</v>
      </c>
      <c r="K75" s="10" t="s">
        <v>30</v>
      </c>
      <c r="L75" s="8">
        <v>1.3299999999999999E-2</v>
      </c>
      <c r="M75" s="9" t="s">
        <v>27</v>
      </c>
      <c r="N75" s="10" t="s">
        <v>66</v>
      </c>
      <c r="O75" s="8">
        <v>0.1167</v>
      </c>
      <c r="P75" s="9" t="s">
        <v>33</v>
      </c>
      <c r="Q75" s="10" t="s">
        <v>66</v>
      </c>
      <c r="R75" s="8">
        <v>6.6699999999999995E-2</v>
      </c>
      <c r="S75" s="9" t="s">
        <v>33</v>
      </c>
      <c r="T75" s="10" t="s">
        <v>66</v>
      </c>
      <c r="U75" s="8">
        <v>0.10340000000000001</v>
      </c>
      <c r="V75" s="9" t="s">
        <v>33</v>
      </c>
    </row>
    <row r="76" spans="2:22" ht="15.75" customHeight="1">
      <c r="B76" s="10" t="s">
        <v>83</v>
      </c>
      <c r="C76" s="8">
        <v>0.375</v>
      </c>
      <c r="D76" s="9" t="s">
        <v>42</v>
      </c>
      <c r="E76" s="10" t="s">
        <v>62</v>
      </c>
      <c r="F76" s="8">
        <v>5.8799999999999998E-2</v>
      </c>
      <c r="G76" s="9" t="s">
        <v>42</v>
      </c>
      <c r="H76" s="10" t="s">
        <v>83</v>
      </c>
      <c r="I76" s="8">
        <v>5.5599999999999997E-2</v>
      </c>
      <c r="J76" s="9" t="s">
        <v>42</v>
      </c>
      <c r="K76" s="10" t="s">
        <v>48</v>
      </c>
      <c r="L76" s="8">
        <v>1.3299999999999999E-2</v>
      </c>
      <c r="M76" s="9" t="s">
        <v>27</v>
      </c>
      <c r="N76" s="10" t="s">
        <v>396</v>
      </c>
      <c r="O76" s="8">
        <v>3.3300000000000003E-2</v>
      </c>
      <c r="P76" s="9" t="s">
        <v>33</v>
      </c>
      <c r="Q76" s="10" t="s">
        <v>397</v>
      </c>
      <c r="R76" s="8">
        <v>2.2200000000000001E-2</v>
      </c>
      <c r="S76" s="9" t="s">
        <v>33</v>
      </c>
      <c r="T76" s="10" t="s">
        <v>397</v>
      </c>
      <c r="U76" s="11">
        <v>3.4500000000000003E-2</v>
      </c>
      <c r="V76" s="9" t="s">
        <v>33</v>
      </c>
    </row>
    <row r="77" spans="2:22" ht="15.75" customHeight="1">
      <c r="B77" s="10" t="s">
        <v>398</v>
      </c>
      <c r="C77" s="8">
        <v>6.25E-2</v>
      </c>
      <c r="D77" s="9" t="s">
        <v>33</v>
      </c>
      <c r="E77" s="10" t="s">
        <v>399</v>
      </c>
      <c r="F77" s="8">
        <v>5.8799999999999998E-2</v>
      </c>
      <c r="G77" s="9" t="s">
        <v>27</v>
      </c>
      <c r="H77" s="10" t="s">
        <v>400</v>
      </c>
      <c r="I77" s="8">
        <v>2.7799999999999998E-2</v>
      </c>
      <c r="J77" s="9"/>
      <c r="K77" s="10" t="s">
        <v>401</v>
      </c>
      <c r="L77" s="8">
        <v>1.3299999999999999E-2</v>
      </c>
      <c r="M77" s="9" t="s">
        <v>33</v>
      </c>
      <c r="N77" s="10" t="s">
        <v>402</v>
      </c>
      <c r="O77" s="8">
        <v>1.67E-2</v>
      </c>
      <c r="P77" s="9" t="s">
        <v>33</v>
      </c>
      <c r="Q77" s="10" t="s">
        <v>403</v>
      </c>
      <c r="R77" s="8">
        <v>2.2200000000000001E-2</v>
      </c>
      <c r="S77" s="9" t="s">
        <v>33</v>
      </c>
      <c r="T77" s="10" t="s">
        <v>404</v>
      </c>
      <c r="U77" s="11">
        <v>3.4500000000000003E-2</v>
      </c>
      <c r="V77" s="9" t="s">
        <v>42</v>
      </c>
    </row>
    <row r="78" spans="2:22" ht="15.75" customHeight="1">
      <c r="B78" s="10" t="s">
        <v>130</v>
      </c>
      <c r="C78" s="8">
        <v>6.25E-2</v>
      </c>
      <c r="D78" s="9" t="s">
        <v>33</v>
      </c>
      <c r="E78" s="10"/>
      <c r="F78" s="8"/>
      <c r="G78" s="9"/>
      <c r="H78" s="10" t="s">
        <v>405</v>
      </c>
      <c r="I78" s="8">
        <v>2.7799999999999998E-2</v>
      </c>
      <c r="J78" s="9" t="s">
        <v>37</v>
      </c>
      <c r="K78" s="10" t="s">
        <v>406</v>
      </c>
      <c r="L78" s="8">
        <v>1.3299999999999999E-2</v>
      </c>
      <c r="M78" s="9" t="s">
        <v>37</v>
      </c>
      <c r="N78" s="10" t="s">
        <v>397</v>
      </c>
      <c r="O78" s="8">
        <v>1.67E-2</v>
      </c>
      <c r="P78" s="9" t="s">
        <v>33</v>
      </c>
      <c r="Q78" s="10" t="s">
        <v>407</v>
      </c>
      <c r="R78" s="8">
        <v>2.2200000000000001E-2</v>
      </c>
      <c r="S78" s="9"/>
      <c r="T78" s="10" t="s">
        <v>408</v>
      </c>
      <c r="U78" s="8">
        <v>3.4500000000000003E-2</v>
      </c>
      <c r="V78" s="9" t="s">
        <v>33</v>
      </c>
    </row>
    <row r="79" spans="2:22" ht="15.75" customHeight="1">
      <c r="B79" s="10" t="s">
        <v>83</v>
      </c>
      <c r="C79" s="8">
        <v>6.25E-2</v>
      </c>
      <c r="D79" s="9" t="s">
        <v>42</v>
      </c>
      <c r="E79" s="10"/>
      <c r="F79" s="8"/>
      <c r="G79" s="9"/>
      <c r="H79" s="10" t="s">
        <v>66</v>
      </c>
      <c r="I79" s="8">
        <v>2.7799999999999998E-2</v>
      </c>
      <c r="J79" s="9" t="s">
        <v>33</v>
      </c>
      <c r="K79" s="10" t="s">
        <v>168</v>
      </c>
      <c r="L79" s="8">
        <v>1.3299999999999999E-2</v>
      </c>
      <c r="M79" s="9" t="s">
        <v>42</v>
      </c>
      <c r="N79" s="10" t="s">
        <v>409</v>
      </c>
      <c r="O79" s="8">
        <v>1.67E-2</v>
      </c>
      <c r="P79" s="9" t="s">
        <v>33</v>
      </c>
      <c r="Q79" s="10" t="s">
        <v>410</v>
      </c>
      <c r="R79" s="8">
        <v>2.2200000000000001E-2</v>
      </c>
      <c r="S79" s="9" t="s">
        <v>33</v>
      </c>
      <c r="T79" s="10" t="s">
        <v>66</v>
      </c>
      <c r="U79" s="8">
        <v>3.4500000000000003E-2</v>
      </c>
      <c r="V79" s="9" t="s">
        <v>33</v>
      </c>
    </row>
    <row r="80" spans="2:22" ht="15.75" customHeight="1">
      <c r="B80" s="10"/>
      <c r="C80" s="8"/>
      <c r="D80" s="9"/>
      <c r="E80" s="10"/>
      <c r="F80" s="8"/>
      <c r="G80" s="9"/>
      <c r="H80" s="10" t="s">
        <v>30</v>
      </c>
      <c r="I80" s="8">
        <v>2.7799999999999998E-2</v>
      </c>
      <c r="J80" s="9" t="s">
        <v>27</v>
      </c>
      <c r="K80" s="10" t="s">
        <v>41</v>
      </c>
      <c r="L80" s="8">
        <v>1.3299999999999999E-2</v>
      </c>
      <c r="M80" s="9" t="s">
        <v>42</v>
      </c>
      <c r="N80" s="10" t="s">
        <v>411</v>
      </c>
      <c r="O80" s="8">
        <v>1.67E-2</v>
      </c>
      <c r="P80" s="9" t="s">
        <v>37</v>
      </c>
      <c r="Q80" s="10" t="s">
        <v>294</v>
      </c>
      <c r="R80" s="8">
        <v>2.2200000000000001E-2</v>
      </c>
      <c r="S80" s="9" t="s">
        <v>33</v>
      </c>
      <c r="T80" s="10" t="s">
        <v>412</v>
      </c>
      <c r="U80" s="8">
        <v>3.4500000000000003E-2</v>
      </c>
      <c r="V80" s="9" t="s">
        <v>27</v>
      </c>
    </row>
    <row r="81" spans="2:22" ht="15.75" customHeight="1">
      <c r="B81" s="10"/>
      <c r="C81" s="8"/>
      <c r="D81" s="9"/>
      <c r="E81" s="10"/>
      <c r="F81" s="8"/>
      <c r="G81" s="9"/>
      <c r="H81" s="10" t="s">
        <v>413</v>
      </c>
      <c r="I81" s="8">
        <v>2.7799999999999998E-2</v>
      </c>
      <c r="J81" s="9" t="s">
        <v>42</v>
      </c>
      <c r="K81" s="10" t="s">
        <v>66</v>
      </c>
      <c r="L81" s="8">
        <v>0.04</v>
      </c>
      <c r="M81" s="9" t="s">
        <v>33</v>
      </c>
      <c r="N81" s="10" t="s">
        <v>414</v>
      </c>
      <c r="O81" s="8">
        <v>1.67E-2</v>
      </c>
      <c r="P81" s="9" t="s">
        <v>33</v>
      </c>
      <c r="Q81" s="10" t="s">
        <v>41</v>
      </c>
      <c r="R81" s="8">
        <v>2.2200000000000001E-2</v>
      </c>
      <c r="S81" s="9" t="s">
        <v>42</v>
      </c>
      <c r="T81" s="10" t="s">
        <v>415</v>
      </c>
      <c r="U81" s="8">
        <v>3.4500000000000003E-2</v>
      </c>
      <c r="V81" s="9" t="s">
        <v>33</v>
      </c>
    </row>
    <row r="82" spans="2:22" ht="15.75" customHeight="1">
      <c r="B82" s="10"/>
      <c r="C82" s="8"/>
      <c r="D82" s="9"/>
      <c r="E82" s="10"/>
      <c r="F82" s="8"/>
      <c r="G82" s="9"/>
      <c r="H82" s="10" t="s">
        <v>66</v>
      </c>
      <c r="I82" s="8">
        <v>5.5599999999999997E-2</v>
      </c>
      <c r="J82" s="9" t="s">
        <v>33</v>
      </c>
      <c r="K82" s="10" t="s">
        <v>397</v>
      </c>
      <c r="L82" s="8">
        <v>1.3299999999999999E-2</v>
      </c>
      <c r="M82" s="9" t="s">
        <v>33</v>
      </c>
      <c r="N82" s="10" t="s">
        <v>416</v>
      </c>
      <c r="O82" s="8">
        <v>1.67E-2</v>
      </c>
      <c r="P82" s="9" t="s">
        <v>35</v>
      </c>
      <c r="Q82" s="10" t="s">
        <v>417</v>
      </c>
      <c r="R82" s="8">
        <v>2.2200000000000001E-2</v>
      </c>
      <c r="S82" s="9" t="s">
        <v>33</v>
      </c>
      <c r="T82" s="10" t="s">
        <v>418</v>
      </c>
      <c r="U82" s="8">
        <v>3.4500000000000003E-2</v>
      </c>
      <c r="V82" s="9" t="s">
        <v>37</v>
      </c>
    </row>
    <row r="83" spans="2:22" ht="15.75" customHeight="1">
      <c r="B83" s="10"/>
      <c r="C83" s="8"/>
      <c r="D83" s="9"/>
      <c r="E83" s="10"/>
      <c r="F83" s="8"/>
      <c r="G83" s="9"/>
      <c r="H83" s="10" t="s">
        <v>48</v>
      </c>
      <c r="I83" s="8">
        <v>5.5599999999999997E-2</v>
      </c>
      <c r="J83" s="9" t="s">
        <v>27</v>
      </c>
      <c r="K83" s="10" t="s">
        <v>419</v>
      </c>
      <c r="L83" s="8">
        <v>1.3299999999999999E-2</v>
      </c>
      <c r="M83" s="9" t="s">
        <v>37</v>
      </c>
      <c r="N83" s="10" t="s">
        <v>62</v>
      </c>
      <c r="O83" s="8">
        <v>1.67E-2</v>
      </c>
      <c r="P83" s="9" t="s">
        <v>42</v>
      </c>
      <c r="Q83" s="10" t="s">
        <v>420</v>
      </c>
      <c r="R83" s="8">
        <v>2.2200000000000001E-2</v>
      </c>
      <c r="S83" s="9" t="s">
        <v>33</v>
      </c>
      <c r="T83" s="10" t="s">
        <v>421</v>
      </c>
      <c r="U83" s="8">
        <v>6.9000000000000006E-2</v>
      </c>
      <c r="V83" s="9" t="s">
        <v>27</v>
      </c>
    </row>
    <row r="84" spans="2:22" ht="15.75" customHeight="1">
      <c r="B84" s="10"/>
      <c r="C84" s="8"/>
      <c r="D84" s="9"/>
      <c r="E84" s="10"/>
      <c r="F84" s="8"/>
      <c r="G84" s="9"/>
      <c r="H84" s="10" t="s">
        <v>422</v>
      </c>
      <c r="I84" s="8">
        <v>2.7799999999999998E-2</v>
      </c>
      <c r="J84" s="9" t="s">
        <v>37</v>
      </c>
      <c r="K84" s="10" t="s">
        <v>403</v>
      </c>
      <c r="L84" s="8">
        <v>1.3299999999999999E-2</v>
      </c>
      <c r="M84" s="9" t="s">
        <v>33</v>
      </c>
      <c r="N84" s="10" t="s">
        <v>41</v>
      </c>
      <c r="O84" s="8">
        <v>1.67E-2</v>
      </c>
      <c r="P84" s="9" t="s">
        <v>42</v>
      </c>
      <c r="Q84" s="10" t="s">
        <v>66</v>
      </c>
      <c r="R84" s="8">
        <v>2.2200000000000001E-2</v>
      </c>
      <c r="S84" s="9" t="s">
        <v>33</v>
      </c>
      <c r="T84" s="10"/>
      <c r="U84" s="12"/>
      <c r="V84" s="9"/>
    </row>
    <row r="85" spans="2:22" ht="15.75" customHeight="1">
      <c r="B85" s="10"/>
      <c r="C85" s="8"/>
      <c r="D85" s="9"/>
      <c r="E85" s="10"/>
      <c r="F85" s="8"/>
      <c r="G85" s="9"/>
      <c r="H85" s="10" t="s">
        <v>423</v>
      </c>
      <c r="I85" s="8">
        <v>2.7799999999999998E-2</v>
      </c>
      <c r="J85" s="9" t="s">
        <v>37</v>
      </c>
      <c r="K85" s="10"/>
      <c r="L85" s="12"/>
      <c r="M85" s="9"/>
      <c r="N85" s="10" t="s">
        <v>424</v>
      </c>
      <c r="O85" s="8">
        <v>1.67E-2</v>
      </c>
      <c r="P85" s="9" t="s">
        <v>42</v>
      </c>
      <c r="Q85" s="10" t="s">
        <v>48</v>
      </c>
      <c r="R85" s="8">
        <v>2.2200000000000001E-2</v>
      </c>
      <c r="S85" s="9" t="s">
        <v>27</v>
      </c>
      <c r="T85" s="10"/>
      <c r="U85" s="12"/>
      <c r="V85" s="9"/>
    </row>
    <row r="86" spans="2:22" ht="15.75" customHeight="1">
      <c r="B86" s="10"/>
      <c r="C86" s="8"/>
      <c r="D86" s="9"/>
      <c r="E86" s="10"/>
      <c r="F86" s="8"/>
      <c r="G86" s="9"/>
      <c r="H86" s="10" t="s">
        <v>294</v>
      </c>
      <c r="I86" s="8">
        <v>2.7799999999999998E-2</v>
      </c>
      <c r="J86" s="9" t="s">
        <v>33</v>
      </c>
      <c r="K86" s="10"/>
      <c r="L86" s="12"/>
      <c r="M86" s="9"/>
      <c r="N86" s="10" t="s">
        <v>375</v>
      </c>
      <c r="O86" s="8">
        <v>1.67E-2</v>
      </c>
      <c r="P86" s="9" t="s">
        <v>42</v>
      </c>
      <c r="Q86" s="10" t="s">
        <v>409</v>
      </c>
      <c r="R86" s="8">
        <v>2.2200000000000001E-2</v>
      </c>
      <c r="S86" s="9" t="s">
        <v>33</v>
      </c>
      <c r="T86" s="10"/>
      <c r="U86" s="12"/>
      <c r="V86" s="9"/>
    </row>
    <row r="87" spans="2:22" ht="15.75" customHeight="1">
      <c r="B87" s="10"/>
      <c r="C87" s="8"/>
      <c r="D87" s="9"/>
      <c r="E87" s="10"/>
      <c r="F87" s="8"/>
      <c r="G87" s="9"/>
      <c r="H87" s="10" t="s">
        <v>83</v>
      </c>
      <c r="I87" s="8">
        <v>2.7799999999999998E-2</v>
      </c>
      <c r="J87" s="9" t="s">
        <v>42</v>
      </c>
      <c r="K87" s="10"/>
      <c r="L87" s="12"/>
      <c r="M87" s="9"/>
      <c r="N87" s="10" t="s">
        <v>425</v>
      </c>
      <c r="O87" s="8">
        <v>1.67E-2</v>
      </c>
      <c r="P87" s="9" t="s">
        <v>27</v>
      </c>
      <c r="Q87" s="10" t="s">
        <v>426</v>
      </c>
      <c r="R87" s="8">
        <v>2.2200000000000001E-2</v>
      </c>
      <c r="S87" s="9" t="s">
        <v>37</v>
      </c>
      <c r="T87" s="10"/>
      <c r="U87" s="12"/>
      <c r="V87" s="9"/>
    </row>
    <row r="88" spans="2:22" ht="15.75" customHeight="1">
      <c r="B88" s="10"/>
      <c r="C88" s="8"/>
      <c r="D88" s="9"/>
      <c r="E88" s="10"/>
      <c r="F88" s="8"/>
      <c r="G88" s="9"/>
      <c r="H88" s="10" t="s">
        <v>325</v>
      </c>
      <c r="I88" s="8">
        <v>2.7799999999999998E-2</v>
      </c>
      <c r="J88" s="9" t="s">
        <v>33</v>
      </c>
      <c r="K88" s="10"/>
      <c r="L88" s="12"/>
      <c r="M88" s="9"/>
      <c r="N88" s="10" t="s">
        <v>325</v>
      </c>
      <c r="O88" s="8">
        <v>1.67E-2</v>
      </c>
      <c r="P88" s="9" t="s">
        <v>33</v>
      </c>
      <c r="Q88" s="10" t="s">
        <v>62</v>
      </c>
      <c r="R88" s="8">
        <v>2.2200000000000001E-2</v>
      </c>
      <c r="S88" s="9" t="s">
        <v>42</v>
      </c>
      <c r="T88" s="10"/>
      <c r="U88" s="12"/>
      <c r="V88" s="9"/>
    </row>
    <row r="89" spans="2:22" ht="15.75" customHeight="1">
      <c r="B89" s="10"/>
      <c r="C89" s="8"/>
      <c r="D89" s="9"/>
      <c r="E89" s="10"/>
      <c r="F89" s="8"/>
      <c r="G89" s="9"/>
      <c r="H89" s="10" t="s">
        <v>427</v>
      </c>
      <c r="I89" s="8">
        <v>2.7799999999999998E-2</v>
      </c>
      <c r="J89" s="9" t="s">
        <v>37</v>
      </c>
      <c r="K89" s="10"/>
      <c r="L89" s="12"/>
      <c r="M89" s="9"/>
      <c r="N89" s="10" t="s">
        <v>428</v>
      </c>
      <c r="O89" s="8">
        <v>1.67E-2</v>
      </c>
      <c r="P89" s="9" t="s">
        <v>27</v>
      </c>
      <c r="Q89" s="10" t="s">
        <v>429</v>
      </c>
      <c r="R89" s="8">
        <v>2.2200000000000001E-2</v>
      </c>
      <c r="S89" s="9"/>
      <c r="T89" s="10"/>
      <c r="U89" s="12"/>
      <c r="V89" s="9"/>
    </row>
    <row r="90" spans="2:22" ht="15.75" customHeight="1">
      <c r="B90" s="10"/>
      <c r="C90" s="8"/>
      <c r="D90" s="9"/>
      <c r="E90" s="10"/>
      <c r="F90" s="8"/>
      <c r="G90" s="9"/>
      <c r="H90" s="10" t="s">
        <v>430</v>
      </c>
      <c r="I90" s="8">
        <v>2.7799999999999998E-2</v>
      </c>
      <c r="J90" s="9" t="s">
        <v>37</v>
      </c>
      <c r="K90" s="10"/>
      <c r="L90" s="12"/>
      <c r="M90" s="9"/>
      <c r="N90" s="10" t="s">
        <v>431</v>
      </c>
      <c r="O90" s="8">
        <v>1.67E-2</v>
      </c>
      <c r="P90" s="9" t="s">
        <v>33</v>
      </c>
      <c r="Q90" s="10" t="s">
        <v>432</v>
      </c>
      <c r="R90" s="8">
        <v>2.2200000000000001E-2</v>
      </c>
      <c r="S90" s="9" t="s">
        <v>27</v>
      </c>
      <c r="T90" s="10"/>
      <c r="U90" s="12"/>
      <c r="V90" s="9"/>
    </row>
    <row r="91" spans="2:22" ht="15.75" customHeight="1">
      <c r="B91" s="10"/>
      <c r="C91" s="8"/>
      <c r="D91" s="9"/>
      <c r="E91" s="10"/>
      <c r="F91" s="8"/>
      <c r="G91" s="9"/>
      <c r="H91" s="10"/>
      <c r="I91" s="12"/>
      <c r="J91" s="9"/>
      <c r="K91" s="10"/>
      <c r="L91" s="12"/>
      <c r="M91" s="9"/>
      <c r="N91" s="10" t="s">
        <v>433</v>
      </c>
      <c r="O91" s="8">
        <v>1.67E-2</v>
      </c>
      <c r="P91" s="9" t="s">
        <v>42</v>
      </c>
      <c r="Q91" s="10"/>
      <c r="R91" s="12"/>
      <c r="S91" s="9"/>
      <c r="T91" s="10"/>
      <c r="U91" s="12"/>
      <c r="V91" s="9"/>
    </row>
    <row r="92" spans="2:22" ht="15.75" customHeight="1">
      <c r="B92" s="10"/>
      <c r="C92" s="12"/>
      <c r="D92" s="9"/>
      <c r="E92" s="10"/>
      <c r="F92" s="8"/>
      <c r="G92" s="9"/>
      <c r="H92" s="10"/>
      <c r="I92" s="12"/>
      <c r="J92" s="9"/>
      <c r="K92" s="10"/>
      <c r="L92" s="12"/>
      <c r="M92" s="9"/>
      <c r="N92" s="10" t="s">
        <v>434</v>
      </c>
      <c r="O92" s="8">
        <v>1.67E-2</v>
      </c>
      <c r="P92" s="9" t="s">
        <v>42</v>
      </c>
      <c r="Q92" s="10"/>
      <c r="R92" s="12"/>
      <c r="S92" s="9"/>
      <c r="T92" s="10"/>
      <c r="U92" s="12"/>
      <c r="V92" s="9"/>
    </row>
    <row r="93" spans="2:22" ht="15.75" customHeight="1">
      <c r="B93" s="10"/>
      <c r="C93" s="12"/>
      <c r="D93" s="9"/>
      <c r="E93" s="10"/>
      <c r="F93" s="8"/>
      <c r="G93" s="9"/>
      <c r="H93" s="10"/>
      <c r="I93" s="12"/>
      <c r="J93" s="9"/>
      <c r="K93" s="10"/>
      <c r="L93" s="12"/>
      <c r="M93" s="9"/>
      <c r="N93" s="10" t="s">
        <v>144</v>
      </c>
      <c r="O93" s="8">
        <v>1.67E-2</v>
      </c>
      <c r="P93" s="9" t="s">
        <v>42</v>
      </c>
      <c r="Q93" s="10"/>
      <c r="R93" s="12"/>
      <c r="S93" s="9"/>
      <c r="T93" s="10"/>
      <c r="U93" s="12"/>
      <c r="V93" s="9"/>
    </row>
    <row r="94" spans="2:22" ht="15.75" customHeight="1">
      <c r="B94" s="16"/>
      <c r="C94" s="17"/>
      <c r="D94" s="18"/>
      <c r="E94" s="16"/>
      <c r="F94" s="19"/>
      <c r="G94" s="18"/>
      <c r="H94" s="16"/>
      <c r="I94" s="17"/>
      <c r="J94" s="18"/>
      <c r="K94" s="16"/>
      <c r="L94" s="17"/>
      <c r="M94" s="18"/>
      <c r="N94" s="16"/>
      <c r="O94" s="17"/>
      <c r="P94" s="18"/>
      <c r="Q94" s="16"/>
      <c r="R94" s="17"/>
      <c r="S94" s="18"/>
      <c r="T94" s="16"/>
      <c r="U94" s="17"/>
      <c r="V94" s="18"/>
    </row>
    <row r="95" spans="2:22" ht="15.75" customHeight="1" thickBot="1">
      <c r="B95" s="13"/>
      <c r="C95" s="14"/>
      <c r="D95" s="15"/>
      <c r="E95" s="13"/>
      <c r="F95" s="14"/>
      <c r="G95" s="15"/>
      <c r="H95" s="13"/>
      <c r="I95" s="14"/>
      <c r="J95" s="15"/>
      <c r="K95" s="13"/>
      <c r="L95" s="14"/>
      <c r="M95" s="15"/>
      <c r="N95" s="13"/>
      <c r="O95" s="14"/>
      <c r="P95" s="15"/>
      <c r="Q95" s="13"/>
      <c r="R95" s="14"/>
      <c r="S95" s="15"/>
      <c r="T95" s="13"/>
      <c r="U95" s="14"/>
      <c r="V95" s="15"/>
    </row>
    <row r="96" spans="2:22" ht="15.75" customHeight="1">
      <c r="B96" s="4" t="str">
        <f>IF(29&lt;=DAY(EOMONTH(DATE(2026,$C$1,1),0)),$C$1&amp;"월 29일","")</f>
        <v>8월 29일</v>
      </c>
      <c r="C96" s="5"/>
      <c r="D96" s="6"/>
      <c r="E96" s="4" t="str">
        <f>IF(30&lt;=DAY(EOMONTH(DATE(2026,$C$1,1),0)),$C$1&amp;"월 30일","")</f>
        <v>8월 30일</v>
      </c>
      <c r="F96" s="5"/>
      <c r="G96" s="6"/>
      <c r="H96" s="4" t="str">
        <f>IF(31&lt;=DAY(EOMONTH(DATE(2026,$C$1,1),0)),$C$1&amp;"월 31일","")</f>
        <v>8월 31일</v>
      </c>
      <c r="I96" s="5"/>
      <c r="J96" s="6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2:22" ht="15.75" customHeight="1">
      <c r="B97" s="10" t="s">
        <v>66</v>
      </c>
      <c r="C97" s="8">
        <v>0.21049999999999999</v>
      </c>
      <c r="D97" s="9" t="s">
        <v>33</v>
      </c>
      <c r="E97" s="10" t="s">
        <v>66</v>
      </c>
      <c r="F97" s="8">
        <v>0.15790000000000001</v>
      </c>
      <c r="G97" s="9" t="s">
        <v>33</v>
      </c>
      <c r="H97" s="10" t="s">
        <v>66</v>
      </c>
      <c r="I97" s="8">
        <v>8.5699999999999998E-2</v>
      </c>
      <c r="J97" s="9" t="s">
        <v>33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2:22" ht="15.75" customHeight="1">
      <c r="B98" s="10" t="s">
        <v>435</v>
      </c>
      <c r="C98" s="8">
        <v>0.1053</v>
      </c>
      <c r="D98" s="9" t="s">
        <v>33</v>
      </c>
      <c r="E98" s="10" t="s">
        <v>291</v>
      </c>
      <c r="F98" s="8">
        <v>5.2600000000000001E-2</v>
      </c>
      <c r="G98" s="9" t="s">
        <v>37</v>
      </c>
      <c r="H98" s="10" t="s">
        <v>435</v>
      </c>
      <c r="I98" s="8">
        <v>5.7099999999999998E-2</v>
      </c>
      <c r="J98" s="9" t="s">
        <v>33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2:22" ht="15.75" customHeight="1">
      <c r="B99" s="10" t="s">
        <v>436</v>
      </c>
      <c r="C99" s="8">
        <v>5.2600000000000001E-2</v>
      </c>
      <c r="D99" s="9" t="s">
        <v>33</v>
      </c>
      <c r="E99" s="10" t="s">
        <v>437</v>
      </c>
      <c r="F99" s="8">
        <v>5.2600000000000001E-2</v>
      </c>
      <c r="G99" s="9" t="s">
        <v>33</v>
      </c>
      <c r="H99" s="10" t="s">
        <v>438</v>
      </c>
      <c r="I99" s="8">
        <v>2.86E-2</v>
      </c>
      <c r="J99" s="9" t="s">
        <v>42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2:22" ht="15.75" customHeight="1">
      <c r="B100" s="10" t="s">
        <v>439</v>
      </c>
      <c r="C100" s="8">
        <v>5.2600000000000001E-2</v>
      </c>
      <c r="D100" s="9" t="s">
        <v>33</v>
      </c>
      <c r="E100" s="10" t="s">
        <v>440</v>
      </c>
      <c r="F100" s="8">
        <v>5.2600000000000001E-2</v>
      </c>
      <c r="G100" s="9" t="s">
        <v>33</v>
      </c>
      <c r="H100" s="10" t="s">
        <v>397</v>
      </c>
      <c r="I100" s="8">
        <v>2.86E-2</v>
      </c>
      <c r="J100" s="9" t="s">
        <v>33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2:22" ht="15.75" customHeight="1">
      <c r="B101" s="10" t="s">
        <v>41</v>
      </c>
      <c r="C101" s="8">
        <v>5.2600000000000001E-2</v>
      </c>
      <c r="D101" s="9" t="s">
        <v>42</v>
      </c>
      <c r="E101" s="10" t="s">
        <v>441</v>
      </c>
      <c r="F101" s="8">
        <v>5.2600000000000001E-2</v>
      </c>
      <c r="G101" s="9" t="s">
        <v>33</v>
      </c>
      <c r="H101" s="10" t="s">
        <v>30</v>
      </c>
      <c r="I101" s="8">
        <v>2.86E-2</v>
      </c>
      <c r="J101" s="9" t="s">
        <v>27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2:22" ht="15.75" customHeight="1">
      <c r="B102" s="10" t="s">
        <v>442</v>
      </c>
      <c r="C102" s="8">
        <v>5.2600000000000001E-2</v>
      </c>
      <c r="D102" s="9" t="s">
        <v>27</v>
      </c>
      <c r="E102" s="10" t="s">
        <v>30</v>
      </c>
      <c r="F102" s="8">
        <v>0.1053</v>
      </c>
      <c r="G102" s="9" t="s">
        <v>27</v>
      </c>
      <c r="H102" s="10" t="s">
        <v>443</v>
      </c>
      <c r="I102" s="8">
        <v>2.86E-2</v>
      </c>
      <c r="J102" s="9" t="s">
        <v>37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2:22" ht="15.75" customHeight="1">
      <c r="B103" s="10" t="s">
        <v>43</v>
      </c>
      <c r="C103" s="8">
        <v>5.2600000000000001E-2</v>
      </c>
      <c r="D103" s="9" t="s">
        <v>37</v>
      </c>
      <c r="E103" s="10" t="s">
        <v>444</v>
      </c>
      <c r="F103" s="8">
        <v>5.2600000000000001E-2</v>
      </c>
      <c r="G103" s="9" t="s">
        <v>37</v>
      </c>
      <c r="H103" s="10" t="s">
        <v>30</v>
      </c>
      <c r="I103" s="8">
        <v>2.86E-2</v>
      </c>
      <c r="J103" s="9" t="s">
        <v>27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2:22" ht="15.75" customHeight="1">
      <c r="B104" s="10"/>
      <c r="C104" s="8"/>
      <c r="D104" s="9"/>
      <c r="E104" s="10"/>
      <c r="F104" s="8"/>
      <c r="G104" s="9"/>
      <c r="H104" s="10" t="s">
        <v>48</v>
      </c>
      <c r="I104" s="8">
        <v>2.86E-2</v>
      </c>
      <c r="J104" s="9" t="s">
        <v>27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2:22" ht="15.75" customHeight="1">
      <c r="B105" s="10"/>
      <c r="C105" s="8"/>
      <c r="D105" s="9"/>
      <c r="E105" s="10"/>
      <c r="F105" s="8"/>
      <c r="G105" s="9"/>
      <c r="H105" s="10" t="s">
        <v>62</v>
      </c>
      <c r="I105" s="8">
        <v>2.86E-2</v>
      </c>
      <c r="J105" s="9" t="s">
        <v>42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2:22" ht="15.75" customHeight="1">
      <c r="B106" s="10"/>
      <c r="C106" s="8"/>
      <c r="D106" s="9"/>
      <c r="E106" s="10"/>
      <c r="F106" s="8"/>
      <c r="G106" s="9"/>
      <c r="H106" s="10" t="s">
        <v>442</v>
      </c>
      <c r="I106" s="8">
        <v>5.7099999999999998E-2</v>
      </c>
      <c r="J106" s="9" t="s">
        <v>27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2:22" ht="15.75" customHeight="1">
      <c r="B107" s="10"/>
      <c r="C107" s="8"/>
      <c r="D107" s="9"/>
      <c r="E107" s="10"/>
      <c r="F107" s="8"/>
      <c r="G107" s="9"/>
      <c r="H107" s="10" t="s">
        <v>95</v>
      </c>
      <c r="I107" s="8">
        <v>2.86E-2</v>
      </c>
      <c r="J107" s="9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2:22" ht="15.75" customHeight="1">
      <c r="B108" s="10"/>
      <c r="C108" s="8"/>
      <c r="D108" s="9"/>
      <c r="E108" s="10"/>
      <c r="F108" s="8"/>
      <c r="G108" s="9"/>
      <c r="H108" s="10"/>
      <c r="I108" s="12"/>
      <c r="J108" s="9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2:22" ht="15.75" customHeight="1">
      <c r="B109" s="10"/>
      <c r="C109" s="8"/>
      <c r="D109" s="9"/>
      <c r="E109" s="10"/>
      <c r="F109" s="8"/>
      <c r="G109" s="9"/>
      <c r="H109" s="10"/>
      <c r="I109" s="12"/>
      <c r="J109" s="9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2:22" ht="15.75" customHeight="1">
      <c r="B110" s="10"/>
      <c r="C110" s="8"/>
      <c r="D110" s="9"/>
      <c r="E110" s="10"/>
      <c r="F110" s="8"/>
      <c r="G110" s="9"/>
      <c r="H110" s="10"/>
      <c r="I110" s="12"/>
      <c r="J110" s="9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2:22" ht="15.75" customHeight="1">
      <c r="B111" s="10"/>
      <c r="C111" s="8"/>
      <c r="D111" s="9"/>
      <c r="E111" s="10"/>
      <c r="F111" s="8"/>
      <c r="G111" s="9"/>
      <c r="H111" s="10"/>
      <c r="I111" s="12"/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2:22" ht="15.75" customHeight="1">
      <c r="B112" s="10"/>
      <c r="C112" s="12"/>
      <c r="D112" s="9"/>
      <c r="E112" s="10"/>
      <c r="F112" s="8"/>
      <c r="G112" s="9"/>
      <c r="H112" s="10"/>
      <c r="I112" s="12"/>
      <c r="J112" s="9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2:22" ht="15.75" customHeight="1">
      <c r="B113" s="10"/>
      <c r="C113" s="12"/>
      <c r="D113" s="9"/>
      <c r="E113" s="10"/>
      <c r="F113" s="8"/>
      <c r="G113" s="9"/>
      <c r="H113" s="10"/>
      <c r="I113" s="12"/>
      <c r="J113" s="9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2:22" ht="15.75" customHeight="1">
      <c r="B114" s="10"/>
      <c r="C114" s="12"/>
      <c r="D114" s="9"/>
      <c r="E114" s="10"/>
      <c r="F114" s="8"/>
      <c r="G114" s="9"/>
      <c r="H114" s="10"/>
      <c r="I114" s="12"/>
      <c r="J114" s="9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2:22" ht="15.75" customHeight="1">
      <c r="B115" s="10"/>
      <c r="C115" s="12"/>
      <c r="D115" s="9"/>
      <c r="E115" s="10"/>
      <c r="F115" s="8"/>
      <c r="G115" s="9"/>
      <c r="H115" s="10"/>
      <c r="I115" s="12"/>
      <c r="J115" s="9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2:22" ht="15.75" customHeight="1">
      <c r="B116" s="10"/>
      <c r="C116" s="12"/>
      <c r="D116" s="9"/>
      <c r="E116" s="10"/>
      <c r="F116" s="8"/>
      <c r="G116" s="9"/>
      <c r="H116" s="10"/>
      <c r="I116" s="12"/>
      <c r="J116" s="9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2:22" ht="15.75" customHeight="1" thickBot="1">
      <c r="B117" s="13"/>
      <c r="C117" s="14"/>
      <c r="D117" s="15"/>
      <c r="E117" s="13"/>
      <c r="F117" s="14"/>
      <c r="G117" s="15"/>
      <c r="H117" s="13"/>
      <c r="I117" s="14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</sheetData>
  <mergeCells count="1">
    <mergeCell ref="D1:V1"/>
  </mergeCells>
  <phoneticPr fontId="19" type="noConversion"/>
  <dataValidations count="2">
    <dataValidation type="list" allowBlank="1" sqref="D3:D137 G3:G137 J3:J137 M3:M137 P3:P137 S3:S137 V3:V137">
      <formula1>"Trend,Media,About,Data,People"</formula1>
      <formula2>0</formula2>
    </dataValidation>
    <dataValidation type="list" sqref="C1">
      <formula1>"1,2,3,4,5,6,7,8,9,10,11,12"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zoomScale="85" zoomScaleNormal="85" workbookViewId="0">
      <selection activeCell="K9" sqref="K9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3.33203125" style="150" customWidth="1"/>
    <col min="5" max="5" width="20" style="150" customWidth="1"/>
    <col min="6" max="6" width="10" style="150" customWidth="1"/>
    <col min="7" max="7" width="3" style="150" customWidth="1"/>
    <col min="8" max="8" width="14.88671875" style="150" customWidth="1"/>
    <col min="9" max="9" width="63.88671875" customWidth="1"/>
    <col min="11" max="11" width="52.5546875" style="150" customWidth="1"/>
  </cols>
  <sheetData>
    <row r="1" spans="2:14" ht="27.75" customHeight="1">
      <c r="B1" s="166" t="s">
        <v>445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2:14" ht="18.600000000000001" customHeight="1" thickBot="1"/>
    <row r="3" spans="2:14" ht="19.5" customHeight="1" thickBot="1">
      <c r="B3" s="164" t="s">
        <v>6</v>
      </c>
      <c r="C3" s="165"/>
      <c r="E3" s="164" t="s">
        <v>7</v>
      </c>
      <c r="F3" s="165"/>
      <c r="H3" s="197"/>
      <c r="I3" s="197" t="s">
        <v>8</v>
      </c>
      <c r="J3" s="44" t="s">
        <v>9</v>
      </c>
      <c r="K3"/>
    </row>
    <row r="4" spans="2:14" ht="16.5" customHeight="1" thickBot="1">
      <c r="B4" s="21" t="s">
        <v>9</v>
      </c>
      <c r="C4" s="33">
        <v>1985</v>
      </c>
      <c r="E4" s="23" t="s">
        <v>195</v>
      </c>
      <c r="F4" s="34">
        <v>0.30759999999999998</v>
      </c>
      <c r="H4" s="128">
        <v>1</v>
      </c>
      <c r="I4" s="194" t="s">
        <v>1603</v>
      </c>
      <c r="J4" s="195">
        <v>460</v>
      </c>
    </row>
    <row r="5" spans="2:14" ht="16.5" customHeight="1" thickBot="1">
      <c r="B5" s="7" t="s">
        <v>10</v>
      </c>
      <c r="C5" s="38">
        <v>1082</v>
      </c>
      <c r="E5" s="10" t="s">
        <v>189</v>
      </c>
      <c r="F5" s="35">
        <v>0.1898</v>
      </c>
      <c r="H5" s="126">
        <v>2</v>
      </c>
      <c r="I5" s="192" t="s">
        <v>1604</v>
      </c>
      <c r="J5" s="193">
        <v>157</v>
      </c>
    </row>
    <row r="6" spans="2:14" ht="16.5" customHeight="1" thickBot="1">
      <c r="B6" s="21" t="s">
        <v>11</v>
      </c>
      <c r="C6" s="33">
        <v>1318</v>
      </c>
      <c r="E6" s="23" t="s">
        <v>191</v>
      </c>
      <c r="F6" s="34">
        <v>0.14119999999999999</v>
      </c>
      <c r="H6" s="126">
        <v>3</v>
      </c>
      <c r="I6" s="192" t="s">
        <v>1605</v>
      </c>
      <c r="J6" s="193">
        <v>104</v>
      </c>
    </row>
    <row r="7" spans="2:14" ht="16.5" customHeight="1" thickBot="1">
      <c r="B7" s="7" t="s">
        <v>12</v>
      </c>
      <c r="C7" s="35">
        <v>0.104</v>
      </c>
      <c r="E7" s="10" t="s">
        <v>193</v>
      </c>
      <c r="F7" s="35">
        <v>0.1172</v>
      </c>
      <c r="H7" s="126">
        <v>4</v>
      </c>
      <c r="I7" s="192" t="s">
        <v>1606</v>
      </c>
      <c r="J7" s="193">
        <v>103</v>
      </c>
    </row>
    <row r="8" spans="2:14" ht="16.5" customHeight="1" thickBot="1">
      <c r="B8" s="25" t="s">
        <v>13</v>
      </c>
      <c r="C8" s="26" t="s">
        <v>1602</v>
      </c>
      <c r="E8" s="27" t="s">
        <v>198</v>
      </c>
      <c r="F8" s="37">
        <v>0.10349999999999999</v>
      </c>
      <c r="H8" s="126">
        <v>5</v>
      </c>
      <c r="I8" s="192" t="s">
        <v>1607</v>
      </c>
      <c r="J8" s="193">
        <v>90</v>
      </c>
    </row>
    <row r="9" spans="2:14" ht="17.399999999999999" customHeight="1" thickBot="1">
      <c r="H9" s="126">
        <v>6</v>
      </c>
      <c r="I9" s="192" t="s">
        <v>1608</v>
      </c>
      <c r="J9" s="193">
        <v>63</v>
      </c>
    </row>
    <row r="10" spans="2:14" ht="19.5" customHeight="1" thickBot="1">
      <c r="B10" s="164" t="s">
        <v>14</v>
      </c>
      <c r="C10" s="165"/>
      <c r="E10" s="164" t="s">
        <v>15</v>
      </c>
      <c r="F10" s="165"/>
      <c r="H10" s="126">
        <v>7</v>
      </c>
      <c r="I10" s="192" t="s">
        <v>1609</v>
      </c>
      <c r="J10" s="193">
        <v>43</v>
      </c>
    </row>
    <row r="11" spans="2:14" ht="16.5" customHeight="1" thickBot="1">
      <c r="B11" s="40" t="s">
        <v>446</v>
      </c>
      <c r="C11" s="41">
        <v>1835</v>
      </c>
      <c r="E11" s="21" t="s">
        <v>16</v>
      </c>
      <c r="F11" s="34">
        <v>0.46899999999999997</v>
      </c>
      <c r="H11" s="126">
        <v>8</v>
      </c>
      <c r="I11" s="192" t="s">
        <v>1610</v>
      </c>
      <c r="J11" s="193">
        <v>32</v>
      </c>
    </row>
    <row r="12" spans="2:14" ht="19.2" customHeight="1" thickBot="1">
      <c r="B12" s="42">
        <v>2026.05</v>
      </c>
      <c r="C12" s="43">
        <v>1114</v>
      </c>
      <c r="E12" s="13" t="s">
        <v>17</v>
      </c>
      <c r="F12" s="39">
        <v>0.53100000000000003</v>
      </c>
      <c r="H12" s="126">
        <v>9</v>
      </c>
      <c r="I12" s="192" t="s">
        <v>1611</v>
      </c>
      <c r="J12" s="193">
        <v>23</v>
      </c>
    </row>
    <row r="13" spans="2:14" ht="18" customHeight="1" thickBot="1">
      <c r="B13" s="45">
        <v>2026.06</v>
      </c>
      <c r="C13" s="46">
        <v>1686</v>
      </c>
      <c r="E13" s="116"/>
      <c r="F13" s="117"/>
      <c r="H13" s="126">
        <v>10</v>
      </c>
      <c r="I13" s="198" t="s">
        <v>1612</v>
      </c>
      <c r="J13" s="193">
        <v>22</v>
      </c>
    </row>
    <row r="14" spans="2:14" ht="19.5" customHeight="1" thickBot="1">
      <c r="B14" s="27">
        <v>2026.07</v>
      </c>
      <c r="C14" s="33">
        <v>1815</v>
      </c>
      <c r="H14" s="199">
        <v>10</v>
      </c>
      <c r="I14" s="196" t="s">
        <v>1613</v>
      </c>
      <c r="J14" s="200">
        <v>22</v>
      </c>
    </row>
    <row r="15" spans="2:14" ht="16.5" customHeight="1" thickBot="1">
      <c r="B15" s="27">
        <v>2026.08</v>
      </c>
      <c r="C15" s="33">
        <v>1985</v>
      </c>
      <c r="E15" s="164" t="s">
        <v>18</v>
      </c>
      <c r="F15" s="165"/>
    </row>
    <row r="16" spans="2:14" ht="16.5" customHeight="1" thickBot="1">
      <c r="E16" s="21" t="s">
        <v>447</v>
      </c>
      <c r="F16" s="22" t="s">
        <v>448</v>
      </c>
    </row>
    <row r="17" spans="2:6" ht="16.5" customHeight="1" thickBot="1">
      <c r="B17" s="164" t="s">
        <v>20</v>
      </c>
      <c r="C17" s="165"/>
      <c r="E17" s="114" t="s">
        <v>21</v>
      </c>
      <c r="F17" s="115"/>
    </row>
    <row r="18" spans="2:6" ht="16.5" customHeight="1">
      <c r="B18" s="23" t="s">
        <v>147</v>
      </c>
      <c r="C18" s="34">
        <v>0.42949999999999999</v>
      </c>
    </row>
    <row r="19" spans="2:6" ht="16.5" customHeight="1">
      <c r="B19" s="10" t="s">
        <v>66</v>
      </c>
      <c r="C19" s="35">
        <v>0.1051</v>
      </c>
    </row>
    <row r="20" spans="2:6" ht="16.5" customHeight="1">
      <c r="B20" s="23" t="s">
        <v>83</v>
      </c>
      <c r="C20" s="34">
        <v>4.7399999999999998E-2</v>
      </c>
    </row>
    <row r="21" spans="2:6" ht="16.5" customHeight="1">
      <c r="B21" s="10" t="s">
        <v>30</v>
      </c>
      <c r="C21" s="35">
        <v>3.9699999999999999E-2</v>
      </c>
    </row>
    <row r="22" spans="2:6" ht="16.5" customHeight="1">
      <c r="B22" s="23" t="s">
        <v>48</v>
      </c>
      <c r="C22" s="34">
        <v>2.0500000000000001E-2</v>
      </c>
    </row>
    <row r="23" spans="2:6" ht="16.5" customHeight="1">
      <c r="B23" s="10" t="s">
        <v>298</v>
      </c>
      <c r="C23" s="35">
        <v>1.67E-2</v>
      </c>
    </row>
    <row r="24" spans="2:6" ht="16.5" customHeight="1">
      <c r="B24" s="23" t="s">
        <v>62</v>
      </c>
      <c r="C24" s="34">
        <v>1.54E-2</v>
      </c>
    </row>
    <row r="25" spans="2:6" ht="16.5" customHeight="1">
      <c r="B25" s="10" t="s">
        <v>41</v>
      </c>
      <c r="C25" s="35">
        <v>1.41E-2</v>
      </c>
    </row>
    <row r="26" spans="2:6" ht="16.5" customHeight="1">
      <c r="B26" s="23" t="s">
        <v>330</v>
      </c>
      <c r="C26" s="34">
        <v>7.7000000000000002E-3</v>
      </c>
    </row>
    <row r="27" spans="2:6" ht="16.5" customHeight="1" thickBot="1">
      <c r="B27" s="13" t="s">
        <v>291</v>
      </c>
      <c r="C27" s="39">
        <v>6.4000000000000003E-3</v>
      </c>
    </row>
    <row r="28" spans="2:6" ht="15" customHeight="1">
      <c r="B28" s="131"/>
      <c r="C28" s="132"/>
    </row>
  </sheetData>
  <mergeCells count="7">
    <mergeCell ref="B17:C17"/>
    <mergeCell ref="E3:F3"/>
    <mergeCell ref="E15:F15"/>
    <mergeCell ref="B1:N1"/>
    <mergeCell ref="B3:C3"/>
    <mergeCell ref="E10:F10"/>
    <mergeCell ref="B10:C10"/>
  </mergeCells>
  <phoneticPr fontId="19" type="noConversion"/>
  <hyperlinks>
    <hyperlink ref="I4" r:id="rId1" display="https://blog.stat.naver.com/blog/article/224366936299/cv"/>
    <hyperlink ref="I5" r:id="rId2" display="https://blog.stat.naver.com/blog/article/224371164182/cv"/>
    <hyperlink ref="I6" r:id="rId3" display="https://blog.stat.naver.com/blog/article/224285603804/cv"/>
    <hyperlink ref="I7" r:id="rId4" display="https://blog.stat.naver.com/blog/article/224210045894/cv"/>
    <hyperlink ref="I8" r:id="rId5" display="https://blog.stat.naver.com/blog/article/224290016541/cv"/>
    <hyperlink ref="I9" r:id="rId6" display="https://blog.stat.naver.com/blog/article/224361394929/cv"/>
    <hyperlink ref="I10" r:id="rId7" display="https://blog.stat.naver.com/blog/article/224351729516/cv"/>
    <hyperlink ref="I11" r:id="rId8" display="https://blog.stat.naver.com/blog/article/224328204507/cv"/>
    <hyperlink ref="I12" r:id="rId9" display="https://blog.stat.naver.com/blog/article/224360276037/cv"/>
    <hyperlink ref="I13" r:id="rId10" display="https://blog.stat.naver.com/blog/article/224340024984/cv"/>
    <hyperlink ref="I14" r:id="rId11" display="https://blog.stat.naver.com/blog/article/224376544246/cv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8"/>
  <sheetViews>
    <sheetView zoomScaleNormal="100" workbookViewId="0">
      <selection activeCell="J11" sqref="J11"/>
    </sheetView>
  </sheetViews>
  <sheetFormatPr defaultColWidth="8.6640625" defaultRowHeight="14.4"/>
  <cols>
    <col min="1" max="1" width="16" style="150" customWidth="1"/>
    <col min="2" max="2" width="10" style="150" customWidth="1"/>
    <col min="3" max="3" width="46" style="150" customWidth="1"/>
    <col min="4" max="6" width="10" style="150" customWidth="1"/>
  </cols>
  <sheetData>
    <row r="1" spans="1:6" ht="19.5" customHeight="1">
      <c r="A1" s="1" t="s">
        <v>22</v>
      </c>
      <c r="B1" s="1" t="s">
        <v>23</v>
      </c>
      <c r="C1" s="1" t="s">
        <v>2</v>
      </c>
      <c r="D1" s="1" t="s">
        <v>24</v>
      </c>
      <c r="E1" s="1" t="s">
        <v>25</v>
      </c>
      <c r="F1" s="1" t="s">
        <v>4</v>
      </c>
    </row>
    <row r="2" spans="1:6" ht="15.75" customHeight="1">
      <c r="A2" s="137" t="s">
        <v>147</v>
      </c>
      <c r="B2" s="137" t="s">
        <v>449</v>
      </c>
      <c r="C2" s="137" t="s">
        <v>147</v>
      </c>
      <c r="D2" s="137" t="s">
        <v>270</v>
      </c>
      <c r="E2" s="137">
        <v>9</v>
      </c>
      <c r="F2" s="138" t="s">
        <v>33</v>
      </c>
    </row>
    <row r="3" spans="1:6" ht="15.75" customHeight="1">
      <c r="A3" s="137" t="s">
        <v>147</v>
      </c>
      <c r="B3" s="137" t="s">
        <v>449</v>
      </c>
      <c r="C3" s="137" t="s">
        <v>66</v>
      </c>
      <c r="D3" s="137" t="s">
        <v>252</v>
      </c>
      <c r="E3" s="137">
        <v>2</v>
      </c>
      <c r="F3" s="138" t="s">
        <v>33</v>
      </c>
    </row>
    <row r="4" spans="1:6" ht="15.75" customHeight="1">
      <c r="A4" s="137" t="s">
        <v>147</v>
      </c>
      <c r="B4" s="137" t="s">
        <v>449</v>
      </c>
      <c r="C4" s="137" t="s">
        <v>66</v>
      </c>
      <c r="D4" s="137" t="s">
        <v>226</v>
      </c>
      <c r="E4" s="137">
        <v>1</v>
      </c>
      <c r="F4" s="138" t="s">
        <v>33</v>
      </c>
    </row>
    <row r="5" spans="1:6" ht="15.75" customHeight="1">
      <c r="A5" s="137" t="s">
        <v>147</v>
      </c>
      <c r="B5" s="137" t="s">
        <v>450</v>
      </c>
      <c r="C5" s="137" t="s">
        <v>147</v>
      </c>
      <c r="D5" s="137" t="s">
        <v>451</v>
      </c>
      <c r="E5" s="137">
        <v>9</v>
      </c>
      <c r="F5" s="138" t="s">
        <v>33</v>
      </c>
    </row>
    <row r="6" spans="1:6" ht="15.75" customHeight="1">
      <c r="A6" s="137" t="s">
        <v>147</v>
      </c>
      <c r="B6" s="137" t="s">
        <v>450</v>
      </c>
      <c r="C6" s="137" t="s">
        <v>66</v>
      </c>
      <c r="D6" s="137" t="s">
        <v>452</v>
      </c>
      <c r="E6" s="137">
        <v>2</v>
      </c>
      <c r="F6" s="138" t="s">
        <v>33</v>
      </c>
    </row>
    <row r="7" spans="1:6" ht="15.75" customHeight="1">
      <c r="A7" s="137" t="s">
        <v>147</v>
      </c>
      <c r="B7" s="137" t="s">
        <v>450</v>
      </c>
      <c r="C7" s="137" t="s">
        <v>300</v>
      </c>
      <c r="D7" s="137" t="s">
        <v>453</v>
      </c>
      <c r="E7" s="137">
        <v>1</v>
      </c>
      <c r="F7" s="138" t="s">
        <v>33</v>
      </c>
    </row>
    <row r="8" spans="1:6" ht="15.75" customHeight="1">
      <c r="A8" s="137" t="s">
        <v>147</v>
      </c>
      <c r="B8" s="137" t="s">
        <v>450</v>
      </c>
      <c r="C8" s="137" t="s">
        <v>147</v>
      </c>
      <c r="D8" s="137" t="s">
        <v>454</v>
      </c>
      <c r="E8" s="137">
        <v>8</v>
      </c>
      <c r="F8" s="138" t="s">
        <v>33</v>
      </c>
    </row>
    <row r="9" spans="1:6" ht="15.75" customHeight="1">
      <c r="A9" s="137" t="s">
        <v>147</v>
      </c>
      <c r="B9" s="137" t="s">
        <v>450</v>
      </c>
      <c r="C9" s="137" t="s">
        <v>66</v>
      </c>
      <c r="D9" s="137" t="s">
        <v>455</v>
      </c>
      <c r="E9" s="137">
        <v>3</v>
      </c>
      <c r="F9" s="138" t="s">
        <v>33</v>
      </c>
    </row>
    <row r="10" spans="1:6" ht="15.75" customHeight="1">
      <c r="A10" s="137" t="s">
        <v>147</v>
      </c>
      <c r="B10" s="137" t="s">
        <v>450</v>
      </c>
      <c r="C10" s="137" t="s">
        <v>315</v>
      </c>
      <c r="D10" s="137" t="s">
        <v>453</v>
      </c>
      <c r="E10" s="137">
        <v>1</v>
      </c>
      <c r="F10" s="138" t="s">
        <v>33</v>
      </c>
    </row>
    <row r="11" spans="1:6" ht="15.75" customHeight="1">
      <c r="A11" s="137" t="s">
        <v>147</v>
      </c>
      <c r="B11" s="137" t="s">
        <v>456</v>
      </c>
      <c r="C11" s="137" t="s">
        <v>307</v>
      </c>
      <c r="D11" s="137" t="s">
        <v>214</v>
      </c>
      <c r="E11" s="137">
        <v>1</v>
      </c>
      <c r="F11" s="138" t="s">
        <v>33</v>
      </c>
    </row>
    <row r="12" spans="1:6" ht="15.75" customHeight="1">
      <c r="A12" s="137" t="s">
        <v>147</v>
      </c>
      <c r="B12" s="137" t="s">
        <v>456</v>
      </c>
      <c r="C12" s="137" t="s">
        <v>147</v>
      </c>
      <c r="D12" s="137" t="s">
        <v>214</v>
      </c>
      <c r="E12" s="137">
        <v>1</v>
      </c>
      <c r="F12" s="138" t="s">
        <v>33</v>
      </c>
    </row>
    <row r="13" spans="1:6" ht="15.75" customHeight="1">
      <c r="A13" s="137" t="s">
        <v>147</v>
      </c>
      <c r="B13" s="137" t="s">
        <v>457</v>
      </c>
      <c r="C13" s="137" t="s">
        <v>147</v>
      </c>
      <c r="D13" s="137" t="s">
        <v>458</v>
      </c>
      <c r="E13" s="137">
        <v>25</v>
      </c>
      <c r="F13" s="138" t="s">
        <v>33</v>
      </c>
    </row>
    <row r="14" spans="1:6" ht="15.75" customHeight="1">
      <c r="A14" s="137" t="s">
        <v>147</v>
      </c>
      <c r="B14" s="137" t="s">
        <v>457</v>
      </c>
      <c r="C14" s="137" t="s">
        <v>147</v>
      </c>
      <c r="D14" s="137" t="s">
        <v>235</v>
      </c>
      <c r="E14" s="137">
        <v>1</v>
      </c>
      <c r="F14" s="138" t="s">
        <v>33</v>
      </c>
    </row>
    <row r="15" spans="1:6" ht="15.75" customHeight="1">
      <c r="A15" s="137" t="s">
        <v>147</v>
      </c>
      <c r="B15" s="137" t="s">
        <v>459</v>
      </c>
      <c r="C15" s="137" t="s">
        <v>147</v>
      </c>
      <c r="D15" s="137" t="s">
        <v>460</v>
      </c>
      <c r="E15" s="137">
        <v>32</v>
      </c>
      <c r="F15" s="138" t="s">
        <v>33</v>
      </c>
    </row>
    <row r="16" spans="1:6" ht="15.75" customHeight="1">
      <c r="A16" s="137" t="s">
        <v>147</v>
      </c>
      <c r="B16" s="137" t="s">
        <v>459</v>
      </c>
      <c r="C16" s="137" t="s">
        <v>147</v>
      </c>
      <c r="D16" s="137" t="s">
        <v>461</v>
      </c>
      <c r="E16" s="137">
        <v>8</v>
      </c>
      <c r="F16" s="138" t="s">
        <v>33</v>
      </c>
    </row>
    <row r="17" spans="1:6" ht="15.75" customHeight="1">
      <c r="A17" s="137" t="s">
        <v>147</v>
      </c>
      <c r="B17" s="137" t="s">
        <v>462</v>
      </c>
      <c r="C17" s="137" t="s">
        <v>147</v>
      </c>
      <c r="D17" s="137" t="s">
        <v>463</v>
      </c>
      <c r="E17" s="137">
        <v>19</v>
      </c>
      <c r="F17" s="138" t="s">
        <v>33</v>
      </c>
    </row>
    <row r="18" spans="1:6" ht="15.75" customHeight="1">
      <c r="A18" s="137" t="s">
        <v>147</v>
      </c>
      <c r="B18" s="137" t="s">
        <v>462</v>
      </c>
      <c r="C18" s="137" t="s">
        <v>147</v>
      </c>
      <c r="D18" s="137" t="s">
        <v>252</v>
      </c>
      <c r="E18" s="137">
        <v>5</v>
      </c>
      <c r="F18" s="138" t="s">
        <v>33</v>
      </c>
    </row>
    <row r="19" spans="1:6" ht="15.75" customHeight="1">
      <c r="A19" s="137" t="s">
        <v>147</v>
      </c>
      <c r="B19" s="137" t="s">
        <v>464</v>
      </c>
      <c r="C19" s="137" t="s">
        <v>147</v>
      </c>
      <c r="D19" s="137" t="s">
        <v>465</v>
      </c>
      <c r="E19" s="137">
        <v>26</v>
      </c>
      <c r="F19" s="138" t="s">
        <v>33</v>
      </c>
    </row>
    <row r="20" spans="1:6" ht="15.75" customHeight="1">
      <c r="A20" s="137" t="s">
        <v>147</v>
      </c>
      <c r="B20" s="137" t="s">
        <v>464</v>
      </c>
      <c r="C20" s="137" t="s">
        <v>147</v>
      </c>
      <c r="D20" s="137" t="s">
        <v>466</v>
      </c>
      <c r="E20" s="137">
        <v>5</v>
      </c>
      <c r="F20" s="138" t="s">
        <v>33</v>
      </c>
    </row>
    <row r="21" spans="1:6" ht="15.75" customHeight="1">
      <c r="A21" s="137" t="s">
        <v>147</v>
      </c>
      <c r="B21" s="137" t="s">
        <v>467</v>
      </c>
      <c r="C21" s="137" t="s">
        <v>147</v>
      </c>
      <c r="D21" s="137" t="s">
        <v>468</v>
      </c>
      <c r="E21" s="137">
        <v>22</v>
      </c>
      <c r="F21" s="138" t="s">
        <v>33</v>
      </c>
    </row>
    <row r="22" spans="1:6" ht="15.75" customHeight="1">
      <c r="A22" s="137" t="s">
        <v>147</v>
      </c>
      <c r="B22" s="137" t="s">
        <v>467</v>
      </c>
      <c r="C22" s="137" t="s">
        <v>330</v>
      </c>
      <c r="D22" s="137" t="s">
        <v>469</v>
      </c>
      <c r="E22" s="137">
        <v>5</v>
      </c>
      <c r="F22" s="138" t="s">
        <v>33</v>
      </c>
    </row>
    <row r="23" spans="1:6" ht="15.75" customHeight="1">
      <c r="A23" s="137" t="s">
        <v>147</v>
      </c>
      <c r="B23" s="137" t="s">
        <v>467</v>
      </c>
      <c r="C23" s="137" t="s">
        <v>147</v>
      </c>
      <c r="D23" s="137" t="s">
        <v>470</v>
      </c>
      <c r="E23" s="137">
        <v>2</v>
      </c>
      <c r="F23" s="138" t="s">
        <v>33</v>
      </c>
    </row>
    <row r="24" spans="1:6" ht="15.75" customHeight="1">
      <c r="A24" s="137" t="s">
        <v>147</v>
      </c>
      <c r="B24" s="137" t="s">
        <v>467</v>
      </c>
      <c r="C24" s="137" t="s">
        <v>330</v>
      </c>
      <c r="D24" s="137" t="s">
        <v>471</v>
      </c>
      <c r="E24" s="137">
        <v>1</v>
      </c>
      <c r="F24" s="138" t="s">
        <v>33</v>
      </c>
    </row>
    <row r="25" spans="1:6" ht="15.75" customHeight="1">
      <c r="A25" s="137" t="s">
        <v>147</v>
      </c>
      <c r="B25" s="137" t="s">
        <v>472</v>
      </c>
      <c r="C25" s="137" t="s">
        <v>147</v>
      </c>
      <c r="D25" s="137" t="s">
        <v>473</v>
      </c>
      <c r="E25" s="137">
        <v>22</v>
      </c>
      <c r="F25" s="138" t="s">
        <v>33</v>
      </c>
    </row>
    <row r="26" spans="1:6" ht="15.75" customHeight="1">
      <c r="A26" s="137" t="s">
        <v>147</v>
      </c>
      <c r="B26" s="137" t="s">
        <v>472</v>
      </c>
      <c r="C26" s="137" t="s">
        <v>66</v>
      </c>
      <c r="D26" s="137" t="s">
        <v>474</v>
      </c>
      <c r="E26" s="137">
        <v>1</v>
      </c>
      <c r="F26" s="138" t="s">
        <v>33</v>
      </c>
    </row>
    <row r="27" spans="1:6" ht="15.75" customHeight="1">
      <c r="A27" s="137" t="s">
        <v>147</v>
      </c>
      <c r="B27" s="137" t="s">
        <v>472</v>
      </c>
      <c r="C27" s="137" t="s">
        <v>147</v>
      </c>
      <c r="D27" s="137" t="s">
        <v>475</v>
      </c>
      <c r="E27" s="137">
        <v>2</v>
      </c>
      <c r="F27" s="138" t="s">
        <v>33</v>
      </c>
    </row>
    <row r="28" spans="1:6" ht="15.75" customHeight="1">
      <c r="A28" s="137" t="s">
        <v>147</v>
      </c>
      <c r="B28" s="137" t="s">
        <v>472</v>
      </c>
      <c r="C28" s="137" t="s">
        <v>355</v>
      </c>
      <c r="D28" s="137" t="s">
        <v>474</v>
      </c>
      <c r="E28" s="137">
        <v>1</v>
      </c>
      <c r="F28" s="138" t="s">
        <v>33</v>
      </c>
    </row>
    <row r="29" spans="1:6" ht="15.75" customHeight="1">
      <c r="A29" s="137" t="s">
        <v>147</v>
      </c>
      <c r="B29" s="137" t="s">
        <v>476</v>
      </c>
      <c r="C29" s="137" t="s">
        <v>147</v>
      </c>
      <c r="D29" s="137" t="s">
        <v>477</v>
      </c>
      <c r="E29" s="137">
        <v>21</v>
      </c>
      <c r="F29" s="138" t="s">
        <v>33</v>
      </c>
    </row>
    <row r="30" spans="1:6" ht="15.75" customHeight="1">
      <c r="A30" s="137" t="s">
        <v>147</v>
      </c>
      <c r="B30" s="137" t="s">
        <v>476</v>
      </c>
      <c r="C30" s="137" t="s">
        <v>147</v>
      </c>
      <c r="D30" s="137" t="s">
        <v>275</v>
      </c>
      <c r="E30" s="137">
        <v>2</v>
      </c>
      <c r="F30" s="138" t="s">
        <v>33</v>
      </c>
    </row>
    <row r="31" spans="1:6" ht="15.75" customHeight="1">
      <c r="A31" s="137" t="s">
        <v>147</v>
      </c>
      <c r="B31" s="137" t="s">
        <v>478</v>
      </c>
      <c r="C31" s="137" t="s">
        <v>147</v>
      </c>
      <c r="D31" s="137" t="s">
        <v>479</v>
      </c>
      <c r="E31" s="137">
        <v>22</v>
      </c>
      <c r="F31" s="138" t="s">
        <v>33</v>
      </c>
    </row>
    <row r="32" spans="1:6">
      <c r="A32" s="139" t="s">
        <v>147</v>
      </c>
      <c r="B32" s="139" t="s">
        <v>478</v>
      </c>
      <c r="C32" s="139" t="s">
        <v>66</v>
      </c>
      <c r="D32" s="139" t="s">
        <v>223</v>
      </c>
      <c r="E32" s="139">
        <v>2</v>
      </c>
      <c r="F32" s="140" t="s">
        <v>33</v>
      </c>
    </row>
    <row r="33" spans="1:6">
      <c r="A33" s="139" t="s">
        <v>147</v>
      </c>
      <c r="B33" s="139" t="s">
        <v>478</v>
      </c>
      <c r="C33" s="139" t="s">
        <v>147</v>
      </c>
      <c r="D33" s="139" t="s">
        <v>223</v>
      </c>
      <c r="E33" s="139">
        <v>2</v>
      </c>
      <c r="F33" s="140" t="s">
        <v>33</v>
      </c>
    </row>
    <row r="34" spans="1:6">
      <c r="A34" s="139" t="s">
        <v>147</v>
      </c>
      <c r="B34" s="139" t="s">
        <v>480</v>
      </c>
      <c r="C34" s="139" t="s">
        <v>147</v>
      </c>
      <c r="D34" s="139" t="s">
        <v>481</v>
      </c>
      <c r="E34" s="139">
        <v>53</v>
      </c>
      <c r="F34" s="140" t="s">
        <v>33</v>
      </c>
    </row>
    <row r="35" spans="1:6">
      <c r="A35" s="139" t="s">
        <v>147</v>
      </c>
      <c r="B35" s="139" t="s">
        <v>480</v>
      </c>
      <c r="C35" s="139" t="s">
        <v>66</v>
      </c>
      <c r="D35" s="139" t="s">
        <v>482</v>
      </c>
      <c r="E35" s="139">
        <v>10</v>
      </c>
      <c r="F35" s="140" t="s">
        <v>33</v>
      </c>
    </row>
    <row r="36" spans="1:6">
      <c r="A36" s="139" t="s">
        <v>147</v>
      </c>
      <c r="B36" s="139" t="s">
        <v>480</v>
      </c>
      <c r="C36" s="139" t="s">
        <v>147</v>
      </c>
      <c r="D36" s="139" t="s">
        <v>483</v>
      </c>
      <c r="E36" s="139">
        <v>1</v>
      </c>
      <c r="F36" s="140" t="s">
        <v>33</v>
      </c>
    </row>
    <row r="37" spans="1:6">
      <c r="A37" s="139" t="s">
        <v>147</v>
      </c>
      <c r="B37" s="139" t="s">
        <v>484</v>
      </c>
      <c r="C37" s="139" t="s">
        <v>147</v>
      </c>
      <c r="D37" s="139" t="s">
        <v>485</v>
      </c>
      <c r="E37" s="139">
        <v>26</v>
      </c>
      <c r="F37" s="140" t="s">
        <v>33</v>
      </c>
    </row>
    <row r="38" spans="1:6">
      <c r="A38" s="139" t="s">
        <v>147</v>
      </c>
      <c r="B38" s="139" t="s">
        <v>484</v>
      </c>
      <c r="C38" s="139" t="s">
        <v>66</v>
      </c>
      <c r="D38" s="139" t="s">
        <v>486</v>
      </c>
      <c r="E38" s="139">
        <v>3</v>
      </c>
      <c r="F38" s="140" t="s">
        <v>33</v>
      </c>
    </row>
    <row r="39" spans="1:6">
      <c r="A39" s="139" t="s">
        <v>147</v>
      </c>
      <c r="B39" s="139" t="s">
        <v>484</v>
      </c>
      <c r="C39" s="139" t="s">
        <v>147</v>
      </c>
      <c r="D39" s="139" t="s">
        <v>268</v>
      </c>
      <c r="E39" s="139">
        <v>4</v>
      </c>
      <c r="F39" s="140" t="s">
        <v>33</v>
      </c>
    </row>
    <row r="40" spans="1:6">
      <c r="A40" s="139" t="s">
        <v>147</v>
      </c>
      <c r="B40" s="139" t="s">
        <v>487</v>
      </c>
      <c r="C40" s="139" t="s">
        <v>147</v>
      </c>
      <c r="D40" s="139" t="s">
        <v>488</v>
      </c>
      <c r="E40" s="139">
        <v>7</v>
      </c>
      <c r="F40" s="140" t="s">
        <v>33</v>
      </c>
    </row>
    <row r="41" spans="1:6">
      <c r="A41" s="139" t="s">
        <v>147</v>
      </c>
      <c r="B41" s="139" t="s">
        <v>487</v>
      </c>
      <c r="C41" s="139" t="s">
        <v>66</v>
      </c>
      <c r="D41" s="139" t="s">
        <v>489</v>
      </c>
      <c r="E41" s="139">
        <v>3</v>
      </c>
      <c r="F41" s="140" t="s">
        <v>33</v>
      </c>
    </row>
    <row r="42" spans="1:6">
      <c r="A42" s="139" t="s">
        <v>147</v>
      </c>
      <c r="B42" s="139" t="s">
        <v>487</v>
      </c>
      <c r="C42" s="139" t="s">
        <v>66</v>
      </c>
      <c r="D42" s="139" t="s">
        <v>490</v>
      </c>
      <c r="E42" s="139">
        <v>1</v>
      </c>
      <c r="F42" s="140" t="s">
        <v>33</v>
      </c>
    </row>
    <row r="43" spans="1:6">
      <c r="A43" s="139" t="s">
        <v>147</v>
      </c>
      <c r="B43" s="139" t="s">
        <v>491</v>
      </c>
      <c r="C43" s="139" t="s">
        <v>66</v>
      </c>
      <c r="D43" s="139" t="s">
        <v>454</v>
      </c>
      <c r="E43" s="139">
        <v>7</v>
      </c>
      <c r="F43" s="140" t="s">
        <v>33</v>
      </c>
    </row>
    <row r="44" spans="1:6">
      <c r="A44" s="139" t="s">
        <v>147</v>
      </c>
      <c r="B44" s="139" t="s">
        <v>492</v>
      </c>
      <c r="C44" s="139" t="s">
        <v>66</v>
      </c>
      <c r="D44" s="139" t="s">
        <v>493</v>
      </c>
      <c r="E44" s="139">
        <v>5</v>
      </c>
      <c r="F44" s="140" t="s">
        <v>33</v>
      </c>
    </row>
    <row r="45" spans="1:6">
      <c r="A45" s="139" t="s">
        <v>147</v>
      </c>
      <c r="B45" s="139" t="s">
        <v>492</v>
      </c>
      <c r="C45" s="139" t="s">
        <v>147</v>
      </c>
      <c r="D45" s="139" t="s">
        <v>494</v>
      </c>
      <c r="E45" s="139">
        <v>1</v>
      </c>
      <c r="F45" s="140" t="s">
        <v>33</v>
      </c>
    </row>
    <row r="46" spans="1:6">
      <c r="A46" s="139" t="s">
        <v>147</v>
      </c>
      <c r="B46" s="139" t="s">
        <v>495</v>
      </c>
      <c r="C46" s="139" t="s">
        <v>66</v>
      </c>
      <c r="D46" s="139" t="s">
        <v>496</v>
      </c>
      <c r="E46" s="139">
        <v>7</v>
      </c>
      <c r="F46" s="140" t="s">
        <v>33</v>
      </c>
    </row>
    <row r="47" spans="1:6">
      <c r="A47" s="139" t="s">
        <v>147</v>
      </c>
      <c r="B47" s="139" t="s">
        <v>495</v>
      </c>
      <c r="C47" s="139" t="s">
        <v>398</v>
      </c>
      <c r="D47" s="139" t="s">
        <v>255</v>
      </c>
      <c r="E47" s="139">
        <v>1</v>
      </c>
      <c r="F47" s="140" t="s">
        <v>33</v>
      </c>
    </row>
    <row r="48" spans="1:6">
      <c r="A48" s="139" t="s">
        <v>147</v>
      </c>
      <c r="B48" s="139" t="s">
        <v>497</v>
      </c>
      <c r="C48" s="139" t="s">
        <v>66</v>
      </c>
      <c r="D48" s="139" t="s">
        <v>498</v>
      </c>
      <c r="E48" s="139">
        <v>4</v>
      </c>
      <c r="F48" s="140" t="s">
        <v>33</v>
      </c>
    </row>
    <row r="49" spans="1:6">
      <c r="A49" s="139" t="s">
        <v>147</v>
      </c>
      <c r="B49" s="139" t="s">
        <v>499</v>
      </c>
      <c r="C49" s="139" t="s">
        <v>66</v>
      </c>
      <c r="D49" s="139" t="s">
        <v>272</v>
      </c>
      <c r="E49" s="139">
        <v>1</v>
      </c>
      <c r="F49" s="140" t="s">
        <v>33</v>
      </c>
    </row>
    <row r="50" spans="1:6">
      <c r="A50" s="139" t="s">
        <v>147</v>
      </c>
      <c r="B50" s="139" t="s">
        <v>499</v>
      </c>
      <c r="C50" s="139" t="s">
        <v>66</v>
      </c>
      <c r="D50" s="139" t="s">
        <v>500</v>
      </c>
      <c r="E50" s="139">
        <v>2</v>
      </c>
      <c r="F50" s="140" t="s">
        <v>33</v>
      </c>
    </row>
    <row r="51" spans="1:6">
      <c r="A51" s="139" t="s">
        <v>147</v>
      </c>
      <c r="B51" s="139" t="s">
        <v>501</v>
      </c>
      <c r="C51" s="139" t="s">
        <v>401</v>
      </c>
      <c r="D51" s="139" t="s">
        <v>254</v>
      </c>
      <c r="E51" s="139">
        <v>1</v>
      </c>
      <c r="F51" s="140" t="s">
        <v>33</v>
      </c>
    </row>
    <row r="52" spans="1:6">
      <c r="A52" s="139" t="s">
        <v>147</v>
      </c>
      <c r="B52" s="139" t="s">
        <v>501</v>
      </c>
      <c r="C52" s="139" t="s">
        <v>66</v>
      </c>
      <c r="D52" s="139" t="s">
        <v>502</v>
      </c>
      <c r="E52" s="139">
        <v>3</v>
      </c>
      <c r="F52" s="140" t="s">
        <v>33</v>
      </c>
    </row>
    <row r="53" spans="1:6">
      <c r="A53" s="139" t="s">
        <v>147</v>
      </c>
      <c r="B53" s="139" t="s">
        <v>501</v>
      </c>
      <c r="C53" s="139" t="s">
        <v>397</v>
      </c>
      <c r="D53" s="139" t="s">
        <v>254</v>
      </c>
      <c r="E53" s="139">
        <v>1</v>
      </c>
      <c r="F53" s="140" t="s">
        <v>33</v>
      </c>
    </row>
    <row r="54" spans="1:6">
      <c r="A54" s="139" t="s">
        <v>147</v>
      </c>
      <c r="B54" s="139" t="s">
        <v>501</v>
      </c>
      <c r="C54" s="139" t="s">
        <v>403</v>
      </c>
      <c r="D54" s="139" t="s">
        <v>254</v>
      </c>
      <c r="E54" s="139">
        <v>1</v>
      </c>
      <c r="F54" s="140" t="s">
        <v>33</v>
      </c>
    </row>
    <row r="55" spans="1:6">
      <c r="A55" s="139" t="s">
        <v>147</v>
      </c>
      <c r="B55" s="139" t="s">
        <v>503</v>
      </c>
      <c r="C55" s="139" t="s">
        <v>66</v>
      </c>
      <c r="D55" s="139" t="s">
        <v>504</v>
      </c>
      <c r="E55" s="139">
        <v>7</v>
      </c>
      <c r="F55" s="140" t="s">
        <v>33</v>
      </c>
    </row>
    <row r="56" spans="1:6">
      <c r="A56" s="139" t="s">
        <v>147</v>
      </c>
      <c r="B56" s="139" t="s">
        <v>503</v>
      </c>
      <c r="C56" s="139" t="s">
        <v>397</v>
      </c>
      <c r="D56" s="139" t="s">
        <v>239</v>
      </c>
      <c r="E56" s="139">
        <v>1</v>
      </c>
      <c r="F56" s="140" t="s">
        <v>33</v>
      </c>
    </row>
    <row r="57" spans="1:6">
      <c r="A57" s="139" t="s">
        <v>147</v>
      </c>
      <c r="B57" s="139" t="s">
        <v>505</v>
      </c>
      <c r="C57" s="139" t="s">
        <v>66</v>
      </c>
      <c r="D57" s="139" t="s">
        <v>256</v>
      </c>
      <c r="E57" s="139">
        <v>3</v>
      </c>
      <c r="F57" s="140" t="s">
        <v>33</v>
      </c>
    </row>
    <row r="58" spans="1:6">
      <c r="A58" s="139" t="s">
        <v>147</v>
      </c>
      <c r="B58" s="139" t="s">
        <v>505</v>
      </c>
      <c r="C58" s="139" t="s">
        <v>397</v>
      </c>
      <c r="D58" s="139" t="s">
        <v>506</v>
      </c>
      <c r="E58" s="139">
        <v>1</v>
      </c>
      <c r="F58" s="140" t="s">
        <v>33</v>
      </c>
    </row>
    <row r="59" spans="1:6">
      <c r="A59" s="139" t="s">
        <v>147</v>
      </c>
      <c r="B59" s="139" t="s">
        <v>505</v>
      </c>
      <c r="C59" s="139" t="s">
        <v>403</v>
      </c>
      <c r="D59" s="139" t="s">
        <v>506</v>
      </c>
      <c r="E59" s="139">
        <v>1</v>
      </c>
      <c r="F59" s="140" t="s">
        <v>33</v>
      </c>
    </row>
    <row r="60" spans="1:6">
      <c r="A60" s="139" t="s">
        <v>147</v>
      </c>
      <c r="B60" s="139" t="s">
        <v>505</v>
      </c>
      <c r="C60" s="139" t="s">
        <v>417</v>
      </c>
      <c r="D60" s="139" t="s">
        <v>506</v>
      </c>
      <c r="E60" s="139">
        <v>1</v>
      </c>
      <c r="F60" s="140" t="s">
        <v>33</v>
      </c>
    </row>
    <row r="61" spans="1:6">
      <c r="A61" s="139" t="s">
        <v>147</v>
      </c>
      <c r="B61" s="139" t="s">
        <v>505</v>
      </c>
      <c r="C61" s="139" t="s">
        <v>66</v>
      </c>
      <c r="D61" s="139" t="s">
        <v>506</v>
      </c>
      <c r="E61" s="139">
        <v>1</v>
      </c>
      <c r="F61" s="140" t="s">
        <v>33</v>
      </c>
    </row>
    <row r="62" spans="1:6">
      <c r="A62" s="139" t="s">
        <v>147</v>
      </c>
      <c r="B62" s="139" t="s">
        <v>507</v>
      </c>
      <c r="C62" s="139" t="s">
        <v>66</v>
      </c>
      <c r="D62" s="139" t="s">
        <v>508</v>
      </c>
      <c r="E62" s="139">
        <v>3</v>
      </c>
      <c r="F62" s="140" t="s">
        <v>33</v>
      </c>
    </row>
    <row r="63" spans="1:6">
      <c r="A63" s="139" t="s">
        <v>147</v>
      </c>
      <c r="B63" s="139" t="s">
        <v>507</v>
      </c>
      <c r="C63" s="139" t="s">
        <v>397</v>
      </c>
      <c r="D63" s="139" t="s">
        <v>509</v>
      </c>
      <c r="E63" s="139">
        <v>1</v>
      </c>
      <c r="F63" s="140" t="s">
        <v>33</v>
      </c>
    </row>
    <row r="64" spans="1:6">
      <c r="A64" s="139" t="s">
        <v>147</v>
      </c>
      <c r="B64" s="139" t="s">
        <v>507</v>
      </c>
      <c r="C64" s="139" t="s">
        <v>66</v>
      </c>
      <c r="D64" s="139" t="s">
        <v>509</v>
      </c>
      <c r="E64" s="139">
        <v>1</v>
      </c>
      <c r="F64" s="140" t="s">
        <v>33</v>
      </c>
    </row>
    <row r="65" spans="1:6">
      <c r="A65" s="139" t="s">
        <v>147</v>
      </c>
      <c r="B65" s="139" t="s">
        <v>510</v>
      </c>
      <c r="C65" s="139" t="s">
        <v>66</v>
      </c>
      <c r="D65" s="139" t="s">
        <v>511</v>
      </c>
      <c r="E65" s="139">
        <v>4</v>
      </c>
      <c r="F65" s="140" t="s">
        <v>33</v>
      </c>
    </row>
    <row r="66" spans="1:6">
      <c r="A66" s="139" t="s">
        <v>147</v>
      </c>
      <c r="B66" s="139" t="s">
        <v>510</v>
      </c>
      <c r="C66" s="139" t="s">
        <v>435</v>
      </c>
      <c r="D66" s="139" t="s">
        <v>512</v>
      </c>
      <c r="E66" s="139">
        <v>2</v>
      </c>
      <c r="F66" s="140" t="s">
        <v>33</v>
      </c>
    </row>
    <row r="67" spans="1:6">
      <c r="A67" s="139" t="s">
        <v>147</v>
      </c>
      <c r="B67" s="139" t="s">
        <v>513</v>
      </c>
      <c r="C67" s="139" t="s">
        <v>66</v>
      </c>
      <c r="D67" s="139" t="s">
        <v>514</v>
      </c>
      <c r="E67" s="139">
        <v>3</v>
      </c>
      <c r="F67" s="140" t="s">
        <v>33</v>
      </c>
    </row>
    <row r="68" spans="1:6">
      <c r="A68" s="139" t="s">
        <v>147</v>
      </c>
      <c r="B68" s="139" t="s">
        <v>513</v>
      </c>
      <c r="C68" s="139" t="s">
        <v>437</v>
      </c>
      <c r="D68" s="139" t="s">
        <v>515</v>
      </c>
      <c r="E68" s="139">
        <v>1</v>
      </c>
      <c r="F68" s="140" t="s">
        <v>33</v>
      </c>
    </row>
    <row r="69" spans="1:6">
      <c r="A69" s="139" t="s">
        <v>147</v>
      </c>
      <c r="B69" s="139" t="s">
        <v>513</v>
      </c>
      <c r="C69" s="139" t="s">
        <v>440</v>
      </c>
      <c r="D69" s="139" t="s">
        <v>515</v>
      </c>
      <c r="E69" s="139">
        <v>1</v>
      </c>
      <c r="F69" s="140" t="s">
        <v>33</v>
      </c>
    </row>
    <row r="70" spans="1:6">
      <c r="A70" s="139" t="s">
        <v>147</v>
      </c>
      <c r="B70" s="139" t="s">
        <v>516</v>
      </c>
      <c r="C70" s="139" t="s">
        <v>66</v>
      </c>
      <c r="D70" s="139" t="s">
        <v>517</v>
      </c>
      <c r="E70" s="139">
        <v>3</v>
      </c>
      <c r="F70" s="140" t="s">
        <v>33</v>
      </c>
    </row>
    <row r="71" spans="1:6">
      <c r="A71" s="139" t="s">
        <v>147</v>
      </c>
      <c r="B71" s="139" t="s">
        <v>516</v>
      </c>
      <c r="C71" s="139" t="s">
        <v>435</v>
      </c>
      <c r="D71" s="139" t="s">
        <v>518</v>
      </c>
      <c r="E71" s="139">
        <v>2</v>
      </c>
      <c r="F71" s="140" t="s">
        <v>33</v>
      </c>
    </row>
    <row r="72" spans="1:6">
      <c r="A72" s="139" t="s">
        <v>147</v>
      </c>
      <c r="B72" s="139" t="s">
        <v>516</v>
      </c>
      <c r="C72" s="139" t="s">
        <v>397</v>
      </c>
      <c r="D72" s="139" t="s">
        <v>519</v>
      </c>
      <c r="E72" s="139">
        <v>1</v>
      </c>
      <c r="F72" s="140" t="s">
        <v>33</v>
      </c>
    </row>
    <row r="73" spans="1:6">
      <c r="A73" s="139" t="s">
        <v>30</v>
      </c>
      <c r="B73" s="139" t="s">
        <v>520</v>
      </c>
      <c r="C73" s="139" t="s">
        <v>30</v>
      </c>
      <c r="D73" s="139" t="s">
        <v>521</v>
      </c>
      <c r="E73" s="139">
        <v>1</v>
      </c>
      <c r="F73" s="141" t="s">
        <v>37</v>
      </c>
    </row>
    <row r="74" spans="1:6">
      <c r="A74" s="139" t="s">
        <v>30</v>
      </c>
      <c r="B74" s="139" t="s">
        <v>522</v>
      </c>
      <c r="C74" s="139" t="s">
        <v>290</v>
      </c>
      <c r="D74" s="139" t="s">
        <v>215</v>
      </c>
      <c r="E74" s="139">
        <v>1</v>
      </c>
      <c r="F74" s="142" t="s">
        <v>27</v>
      </c>
    </row>
    <row r="75" spans="1:6">
      <c r="A75" s="139" t="s">
        <v>30</v>
      </c>
      <c r="B75" s="139" t="s">
        <v>523</v>
      </c>
      <c r="C75" s="139" t="s">
        <v>30</v>
      </c>
      <c r="D75" s="139" t="s">
        <v>251</v>
      </c>
      <c r="E75" s="139">
        <v>1</v>
      </c>
      <c r="F75" s="141" t="s">
        <v>37</v>
      </c>
    </row>
    <row r="76" spans="1:6">
      <c r="A76" s="139" t="s">
        <v>30</v>
      </c>
      <c r="B76" s="139" t="s">
        <v>523</v>
      </c>
      <c r="C76" s="139" t="s">
        <v>48</v>
      </c>
      <c r="D76" s="139" t="s">
        <v>260</v>
      </c>
      <c r="E76" s="139">
        <v>2</v>
      </c>
      <c r="F76" s="142" t="s">
        <v>27</v>
      </c>
    </row>
    <row r="77" spans="1:6">
      <c r="A77" s="139" t="s">
        <v>30</v>
      </c>
      <c r="B77" s="139" t="s">
        <v>449</v>
      </c>
      <c r="C77" s="139" t="s">
        <v>295</v>
      </c>
      <c r="D77" s="139" t="s">
        <v>226</v>
      </c>
      <c r="E77" s="139">
        <v>1</v>
      </c>
      <c r="F77" s="141" t="s">
        <v>37</v>
      </c>
    </row>
    <row r="78" spans="1:6">
      <c r="A78" s="139" t="s">
        <v>30</v>
      </c>
      <c r="B78" s="139" t="s">
        <v>449</v>
      </c>
      <c r="C78" s="139" t="s">
        <v>299</v>
      </c>
      <c r="D78" s="139" t="s">
        <v>226</v>
      </c>
      <c r="E78" s="139">
        <v>1</v>
      </c>
      <c r="F78" s="142" t="s">
        <v>27</v>
      </c>
    </row>
    <row r="79" spans="1:6">
      <c r="A79" s="139" t="s">
        <v>30</v>
      </c>
      <c r="B79" s="139" t="s">
        <v>449</v>
      </c>
      <c r="C79" s="139" t="s">
        <v>314</v>
      </c>
      <c r="D79" s="139" t="s">
        <v>226</v>
      </c>
      <c r="E79" s="139">
        <v>1</v>
      </c>
      <c r="F79" s="142" t="s">
        <v>27</v>
      </c>
    </row>
    <row r="80" spans="1:6">
      <c r="A80" s="139" t="s">
        <v>30</v>
      </c>
      <c r="B80" s="139" t="s">
        <v>449</v>
      </c>
      <c r="C80" s="139" t="s">
        <v>48</v>
      </c>
      <c r="D80" s="139" t="s">
        <v>226</v>
      </c>
      <c r="E80" s="139">
        <v>1</v>
      </c>
      <c r="F80" s="142" t="s">
        <v>27</v>
      </c>
    </row>
    <row r="81" spans="1:6">
      <c r="A81" s="139" t="s">
        <v>30</v>
      </c>
      <c r="B81" s="139" t="s">
        <v>450</v>
      </c>
      <c r="C81" s="139" t="s">
        <v>291</v>
      </c>
      <c r="D81" s="139" t="s">
        <v>524</v>
      </c>
      <c r="E81" s="139">
        <v>4</v>
      </c>
      <c r="F81" s="141" t="s">
        <v>37</v>
      </c>
    </row>
    <row r="82" spans="1:6">
      <c r="A82" s="139" t="s">
        <v>30</v>
      </c>
      <c r="B82" s="139" t="s">
        <v>456</v>
      </c>
      <c r="C82" s="139" t="s">
        <v>30</v>
      </c>
      <c r="D82" s="139" t="s">
        <v>525</v>
      </c>
      <c r="E82" s="139">
        <v>3</v>
      </c>
      <c r="F82" s="141" t="s">
        <v>37</v>
      </c>
    </row>
    <row r="83" spans="1:6">
      <c r="A83" s="139" t="s">
        <v>30</v>
      </c>
      <c r="B83" s="139" t="s">
        <v>456</v>
      </c>
      <c r="C83" s="139" t="s">
        <v>292</v>
      </c>
      <c r="D83" s="139" t="s">
        <v>214</v>
      </c>
      <c r="E83" s="139">
        <v>1</v>
      </c>
      <c r="F83" s="142" t="s">
        <v>27</v>
      </c>
    </row>
    <row r="84" spans="1:6">
      <c r="A84" s="139" t="s">
        <v>30</v>
      </c>
      <c r="B84" s="139" t="s">
        <v>526</v>
      </c>
      <c r="C84" s="139" t="s">
        <v>30</v>
      </c>
      <c r="D84" s="139" t="s">
        <v>527</v>
      </c>
      <c r="E84" s="139">
        <v>6</v>
      </c>
      <c r="F84" s="142" t="s">
        <v>27</v>
      </c>
    </row>
    <row r="85" spans="1:6">
      <c r="A85" s="139" t="s">
        <v>30</v>
      </c>
      <c r="B85" s="139" t="s">
        <v>526</v>
      </c>
      <c r="C85" s="139" t="s">
        <v>30</v>
      </c>
      <c r="D85" s="139" t="s">
        <v>260</v>
      </c>
      <c r="E85" s="139">
        <v>1</v>
      </c>
      <c r="F85" s="142" t="s">
        <v>27</v>
      </c>
    </row>
    <row r="86" spans="1:6">
      <c r="A86" s="139" t="s">
        <v>30</v>
      </c>
      <c r="B86" s="139" t="s">
        <v>459</v>
      </c>
      <c r="C86" s="139" t="s">
        <v>30</v>
      </c>
      <c r="D86" s="139" t="s">
        <v>528</v>
      </c>
      <c r="E86" s="139">
        <v>1</v>
      </c>
      <c r="F86" s="141" t="s">
        <v>37</v>
      </c>
    </row>
    <row r="87" spans="1:6">
      <c r="A87" s="139" t="s">
        <v>30</v>
      </c>
      <c r="B87" s="139" t="s">
        <v>459</v>
      </c>
      <c r="C87" s="139" t="s">
        <v>30</v>
      </c>
      <c r="D87" s="139" t="s">
        <v>528</v>
      </c>
      <c r="E87" s="139">
        <v>1</v>
      </c>
      <c r="F87" s="141" t="s">
        <v>37</v>
      </c>
    </row>
    <row r="88" spans="1:6">
      <c r="A88" s="139" t="s">
        <v>30</v>
      </c>
      <c r="B88" s="139" t="s">
        <v>459</v>
      </c>
      <c r="C88" s="139" t="s">
        <v>30</v>
      </c>
      <c r="D88" s="139" t="s">
        <v>528</v>
      </c>
      <c r="E88" s="139">
        <v>1</v>
      </c>
      <c r="F88" s="141" t="s">
        <v>37</v>
      </c>
    </row>
    <row r="89" spans="1:6">
      <c r="A89" s="139" t="s">
        <v>30</v>
      </c>
      <c r="B89" s="139" t="s">
        <v>459</v>
      </c>
      <c r="C89" s="139" t="s">
        <v>357</v>
      </c>
      <c r="D89" s="139" t="s">
        <v>528</v>
      </c>
      <c r="E89" s="139">
        <v>1</v>
      </c>
      <c r="F89" s="141" t="s">
        <v>37</v>
      </c>
    </row>
    <row r="90" spans="1:6">
      <c r="A90" s="139" t="s">
        <v>30</v>
      </c>
      <c r="B90" s="139" t="s">
        <v>462</v>
      </c>
      <c r="C90" s="139" t="s">
        <v>328</v>
      </c>
      <c r="D90" s="139" t="s">
        <v>529</v>
      </c>
      <c r="E90" s="139">
        <v>4</v>
      </c>
      <c r="F90" s="142" t="s">
        <v>27</v>
      </c>
    </row>
    <row r="91" spans="1:6">
      <c r="A91" s="139" t="s">
        <v>30</v>
      </c>
      <c r="B91" s="139" t="s">
        <v>462</v>
      </c>
      <c r="C91" s="139" t="s">
        <v>342</v>
      </c>
      <c r="D91" s="139" t="s">
        <v>530</v>
      </c>
      <c r="E91" s="139">
        <v>1</v>
      </c>
      <c r="F91" s="142" t="s">
        <v>27</v>
      </c>
    </row>
    <row r="92" spans="1:6">
      <c r="A92" s="139" t="s">
        <v>30</v>
      </c>
      <c r="B92" s="139" t="s">
        <v>462</v>
      </c>
      <c r="C92" s="139" t="s">
        <v>30</v>
      </c>
      <c r="D92" s="139" t="s">
        <v>530</v>
      </c>
      <c r="E92" s="139">
        <v>1</v>
      </c>
      <c r="F92" s="141" t="s">
        <v>37</v>
      </c>
    </row>
    <row r="93" spans="1:6">
      <c r="A93" s="139" t="s">
        <v>30</v>
      </c>
      <c r="B93" s="139" t="s">
        <v>462</v>
      </c>
      <c r="C93" s="139" t="s">
        <v>48</v>
      </c>
      <c r="D93" s="139" t="s">
        <v>252</v>
      </c>
      <c r="E93" s="139">
        <v>5</v>
      </c>
      <c r="F93" s="142" t="s">
        <v>27</v>
      </c>
    </row>
    <row r="94" spans="1:6">
      <c r="A94" s="139" t="s">
        <v>30</v>
      </c>
      <c r="B94" s="139" t="s">
        <v>472</v>
      </c>
      <c r="C94" s="139" t="s">
        <v>30</v>
      </c>
      <c r="D94" s="139" t="s">
        <v>474</v>
      </c>
      <c r="E94" s="139">
        <v>1</v>
      </c>
      <c r="F94" s="141" t="s">
        <v>37</v>
      </c>
    </row>
    <row r="95" spans="1:6">
      <c r="A95" s="139" t="s">
        <v>30</v>
      </c>
      <c r="B95" s="139" t="s">
        <v>472</v>
      </c>
      <c r="C95" s="139" t="s">
        <v>352</v>
      </c>
      <c r="D95" s="139" t="s">
        <v>474</v>
      </c>
      <c r="E95" s="139">
        <v>1</v>
      </c>
      <c r="F95" s="141" t="s">
        <v>37</v>
      </c>
    </row>
    <row r="96" spans="1:6">
      <c r="A96" s="139" t="s">
        <v>30</v>
      </c>
      <c r="B96" s="139" t="s">
        <v>472</v>
      </c>
      <c r="C96" s="139" t="s">
        <v>30</v>
      </c>
      <c r="D96" s="139" t="s">
        <v>474</v>
      </c>
      <c r="E96" s="139">
        <v>1</v>
      </c>
      <c r="F96" s="141" t="s">
        <v>37</v>
      </c>
    </row>
    <row r="97" spans="1:6">
      <c r="A97" s="139" t="s">
        <v>30</v>
      </c>
      <c r="B97" s="139" t="s">
        <v>472</v>
      </c>
      <c r="C97" s="139" t="s">
        <v>48</v>
      </c>
      <c r="D97" s="139" t="s">
        <v>474</v>
      </c>
      <c r="E97" s="139">
        <v>1</v>
      </c>
      <c r="F97" s="142" t="s">
        <v>27</v>
      </c>
    </row>
    <row r="98" spans="1:6">
      <c r="A98" s="139" t="s">
        <v>30</v>
      </c>
      <c r="B98" s="139" t="s">
        <v>472</v>
      </c>
      <c r="C98" s="139" t="s">
        <v>359</v>
      </c>
      <c r="D98" s="139" t="s">
        <v>474</v>
      </c>
      <c r="E98" s="139">
        <v>1</v>
      </c>
      <c r="F98" s="140" t="s">
        <v>33</v>
      </c>
    </row>
    <row r="99" spans="1:6">
      <c r="A99" s="139" t="s">
        <v>30</v>
      </c>
      <c r="B99" s="139" t="s">
        <v>472</v>
      </c>
      <c r="C99" s="139" t="s">
        <v>30</v>
      </c>
      <c r="D99" s="139" t="s">
        <v>475</v>
      </c>
      <c r="E99" s="139">
        <v>2</v>
      </c>
      <c r="F99" s="142" t="s">
        <v>27</v>
      </c>
    </row>
    <row r="100" spans="1:6">
      <c r="A100" s="139" t="s">
        <v>30</v>
      </c>
      <c r="B100" s="139" t="s">
        <v>476</v>
      </c>
      <c r="C100" s="139" t="s">
        <v>363</v>
      </c>
      <c r="D100" s="139" t="s">
        <v>525</v>
      </c>
      <c r="E100" s="139">
        <v>3</v>
      </c>
      <c r="F100" s="141" t="s">
        <v>37</v>
      </c>
    </row>
    <row r="101" spans="1:6">
      <c r="A101" s="139" t="s">
        <v>30</v>
      </c>
      <c r="B101" s="139" t="s">
        <v>478</v>
      </c>
      <c r="C101" s="139" t="s">
        <v>30</v>
      </c>
      <c r="D101" s="139" t="s">
        <v>224</v>
      </c>
      <c r="E101" s="139">
        <v>1</v>
      </c>
      <c r="F101" s="142" t="s">
        <v>27</v>
      </c>
    </row>
    <row r="102" spans="1:6">
      <c r="A102" s="139" t="s">
        <v>30</v>
      </c>
      <c r="B102" s="139" t="s">
        <v>480</v>
      </c>
      <c r="C102" s="139" t="s">
        <v>30</v>
      </c>
      <c r="D102" s="139" t="s">
        <v>483</v>
      </c>
      <c r="E102" s="139">
        <v>1</v>
      </c>
      <c r="F102" s="142" t="s">
        <v>27</v>
      </c>
    </row>
    <row r="103" spans="1:6">
      <c r="A103" s="139" t="s">
        <v>30</v>
      </c>
      <c r="B103" s="139" t="s">
        <v>480</v>
      </c>
      <c r="C103" s="139" t="s">
        <v>372</v>
      </c>
      <c r="D103" s="139" t="s">
        <v>483</v>
      </c>
      <c r="E103" s="139">
        <v>1</v>
      </c>
      <c r="F103" s="141" t="s">
        <v>37</v>
      </c>
    </row>
    <row r="104" spans="1:6">
      <c r="A104" s="139" t="s">
        <v>30</v>
      </c>
      <c r="B104" s="139" t="s">
        <v>480</v>
      </c>
      <c r="C104" s="139" t="s">
        <v>299</v>
      </c>
      <c r="D104" s="139" t="s">
        <v>531</v>
      </c>
      <c r="E104" s="139">
        <v>2</v>
      </c>
      <c r="F104" s="142" t="s">
        <v>27</v>
      </c>
    </row>
    <row r="105" spans="1:6">
      <c r="A105" s="139" t="s">
        <v>30</v>
      </c>
      <c r="B105" s="139" t="s">
        <v>484</v>
      </c>
      <c r="C105" s="139" t="s">
        <v>48</v>
      </c>
      <c r="D105" s="139" t="s">
        <v>532</v>
      </c>
      <c r="E105" s="139">
        <v>2</v>
      </c>
      <c r="F105" s="142" t="s">
        <v>27</v>
      </c>
    </row>
    <row r="106" spans="1:6">
      <c r="A106" s="139" t="s">
        <v>30</v>
      </c>
      <c r="B106" s="139" t="s">
        <v>484</v>
      </c>
      <c r="C106" s="139" t="s">
        <v>384</v>
      </c>
      <c r="D106" s="139" t="s">
        <v>533</v>
      </c>
      <c r="E106" s="139">
        <v>1</v>
      </c>
      <c r="F106" s="141" t="s">
        <v>37</v>
      </c>
    </row>
    <row r="107" spans="1:6">
      <c r="A107" s="139" t="s">
        <v>30</v>
      </c>
      <c r="B107" s="139" t="s">
        <v>484</v>
      </c>
      <c r="C107" s="139" t="s">
        <v>107</v>
      </c>
      <c r="D107" s="139" t="s">
        <v>533</v>
      </c>
      <c r="E107" s="139">
        <v>1</v>
      </c>
      <c r="F107" s="141" t="s">
        <v>37</v>
      </c>
    </row>
    <row r="108" spans="1:6">
      <c r="A108" s="139" t="s">
        <v>30</v>
      </c>
      <c r="B108" s="139" t="s">
        <v>484</v>
      </c>
      <c r="C108" s="139" t="s">
        <v>389</v>
      </c>
      <c r="D108" s="139" t="s">
        <v>533</v>
      </c>
      <c r="E108" s="139">
        <v>1</v>
      </c>
      <c r="F108" s="141" t="s">
        <v>37</v>
      </c>
    </row>
    <row r="109" spans="1:6">
      <c r="A109" s="139" t="s">
        <v>30</v>
      </c>
      <c r="B109" s="139" t="s">
        <v>484</v>
      </c>
      <c r="C109" s="139" t="s">
        <v>390</v>
      </c>
      <c r="D109" s="139" t="s">
        <v>533</v>
      </c>
      <c r="E109" s="139">
        <v>1</v>
      </c>
      <c r="F109" s="141" t="s">
        <v>37</v>
      </c>
    </row>
    <row r="110" spans="1:6">
      <c r="A110" s="139" t="s">
        <v>30</v>
      </c>
      <c r="B110" s="139" t="s">
        <v>484</v>
      </c>
      <c r="C110" s="139" t="s">
        <v>391</v>
      </c>
      <c r="D110" s="139" t="s">
        <v>533</v>
      </c>
      <c r="E110" s="139">
        <v>1</v>
      </c>
      <c r="F110" s="141" t="s">
        <v>37</v>
      </c>
    </row>
    <row r="111" spans="1:6">
      <c r="A111" s="139" t="s">
        <v>30</v>
      </c>
      <c r="B111" s="139" t="s">
        <v>491</v>
      </c>
      <c r="C111" s="139" t="s">
        <v>30</v>
      </c>
      <c r="D111" s="139" t="s">
        <v>534</v>
      </c>
      <c r="E111" s="139">
        <v>1</v>
      </c>
      <c r="F111" s="142" t="s">
        <v>27</v>
      </c>
    </row>
    <row r="112" spans="1:6">
      <c r="A112" s="139" t="s">
        <v>30</v>
      </c>
      <c r="B112" s="139" t="s">
        <v>491</v>
      </c>
      <c r="C112" s="139" t="s">
        <v>377</v>
      </c>
      <c r="D112" s="139" t="s">
        <v>534</v>
      </c>
      <c r="E112" s="139">
        <v>1</v>
      </c>
      <c r="F112" s="142" t="s">
        <v>27</v>
      </c>
    </row>
    <row r="113" spans="1:6">
      <c r="A113" s="139" t="s">
        <v>30</v>
      </c>
      <c r="B113" s="139" t="s">
        <v>491</v>
      </c>
      <c r="C113" s="139" t="s">
        <v>30</v>
      </c>
      <c r="D113" s="139" t="s">
        <v>534</v>
      </c>
      <c r="E113" s="139">
        <v>1</v>
      </c>
      <c r="F113" s="142" t="s">
        <v>27</v>
      </c>
    </row>
    <row r="114" spans="1:6">
      <c r="A114" s="139" t="s">
        <v>30</v>
      </c>
      <c r="B114" s="139" t="s">
        <v>491</v>
      </c>
      <c r="C114" s="139" t="s">
        <v>383</v>
      </c>
      <c r="D114" s="139" t="s">
        <v>534</v>
      </c>
      <c r="E114" s="139">
        <v>1</v>
      </c>
      <c r="F114" s="142" t="s">
        <v>27</v>
      </c>
    </row>
    <row r="115" spans="1:6">
      <c r="A115" s="139" t="s">
        <v>30</v>
      </c>
      <c r="B115" s="139" t="s">
        <v>492</v>
      </c>
      <c r="C115" s="139" t="s">
        <v>30</v>
      </c>
      <c r="D115" s="139" t="s">
        <v>494</v>
      </c>
      <c r="E115" s="139">
        <v>1</v>
      </c>
      <c r="F115" s="142" t="s">
        <v>27</v>
      </c>
    </row>
    <row r="116" spans="1:6">
      <c r="A116" s="139" t="s">
        <v>30</v>
      </c>
      <c r="B116" s="139" t="s">
        <v>497</v>
      </c>
      <c r="C116" s="139" t="s">
        <v>399</v>
      </c>
      <c r="D116" s="139" t="s">
        <v>268</v>
      </c>
      <c r="E116" s="139">
        <v>1</v>
      </c>
      <c r="F116" s="142" t="s">
        <v>27</v>
      </c>
    </row>
    <row r="117" spans="1:6">
      <c r="A117" s="139" t="s">
        <v>30</v>
      </c>
      <c r="B117" s="139" t="s">
        <v>499</v>
      </c>
      <c r="C117" s="139" t="s">
        <v>30</v>
      </c>
      <c r="D117" s="139" t="s">
        <v>272</v>
      </c>
      <c r="E117" s="139">
        <v>1</v>
      </c>
      <c r="F117" s="142" t="s">
        <v>27</v>
      </c>
    </row>
    <row r="118" spans="1:6">
      <c r="A118" s="139" t="s">
        <v>30</v>
      </c>
      <c r="B118" s="139" t="s">
        <v>499</v>
      </c>
      <c r="C118" s="139" t="s">
        <v>48</v>
      </c>
      <c r="D118" s="139" t="s">
        <v>500</v>
      </c>
      <c r="E118" s="139">
        <v>2</v>
      </c>
      <c r="F118" s="142" t="s">
        <v>27</v>
      </c>
    </row>
    <row r="119" spans="1:6">
      <c r="A119" s="139" t="s">
        <v>30</v>
      </c>
      <c r="B119" s="139" t="s">
        <v>499</v>
      </c>
      <c r="C119" s="139" t="s">
        <v>423</v>
      </c>
      <c r="D119" s="139" t="s">
        <v>272</v>
      </c>
      <c r="E119" s="139">
        <v>1</v>
      </c>
      <c r="F119" s="141" t="s">
        <v>37</v>
      </c>
    </row>
    <row r="120" spans="1:6">
      <c r="A120" s="139" t="s">
        <v>30</v>
      </c>
      <c r="B120" s="139" t="s">
        <v>499</v>
      </c>
      <c r="C120" s="139" t="s">
        <v>427</v>
      </c>
      <c r="D120" s="139" t="s">
        <v>272</v>
      </c>
      <c r="E120" s="139">
        <v>1</v>
      </c>
      <c r="F120" s="141" t="s">
        <v>37</v>
      </c>
    </row>
    <row r="121" spans="1:6">
      <c r="A121" s="139" t="s">
        <v>30</v>
      </c>
      <c r="B121" s="139" t="s">
        <v>499</v>
      </c>
      <c r="C121" s="139" t="s">
        <v>430</v>
      </c>
      <c r="D121" s="139" t="s">
        <v>272</v>
      </c>
      <c r="E121" s="139">
        <v>1</v>
      </c>
      <c r="F121" s="141" t="s">
        <v>37</v>
      </c>
    </row>
    <row r="122" spans="1:6">
      <c r="A122" s="139" t="s">
        <v>30</v>
      </c>
      <c r="B122" s="139" t="s">
        <v>501</v>
      </c>
      <c r="C122" s="139" t="s">
        <v>30</v>
      </c>
      <c r="D122" s="139" t="s">
        <v>254</v>
      </c>
      <c r="E122" s="139">
        <v>1</v>
      </c>
      <c r="F122" s="142" t="s">
        <v>27</v>
      </c>
    </row>
    <row r="123" spans="1:6">
      <c r="A123" s="139" t="s">
        <v>30</v>
      </c>
      <c r="B123" s="139" t="s">
        <v>501</v>
      </c>
      <c r="C123" s="139" t="s">
        <v>48</v>
      </c>
      <c r="D123" s="139" t="s">
        <v>254</v>
      </c>
      <c r="E123" s="139">
        <v>1</v>
      </c>
      <c r="F123" s="142" t="s">
        <v>27</v>
      </c>
    </row>
    <row r="124" spans="1:6">
      <c r="A124" s="139" t="s">
        <v>30</v>
      </c>
      <c r="B124" s="139" t="s">
        <v>501</v>
      </c>
      <c r="C124" s="139" t="s">
        <v>419</v>
      </c>
      <c r="D124" s="139" t="s">
        <v>254</v>
      </c>
      <c r="E124" s="139">
        <v>1</v>
      </c>
      <c r="F124" s="141" t="s">
        <v>37</v>
      </c>
    </row>
    <row r="125" spans="1:6">
      <c r="A125" s="139" t="s">
        <v>30</v>
      </c>
      <c r="B125" s="139" t="s">
        <v>503</v>
      </c>
      <c r="C125" s="139" t="s">
        <v>411</v>
      </c>
      <c r="D125" s="139" t="s">
        <v>239</v>
      </c>
      <c r="E125" s="139">
        <v>1</v>
      </c>
      <c r="F125" s="141" t="s">
        <v>37</v>
      </c>
    </row>
    <row r="126" spans="1:6">
      <c r="A126" s="139" t="s">
        <v>30</v>
      </c>
      <c r="B126" s="139" t="s">
        <v>503</v>
      </c>
      <c r="C126" s="139" t="s">
        <v>425</v>
      </c>
      <c r="D126" s="139" t="s">
        <v>239</v>
      </c>
      <c r="E126" s="139">
        <v>1</v>
      </c>
      <c r="F126" s="142" t="s">
        <v>27</v>
      </c>
    </row>
    <row r="127" spans="1:6">
      <c r="A127" s="139" t="s">
        <v>30</v>
      </c>
      <c r="B127" s="139" t="s">
        <v>505</v>
      </c>
      <c r="C127" s="139" t="s">
        <v>48</v>
      </c>
      <c r="D127" s="139" t="s">
        <v>506</v>
      </c>
      <c r="E127" s="139">
        <v>1</v>
      </c>
      <c r="F127" s="142" t="s">
        <v>27</v>
      </c>
    </row>
    <row r="128" spans="1:6">
      <c r="A128" s="139" t="s">
        <v>30</v>
      </c>
      <c r="B128" s="139" t="s">
        <v>505</v>
      </c>
      <c r="C128" s="139" t="s">
        <v>426</v>
      </c>
      <c r="D128" s="139" t="s">
        <v>506</v>
      </c>
      <c r="E128" s="139">
        <v>1</v>
      </c>
      <c r="F128" s="141" t="s">
        <v>37</v>
      </c>
    </row>
    <row r="129" spans="1:6">
      <c r="A129" s="139" t="s">
        <v>30</v>
      </c>
      <c r="B129" s="139" t="s">
        <v>505</v>
      </c>
      <c r="C129" s="139" t="s">
        <v>432</v>
      </c>
      <c r="D129" s="139" t="s">
        <v>506</v>
      </c>
      <c r="E129" s="139">
        <v>1</v>
      </c>
      <c r="F129" s="142" t="s">
        <v>27</v>
      </c>
    </row>
    <row r="130" spans="1:6">
      <c r="A130" s="139" t="s">
        <v>30</v>
      </c>
      <c r="B130" s="139" t="s">
        <v>507</v>
      </c>
      <c r="C130" s="139" t="s">
        <v>412</v>
      </c>
      <c r="D130" s="139" t="s">
        <v>509</v>
      </c>
      <c r="E130" s="139">
        <v>1</v>
      </c>
      <c r="F130" s="142" t="s">
        <v>27</v>
      </c>
    </row>
    <row r="131" spans="1:6">
      <c r="A131" s="139" t="s">
        <v>30</v>
      </c>
      <c r="B131" s="139" t="s">
        <v>507</v>
      </c>
      <c r="C131" s="139" t="s">
        <v>421</v>
      </c>
      <c r="D131" s="139" t="s">
        <v>535</v>
      </c>
      <c r="E131" s="139">
        <v>2</v>
      </c>
      <c r="F131" s="142" t="s">
        <v>27</v>
      </c>
    </row>
    <row r="132" spans="1:6">
      <c r="A132" s="139" t="s">
        <v>30</v>
      </c>
      <c r="B132" s="139" t="s">
        <v>510</v>
      </c>
      <c r="C132" s="139" t="s">
        <v>442</v>
      </c>
      <c r="D132" s="139" t="s">
        <v>515</v>
      </c>
      <c r="E132" s="139">
        <v>1</v>
      </c>
      <c r="F132" s="142" t="s">
        <v>27</v>
      </c>
    </row>
    <row r="133" spans="1:6">
      <c r="A133" s="139" t="s">
        <v>30</v>
      </c>
      <c r="B133" s="139" t="s">
        <v>510</v>
      </c>
      <c r="C133" s="139" t="s">
        <v>43</v>
      </c>
      <c r="D133" s="139" t="s">
        <v>515</v>
      </c>
      <c r="E133" s="139">
        <v>1</v>
      </c>
      <c r="F133" s="141" t="s">
        <v>37</v>
      </c>
    </row>
    <row r="134" spans="1:6">
      <c r="A134" s="139" t="s">
        <v>30</v>
      </c>
      <c r="B134" s="139" t="s">
        <v>513</v>
      </c>
      <c r="C134" s="139" t="s">
        <v>291</v>
      </c>
      <c r="D134" s="139" t="s">
        <v>515</v>
      </c>
      <c r="E134" s="139">
        <v>1</v>
      </c>
      <c r="F134" s="141" t="s">
        <v>37</v>
      </c>
    </row>
    <row r="135" spans="1:6">
      <c r="A135" s="139" t="s">
        <v>30</v>
      </c>
      <c r="B135" s="139" t="s">
        <v>513</v>
      </c>
      <c r="C135" s="139" t="s">
        <v>30</v>
      </c>
      <c r="D135" s="139" t="s">
        <v>512</v>
      </c>
      <c r="E135" s="139">
        <v>2</v>
      </c>
      <c r="F135" s="142" t="s">
        <v>27</v>
      </c>
    </row>
    <row r="136" spans="1:6">
      <c r="A136" s="139" t="s">
        <v>30</v>
      </c>
      <c r="B136" s="139" t="s">
        <v>516</v>
      </c>
      <c r="C136" s="139" t="s">
        <v>30</v>
      </c>
      <c r="D136" s="139" t="s">
        <v>519</v>
      </c>
      <c r="E136" s="139">
        <v>1</v>
      </c>
      <c r="F136" s="142" t="s">
        <v>27</v>
      </c>
    </row>
    <row r="137" spans="1:6">
      <c r="A137" s="139" t="s">
        <v>30</v>
      </c>
      <c r="B137" s="139" t="s">
        <v>516</v>
      </c>
      <c r="C137" s="139" t="s">
        <v>443</v>
      </c>
      <c r="D137" s="139" t="s">
        <v>519</v>
      </c>
      <c r="E137" s="139">
        <v>1</v>
      </c>
      <c r="F137" s="141" t="s">
        <v>37</v>
      </c>
    </row>
    <row r="138" spans="1:6">
      <c r="A138" s="139" t="s">
        <v>30</v>
      </c>
      <c r="B138" s="139" t="s">
        <v>516</v>
      </c>
      <c r="C138" s="139" t="s">
        <v>30</v>
      </c>
      <c r="D138" s="139" t="s">
        <v>519</v>
      </c>
      <c r="E138" s="139">
        <v>1</v>
      </c>
      <c r="F138" s="142" t="s">
        <v>27</v>
      </c>
    </row>
    <row r="139" spans="1:6">
      <c r="A139" s="139" t="s">
        <v>30</v>
      </c>
      <c r="B139" s="139" t="s">
        <v>516</v>
      </c>
      <c r="C139" s="139" t="s">
        <v>48</v>
      </c>
      <c r="D139" s="139" t="s">
        <v>519</v>
      </c>
      <c r="E139" s="139">
        <v>1</v>
      </c>
      <c r="F139" s="142" t="s">
        <v>27</v>
      </c>
    </row>
    <row r="140" spans="1:6">
      <c r="A140" s="139" t="s">
        <v>30</v>
      </c>
      <c r="B140" s="139" t="s">
        <v>516</v>
      </c>
      <c r="C140" s="139" t="s">
        <v>442</v>
      </c>
      <c r="D140" s="139" t="s">
        <v>518</v>
      </c>
      <c r="E140" s="139">
        <v>2</v>
      </c>
      <c r="F140" s="142" t="s">
        <v>27</v>
      </c>
    </row>
    <row r="141" spans="1:6">
      <c r="A141" s="139" t="s">
        <v>83</v>
      </c>
      <c r="B141" s="139" t="s">
        <v>536</v>
      </c>
      <c r="C141" s="139" t="s">
        <v>69</v>
      </c>
      <c r="D141" s="139" t="s">
        <v>218</v>
      </c>
      <c r="E141" s="139">
        <v>1</v>
      </c>
      <c r="F141" s="143" t="s">
        <v>42</v>
      </c>
    </row>
    <row r="142" spans="1:6">
      <c r="A142" s="139" t="s">
        <v>83</v>
      </c>
      <c r="B142" s="139" t="s">
        <v>536</v>
      </c>
      <c r="C142" s="139" t="s">
        <v>302</v>
      </c>
      <c r="D142" s="139" t="s">
        <v>218</v>
      </c>
      <c r="E142" s="139">
        <v>1</v>
      </c>
      <c r="F142" s="143" t="s">
        <v>42</v>
      </c>
    </row>
    <row r="143" spans="1:6">
      <c r="A143" s="139" t="s">
        <v>83</v>
      </c>
      <c r="B143" s="139" t="s">
        <v>536</v>
      </c>
      <c r="C143" s="139" t="s">
        <v>298</v>
      </c>
      <c r="D143" s="139" t="s">
        <v>218</v>
      </c>
      <c r="E143" s="139">
        <v>1</v>
      </c>
      <c r="F143" s="143" t="s">
        <v>42</v>
      </c>
    </row>
    <row r="144" spans="1:6">
      <c r="A144" s="139" t="s">
        <v>83</v>
      </c>
      <c r="B144" s="139" t="s">
        <v>520</v>
      </c>
      <c r="C144" s="139" t="s">
        <v>308</v>
      </c>
      <c r="D144" s="139" t="s">
        <v>521</v>
      </c>
      <c r="E144" s="139">
        <v>1</v>
      </c>
      <c r="F144" s="143" t="s">
        <v>42</v>
      </c>
    </row>
    <row r="145" spans="1:6">
      <c r="A145" s="139" t="s">
        <v>83</v>
      </c>
      <c r="B145" s="139" t="s">
        <v>522</v>
      </c>
      <c r="C145" s="139" t="s">
        <v>83</v>
      </c>
      <c r="D145" s="139" t="s">
        <v>214</v>
      </c>
      <c r="E145" s="139">
        <v>2</v>
      </c>
      <c r="F145" s="143" t="s">
        <v>42</v>
      </c>
    </row>
    <row r="146" spans="1:6">
      <c r="A146" s="139" t="s">
        <v>83</v>
      </c>
      <c r="B146" s="139" t="s">
        <v>522</v>
      </c>
      <c r="C146" s="139" t="s">
        <v>137</v>
      </c>
      <c r="D146" s="139" t="s">
        <v>215</v>
      </c>
      <c r="E146" s="139">
        <v>1</v>
      </c>
      <c r="F146" s="143" t="s">
        <v>42</v>
      </c>
    </row>
    <row r="147" spans="1:6">
      <c r="A147" s="139" t="s">
        <v>83</v>
      </c>
      <c r="B147" s="139" t="s">
        <v>522</v>
      </c>
      <c r="C147" s="139" t="s">
        <v>83</v>
      </c>
      <c r="D147" s="139" t="s">
        <v>215</v>
      </c>
      <c r="E147" s="139">
        <v>1</v>
      </c>
      <c r="F147" s="143" t="s">
        <v>42</v>
      </c>
    </row>
    <row r="148" spans="1:6">
      <c r="A148" s="139" t="s">
        <v>83</v>
      </c>
      <c r="B148" s="139" t="s">
        <v>522</v>
      </c>
      <c r="C148" s="139" t="s">
        <v>298</v>
      </c>
      <c r="D148" s="139" t="s">
        <v>215</v>
      </c>
      <c r="E148" s="139">
        <v>1</v>
      </c>
      <c r="F148" s="143" t="s">
        <v>42</v>
      </c>
    </row>
    <row r="149" spans="1:6">
      <c r="A149" s="139" t="s">
        <v>83</v>
      </c>
      <c r="B149" s="139" t="s">
        <v>523</v>
      </c>
      <c r="C149" s="139" t="s">
        <v>83</v>
      </c>
      <c r="D149" s="139" t="s">
        <v>260</v>
      </c>
      <c r="E149" s="139">
        <v>2</v>
      </c>
      <c r="F149" s="143" t="s">
        <v>42</v>
      </c>
    </row>
    <row r="150" spans="1:6">
      <c r="A150" s="139" t="s">
        <v>83</v>
      </c>
      <c r="B150" s="139" t="s">
        <v>523</v>
      </c>
      <c r="C150" s="139" t="s">
        <v>298</v>
      </c>
      <c r="D150" s="139" t="s">
        <v>251</v>
      </c>
      <c r="E150" s="139">
        <v>1</v>
      </c>
      <c r="F150" s="143" t="s">
        <v>42</v>
      </c>
    </row>
    <row r="151" spans="1:6">
      <c r="A151" s="139" t="s">
        <v>83</v>
      </c>
      <c r="B151" s="139" t="s">
        <v>523</v>
      </c>
      <c r="C151" s="139" t="s">
        <v>308</v>
      </c>
      <c r="D151" s="139" t="s">
        <v>251</v>
      </c>
      <c r="E151" s="139">
        <v>1</v>
      </c>
      <c r="F151" s="143" t="s">
        <v>42</v>
      </c>
    </row>
    <row r="152" spans="1:6">
      <c r="A152" s="139" t="s">
        <v>83</v>
      </c>
      <c r="B152" s="139" t="s">
        <v>449</v>
      </c>
      <c r="C152" s="139" t="s">
        <v>41</v>
      </c>
      <c r="D152" s="139" t="s">
        <v>226</v>
      </c>
      <c r="E152" s="139">
        <v>1</v>
      </c>
      <c r="F152" s="143" t="s">
        <v>42</v>
      </c>
    </row>
    <row r="153" spans="1:6">
      <c r="A153" s="139" t="s">
        <v>83</v>
      </c>
      <c r="B153" s="139" t="s">
        <v>450</v>
      </c>
      <c r="C153" s="139" t="s">
        <v>306</v>
      </c>
      <c r="D153" s="139" t="s">
        <v>453</v>
      </c>
      <c r="E153" s="139">
        <v>1</v>
      </c>
      <c r="F153" s="143" t="s">
        <v>42</v>
      </c>
    </row>
    <row r="154" spans="1:6">
      <c r="A154" s="139" t="s">
        <v>83</v>
      </c>
      <c r="B154" s="139" t="s">
        <v>459</v>
      </c>
      <c r="C154" s="139" t="s">
        <v>83</v>
      </c>
      <c r="D154" s="139" t="s">
        <v>528</v>
      </c>
      <c r="E154" s="139">
        <v>1</v>
      </c>
      <c r="F154" s="143" t="s">
        <v>42</v>
      </c>
    </row>
    <row r="155" spans="1:6">
      <c r="A155" s="139" t="s">
        <v>83</v>
      </c>
      <c r="B155" s="139" t="s">
        <v>459</v>
      </c>
      <c r="C155" s="139" t="s">
        <v>83</v>
      </c>
      <c r="D155" s="139" t="s">
        <v>537</v>
      </c>
      <c r="E155" s="139">
        <v>4</v>
      </c>
      <c r="F155" s="143" t="s">
        <v>42</v>
      </c>
    </row>
    <row r="156" spans="1:6">
      <c r="A156" s="139" t="s">
        <v>83</v>
      </c>
      <c r="B156" s="139" t="s">
        <v>459</v>
      </c>
      <c r="C156" s="139" t="s">
        <v>140</v>
      </c>
      <c r="D156" s="139" t="s">
        <v>528</v>
      </c>
      <c r="E156" s="139">
        <v>1</v>
      </c>
      <c r="F156" s="143" t="s">
        <v>42</v>
      </c>
    </row>
    <row r="157" spans="1:6">
      <c r="A157" s="139" t="s">
        <v>83</v>
      </c>
      <c r="B157" s="139" t="s">
        <v>462</v>
      </c>
      <c r="C157" s="139" t="s">
        <v>83</v>
      </c>
      <c r="D157" s="139" t="s">
        <v>538</v>
      </c>
      <c r="E157" s="139">
        <v>2</v>
      </c>
      <c r="F157" s="143" t="s">
        <v>42</v>
      </c>
    </row>
    <row r="158" spans="1:6">
      <c r="A158" s="139" t="s">
        <v>83</v>
      </c>
      <c r="B158" s="139" t="s">
        <v>462</v>
      </c>
      <c r="C158" s="139" t="s">
        <v>41</v>
      </c>
      <c r="D158" s="139" t="s">
        <v>538</v>
      </c>
      <c r="E158" s="139">
        <v>2</v>
      </c>
      <c r="F158" s="143" t="s">
        <v>42</v>
      </c>
    </row>
    <row r="159" spans="1:6">
      <c r="A159" s="139" t="s">
        <v>83</v>
      </c>
      <c r="B159" s="139" t="s">
        <v>462</v>
      </c>
      <c r="C159" s="139" t="s">
        <v>69</v>
      </c>
      <c r="D159" s="139" t="s">
        <v>530</v>
      </c>
      <c r="E159" s="139">
        <v>1</v>
      </c>
      <c r="F159" s="143" t="s">
        <v>42</v>
      </c>
    </row>
    <row r="160" spans="1:6">
      <c r="A160" s="139" t="s">
        <v>83</v>
      </c>
      <c r="B160" s="139" t="s">
        <v>464</v>
      </c>
      <c r="C160" s="139" t="s">
        <v>41</v>
      </c>
      <c r="D160" s="139" t="s">
        <v>539</v>
      </c>
      <c r="E160" s="139">
        <v>1</v>
      </c>
      <c r="F160" s="143" t="s">
        <v>42</v>
      </c>
    </row>
    <row r="161" spans="1:6">
      <c r="A161" s="139" t="s">
        <v>83</v>
      </c>
      <c r="B161" s="139" t="s">
        <v>464</v>
      </c>
      <c r="C161" s="139" t="s">
        <v>83</v>
      </c>
      <c r="D161" s="139" t="s">
        <v>509</v>
      </c>
      <c r="E161" s="139">
        <v>2</v>
      </c>
      <c r="F161" s="143" t="s">
        <v>42</v>
      </c>
    </row>
    <row r="162" spans="1:6">
      <c r="A162" s="139" t="s">
        <v>83</v>
      </c>
      <c r="B162" s="139" t="s">
        <v>464</v>
      </c>
      <c r="C162" s="139" t="s">
        <v>41</v>
      </c>
      <c r="D162" s="139" t="s">
        <v>539</v>
      </c>
      <c r="E162" s="139">
        <v>1</v>
      </c>
      <c r="F162" s="143" t="s">
        <v>42</v>
      </c>
    </row>
    <row r="163" spans="1:6">
      <c r="A163" s="139" t="s">
        <v>83</v>
      </c>
      <c r="B163" s="139" t="s">
        <v>467</v>
      </c>
      <c r="C163" s="139" t="s">
        <v>83</v>
      </c>
      <c r="D163" s="139" t="s">
        <v>471</v>
      </c>
      <c r="E163" s="139">
        <v>1</v>
      </c>
      <c r="F163" s="143" t="s">
        <v>42</v>
      </c>
    </row>
    <row r="164" spans="1:6">
      <c r="A164" s="139" t="s">
        <v>83</v>
      </c>
      <c r="B164" s="139" t="s">
        <v>467</v>
      </c>
      <c r="C164" s="139" t="s">
        <v>83</v>
      </c>
      <c r="D164" s="139" t="s">
        <v>540</v>
      </c>
      <c r="E164" s="139">
        <v>3</v>
      </c>
      <c r="F164" s="143" t="s">
        <v>42</v>
      </c>
    </row>
    <row r="165" spans="1:6">
      <c r="A165" s="139" t="s">
        <v>83</v>
      </c>
      <c r="B165" s="139" t="s">
        <v>472</v>
      </c>
      <c r="C165" s="139" t="s">
        <v>140</v>
      </c>
      <c r="D165" s="139" t="s">
        <v>474</v>
      </c>
      <c r="E165" s="139">
        <v>1</v>
      </c>
      <c r="F165" s="143" t="s">
        <v>42</v>
      </c>
    </row>
    <row r="166" spans="1:6">
      <c r="A166" s="139" t="s">
        <v>83</v>
      </c>
      <c r="B166" s="139" t="s">
        <v>472</v>
      </c>
      <c r="C166" s="139" t="s">
        <v>69</v>
      </c>
      <c r="D166" s="139" t="s">
        <v>474</v>
      </c>
      <c r="E166" s="139">
        <v>1</v>
      </c>
      <c r="F166" s="143" t="s">
        <v>42</v>
      </c>
    </row>
    <row r="167" spans="1:6">
      <c r="A167" s="139" t="s">
        <v>83</v>
      </c>
      <c r="B167" s="139" t="s">
        <v>472</v>
      </c>
      <c r="C167" s="139" t="s">
        <v>92</v>
      </c>
      <c r="D167" s="139" t="s">
        <v>474</v>
      </c>
      <c r="E167" s="139">
        <v>1</v>
      </c>
      <c r="F167" s="143" t="s">
        <v>42</v>
      </c>
    </row>
    <row r="168" spans="1:6">
      <c r="A168" s="139" t="s">
        <v>83</v>
      </c>
      <c r="B168" s="139" t="s">
        <v>472</v>
      </c>
      <c r="C168" s="139" t="s">
        <v>83</v>
      </c>
      <c r="D168" s="139" t="s">
        <v>474</v>
      </c>
      <c r="E168" s="139">
        <v>1</v>
      </c>
      <c r="F168" s="143" t="s">
        <v>42</v>
      </c>
    </row>
    <row r="169" spans="1:6">
      <c r="A169" s="139" t="s">
        <v>83</v>
      </c>
      <c r="B169" s="139" t="s">
        <v>478</v>
      </c>
      <c r="C169" s="139" t="s">
        <v>298</v>
      </c>
      <c r="D169" s="139" t="s">
        <v>541</v>
      </c>
      <c r="E169" s="139">
        <v>4</v>
      </c>
      <c r="F169" s="143" t="s">
        <v>42</v>
      </c>
    </row>
    <row r="170" spans="1:6">
      <c r="A170" s="139" t="s">
        <v>83</v>
      </c>
      <c r="B170" s="139" t="s">
        <v>478</v>
      </c>
      <c r="C170" s="139" t="s">
        <v>83</v>
      </c>
      <c r="D170" s="139" t="s">
        <v>224</v>
      </c>
      <c r="E170" s="139">
        <v>1</v>
      </c>
      <c r="F170" s="143" t="s">
        <v>42</v>
      </c>
    </row>
    <row r="171" spans="1:6">
      <c r="A171" s="139" t="s">
        <v>83</v>
      </c>
      <c r="B171" s="139" t="s">
        <v>478</v>
      </c>
      <c r="C171" s="139" t="s">
        <v>69</v>
      </c>
      <c r="D171" s="139" t="s">
        <v>224</v>
      </c>
      <c r="E171" s="139">
        <v>1</v>
      </c>
      <c r="F171" s="143" t="s">
        <v>42</v>
      </c>
    </row>
    <row r="172" spans="1:6">
      <c r="A172" s="139" t="s">
        <v>83</v>
      </c>
      <c r="B172" s="139" t="s">
        <v>478</v>
      </c>
      <c r="C172" s="139" t="s">
        <v>298</v>
      </c>
      <c r="D172" s="139" t="s">
        <v>223</v>
      </c>
      <c r="E172" s="139">
        <v>2</v>
      </c>
      <c r="F172" s="143" t="s">
        <v>42</v>
      </c>
    </row>
    <row r="173" spans="1:6">
      <c r="A173" s="139" t="s">
        <v>83</v>
      </c>
      <c r="B173" s="139" t="s">
        <v>484</v>
      </c>
      <c r="C173" s="139" t="s">
        <v>83</v>
      </c>
      <c r="D173" s="139" t="s">
        <v>532</v>
      </c>
      <c r="E173" s="139">
        <v>2</v>
      </c>
      <c r="F173" s="143" t="s">
        <v>42</v>
      </c>
    </row>
    <row r="174" spans="1:6">
      <c r="A174" s="139" t="s">
        <v>83</v>
      </c>
      <c r="B174" s="139" t="s">
        <v>484</v>
      </c>
      <c r="C174" s="139" t="s">
        <v>41</v>
      </c>
      <c r="D174" s="139" t="s">
        <v>533</v>
      </c>
      <c r="E174" s="139">
        <v>1</v>
      </c>
      <c r="F174" s="143" t="s">
        <v>42</v>
      </c>
    </row>
    <row r="175" spans="1:6">
      <c r="A175" s="139" t="s">
        <v>83</v>
      </c>
      <c r="B175" s="139" t="s">
        <v>484</v>
      </c>
      <c r="C175" s="139" t="s">
        <v>298</v>
      </c>
      <c r="D175" s="139" t="s">
        <v>533</v>
      </c>
      <c r="E175" s="139">
        <v>1</v>
      </c>
      <c r="F175" s="143" t="s">
        <v>42</v>
      </c>
    </row>
    <row r="176" spans="1:6">
      <c r="A176" s="139" t="s">
        <v>83</v>
      </c>
      <c r="B176" s="139" t="s">
        <v>484</v>
      </c>
      <c r="C176" s="139" t="s">
        <v>298</v>
      </c>
      <c r="D176" s="139" t="s">
        <v>533</v>
      </c>
      <c r="E176" s="139">
        <v>1</v>
      </c>
      <c r="F176" s="143" t="s">
        <v>42</v>
      </c>
    </row>
    <row r="177" spans="1:6">
      <c r="A177" s="139" t="s">
        <v>83</v>
      </c>
      <c r="B177" s="139" t="s">
        <v>487</v>
      </c>
      <c r="C177" s="139" t="s">
        <v>83</v>
      </c>
      <c r="D177" s="139" t="s">
        <v>521</v>
      </c>
      <c r="E177" s="139">
        <v>2</v>
      </c>
      <c r="F177" s="143" t="s">
        <v>42</v>
      </c>
    </row>
    <row r="178" spans="1:6">
      <c r="A178" s="139" t="s">
        <v>83</v>
      </c>
      <c r="B178" s="139" t="s">
        <v>487</v>
      </c>
      <c r="C178" s="139" t="s">
        <v>41</v>
      </c>
      <c r="D178" s="139" t="s">
        <v>490</v>
      </c>
      <c r="E178" s="139">
        <v>1</v>
      </c>
      <c r="F178" s="143" t="s">
        <v>42</v>
      </c>
    </row>
    <row r="179" spans="1:6">
      <c r="A179" s="139" t="s">
        <v>83</v>
      </c>
      <c r="B179" s="139" t="s">
        <v>487</v>
      </c>
      <c r="C179" s="139" t="s">
        <v>140</v>
      </c>
      <c r="D179" s="139" t="s">
        <v>490</v>
      </c>
      <c r="E179" s="139">
        <v>1</v>
      </c>
      <c r="F179" s="143" t="s">
        <v>42</v>
      </c>
    </row>
    <row r="180" spans="1:6">
      <c r="A180" s="139" t="s">
        <v>83</v>
      </c>
      <c r="B180" s="139" t="s">
        <v>487</v>
      </c>
      <c r="C180" s="139" t="s">
        <v>298</v>
      </c>
      <c r="D180" s="139" t="s">
        <v>490</v>
      </c>
      <c r="E180" s="139">
        <v>1</v>
      </c>
      <c r="F180" s="143" t="s">
        <v>42</v>
      </c>
    </row>
    <row r="181" spans="1:6">
      <c r="A181" s="139" t="s">
        <v>83</v>
      </c>
      <c r="B181" s="139" t="s">
        <v>487</v>
      </c>
      <c r="C181" s="139" t="s">
        <v>83</v>
      </c>
      <c r="D181" s="139" t="s">
        <v>521</v>
      </c>
      <c r="E181" s="139">
        <v>2</v>
      </c>
      <c r="F181" s="143" t="s">
        <v>42</v>
      </c>
    </row>
    <row r="182" spans="1:6">
      <c r="A182" s="139" t="s">
        <v>83</v>
      </c>
      <c r="B182" s="139" t="s">
        <v>487</v>
      </c>
      <c r="C182" s="139" t="s">
        <v>69</v>
      </c>
      <c r="D182" s="139" t="s">
        <v>490</v>
      </c>
      <c r="E182" s="139">
        <v>1</v>
      </c>
      <c r="F182" s="143" t="s">
        <v>42</v>
      </c>
    </row>
    <row r="183" spans="1:6">
      <c r="A183" s="139" t="s">
        <v>83</v>
      </c>
      <c r="B183" s="139" t="s">
        <v>487</v>
      </c>
      <c r="C183" s="139" t="s">
        <v>298</v>
      </c>
      <c r="D183" s="139" t="s">
        <v>490</v>
      </c>
      <c r="E183" s="139">
        <v>1</v>
      </c>
      <c r="F183" s="143" t="s">
        <v>42</v>
      </c>
    </row>
    <row r="184" spans="1:6">
      <c r="A184" s="139" t="s">
        <v>83</v>
      </c>
      <c r="B184" s="139" t="s">
        <v>492</v>
      </c>
      <c r="C184" s="139" t="s">
        <v>83</v>
      </c>
      <c r="D184" s="139" t="s">
        <v>494</v>
      </c>
      <c r="E184" s="139">
        <v>1</v>
      </c>
      <c r="F184" s="143" t="s">
        <v>42</v>
      </c>
    </row>
    <row r="185" spans="1:6">
      <c r="A185" s="139" t="s">
        <v>83</v>
      </c>
      <c r="B185" s="139" t="s">
        <v>495</v>
      </c>
      <c r="C185" s="139" t="s">
        <v>83</v>
      </c>
      <c r="D185" s="139" t="s">
        <v>542</v>
      </c>
      <c r="E185" s="139">
        <v>6</v>
      </c>
      <c r="F185" s="143" t="s">
        <v>42</v>
      </c>
    </row>
    <row r="186" spans="1:6">
      <c r="A186" s="139" t="s">
        <v>83</v>
      </c>
      <c r="B186" s="139" t="s">
        <v>495</v>
      </c>
      <c r="C186" s="139" t="s">
        <v>83</v>
      </c>
      <c r="D186" s="139" t="s">
        <v>255</v>
      </c>
      <c r="E186" s="139">
        <v>1</v>
      </c>
      <c r="F186" s="143" t="s">
        <v>42</v>
      </c>
    </row>
    <row r="187" spans="1:6">
      <c r="A187" s="139" t="s">
        <v>83</v>
      </c>
      <c r="B187" s="139" t="s">
        <v>499</v>
      </c>
      <c r="C187" s="139" t="s">
        <v>83</v>
      </c>
      <c r="D187" s="139" t="s">
        <v>500</v>
      </c>
      <c r="E187" s="139">
        <v>2</v>
      </c>
      <c r="F187" s="143" t="s">
        <v>42</v>
      </c>
    </row>
    <row r="188" spans="1:6">
      <c r="A188" s="139" t="s">
        <v>83</v>
      </c>
      <c r="B188" s="139" t="s">
        <v>499</v>
      </c>
      <c r="C188" s="139" t="s">
        <v>413</v>
      </c>
      <c r="D188" s="139" t="s">
        <v>272</v>
      </c>
      <c r="E188" s="139">
        <v>1</v>
      </c>
      <c r="F188" s="143" t="s">
        <v>42</v>
      </c>
    </row>
    <row r="189" spans="1:6">
      <c r="A189" s="139" t="s">
        <v>83</v>
      </c>
      <c r="B189" s="139" t="s">
        <v>499</v>
      </c>
      <c r="C189" s="139" t="s">
        <v>83</v>
      </c>
      <c r="D189" s="139" t="s">
        <v>272</v>
      </c>
      <c r="E189" s="139">
        <v>1</v>
      </c>
      <c r="F189" s="143" t="s">
        <v>42</v>
      </c>
    </row>
    <row r="190" spans="1:6">
      <c r="A190" s="139" t="s">
        <v>83</v>
      </c>
      <c r="B190" s="139" t="s">
        <v>501</v>
      </c>
      <c r="C190" s="139" t="s">
        <v>41</v>
      </c>
      <c r="D190" s="139" t="s">
        <v>254</v>
      </c>
      <c r="E190" s="139">
        <v>1</v>
      </c>
      <c r="F190" s="143" t="s">
        <v>42</v>
      </c>
    </row>
    <row r="191" spans="1:6">
      <c r="A191" s="139" t="s">
        <v>83</v>
      </c>
      <c r="B191" s="139" t="s">
        <v>503</v>
      </c>
      <c r="C191" s="139" t="s">
        <v>41</v>
      </c>
      <c r="D191" s="139" t="s">
        <v>239</v>
      </c>
      <c r="E191" s="139">
        <v>1</v>
      </c>
      <c r="F191" s="143" t="s">
        <v>42</v>
      </c>
    </row>
    <row r="192" spans="1:6">
      <c r="A192" s="139" t="s">
        <v>83</v>
      </c>
      <c r="B192" s="139" t="s">
        <v>503</v>
      </c>
      <c r="C192" s="139" t="s">
        <v>424</v>
      </c>
      <c r="D192" s="139" t="s">
        <v>239</v>
      </c>
      <c r="E192" s="139">
        <v>1</v>
      </c>
      <c r="F192" s="143" t="s">
        <v>42</v>
      </c>
    </row>
    <row r="193" spans="1:6">
      <c r="A193" s="139" t="s">
        <v>83</v>
      </c>
      <c r="B193" s="139" t="s">
        <v>505</v>
      </c>
      <c r="C193" s="139" t="s">
        <v>41</v>
      </c>
      <c r="D193" s="139" t="s">
        <v>506</v>
      </c>
      <c r="E193" s="139">
        <v>1</v>
      </c>
      <c r="F193" s="143" t="s">
        <v>42</v>
      </c>
    </row>
    <row r="194" spans="1:6">
      <c r="A194" s="139" t="s">
        <v>83</v>
      </c>
      <c r="B194" s="139" t="s">
        <v>510</v>
      </c>
      <c r="C194" s="139" t="s">
        <v>41</v>
      </c>
      <c r="D194" s="139" t="s">
        <v>515</v>
      </c>
      <c r="E194" s="139">
        <v>1</v>
      </c>
      <c r="F194" s="143" t="s">
        <v>42</v>
      </c>
    </row>
    <row r="195" spans="1:6">
      <c r="A195" s="139" t="s">
        <v>62</v>
      </c>
      <c r="B195" s="139" t="s">
        <v>522</v>
      </c>
      <c r="C195" s="139" t="s">
        <v>303</v>
      </c>
      <c r="D195" s="139" t="s">
        <v>215</v>
      </c>
      <c r="E195" s="139">
        <v>1</v>
      </c>
      <c r="F195" s="143" t="s">
        <v>42</v>
      </c>
    </row>
    <row r="196" spans="1:6">
      <c r="A196" s="139" t="s">
        <v>62</v>
      </c>
      <c r="B196" s="139" t="s">
        <v>522</v>
      </c>
      <c r="C196" s="139" t="s">
        <v>144</v>
      </c>
      <c r="D196" s="139" t="s">
        <v>215</v>
      </c>
      <c r="E196" s="139">
        <v>1</v>
      </c>
      <c r="F196" s="143" t="s">
        <v>42</v>
      </c>
    </row>
    <row r="197" spans="1:6">
      <c r="A197" s="139" t="s">
        <v>62</v>
      </c>
      <c r="B197" s="139" t="s">
        <v>522</v>
      </c>
      <c r="C197" s="139" t="s">
        <v>323</v>
      </c>
      <c r="D197" s="139" t="s">
        <v>215</v>
      </c>
      <c r="E197" s="139">
        <v>1</v>
      </c>
      <c r="F197" s="143" t="s">
        <v>42</v>
      </c>
    </row>
    <row r="198" spans="1:6">
      <c r="A198" s="139" t="s">
        <v>62</v>
      </c>
      <c r="B198" s="139" t="s">
        <v>522</v>
      </c>
      <c r="C198" s="139" t="s">
        <v>62</v>
      </c>
      <c r="D198" s="139" t="s">
        <v>215</v>
      </c>
      <c r="E198" s="139">
        <v>1</v>
      </c>
      <c r="F198" s="143" t="s">
        <v>42</v>
      </c>
    </row>
    <row r="199" spans="1:6">
      <c r="A199" s="139" t="s">
        <v>62</v>
      </c>
      <c r="B199" s="139" t="s">
        <v>449</v>
      </c>
      <c r="C199" s="139" t="s">
        <v>186</v>
      </c>
      <c r="D199" s="139" t="s">
        <v>226</v>
      </c>
      <c r="E199" s="139">
        <v>1</v>
      </c>
      <c r="F199" s="143" t="s">
        <v>42</v>
      </c>
    </row>
    <row r="200" spans="1:6">
      <c r="A200" s="139" t="s">
        <v>62</v>
      </c>
      <c r="B200" s="139" t="s">
        <v>456</v>
      </c>
      <c r="C200" s="139" t="s">
        <v>62</v>
      </c>
      <c r="D200" s="139" t="s">
        <v>214</v>
      </c>
      <c r="E200" s="139">
        <v>1</v>
      </c>
      <c r="F200" s="143" t="s">
        <v>42</v>
      </c>
    </row>
    <row r="201" spans="1:6">
      <c r="A201" s="139" t="s">
        <v>62</v>
      </c>
      <c r="B201" s="139" t="s">
        <v>462</v>
      </c>
      <c r="C201" s="139" t="s">
        <v>353</v>
      </c>
      <c r="D201" s="139" t="s">
        <v>530</v>
      </c>
      <c r="E201" s="139">
        <v>1</v>
      </c>
      <c r="F201" s="143" t="s">
        <v>42</v>
      </c>
    </row>
    <row r="202" spans="1:6">
      <c r="A202" s="139" t="s">
        <v>62</v>
      </c>
      <c r="B202" s="139" t="s">
        <v>462</v>
      </c>
      <c r="C202" s="139" t="s">
        <v>144</v>
      </c>
      <c r="D202" s="139" t="s">
        <v>530</v>
      </c>
      <c r="E202" s="139">
        <v>1</v>
      </c>
      <c r="F202" s="143" t="s">
        <v>42</v>
      </c>
    </row>
    <row r="203" spans="1:6">
      <c r="A203" s="139" t="s">
        <v>62</v>
      </c>
      <c r="B203" s="139" t="s">
        <v>462</v>
      </c>
      <c r="C203" s="139" t="s">
        <v>358</v>
      </c>
      <c r="D203" s="139" t="s">
        <v>530</v>
      </c>
      <c r="E203" s="139">
        <v>1</v>
      </c>
      <c r="F203" s="143" t="s">
        <v>42</v>
      </c>
    </row>
    <row r="204" spans="1:6">
      <c r="A204" s="139" t="s">
        <v>62</v>
      </c>
      <c r="B204" s="139" t="s">
        <v>472</v>
      </c>
      <c r="C204" s="139" t="s">
        <v>360</v>
      </c>
      <c r="D204" s="139" t="s">
        <v>474</v>
      </c>
      <c r="E204" s="139">
        <v>1</v>
      </c>
      <c r="F204" s="143" t="s">
        <v>42</v>
      </c>
    </row>
    <row r="205" spans="1:6">
      <c r="A205" s="139" t="s">
        <v>62</v>
      </c>
      <c r="B205" s="139" t="s">
        <v>472</v>
      </c>
      <c r="C205" s="139" t="s">
        <v>361</v>
      </c>
      <c r="D205" s="139" t="s">
        <v>474</v>
      </c>
      <c r="E205" s="139">
        <v>1</v>
      </c>
      <c r="F205" s="143" t="s">
        <v>42</v>
      </c>
    </row>
    <row r="206" spans="1:6">
      <c r="A206" s="139" t="s">
        <v>62</v>
      </c>
      <c r="B206" s="139" t="s">
        <v>484</v>
      </c>
      <c r="C206" s="139" t="s">
        <v>62</v>
      </c>
      <c r="D206" s="139" t="s">
        <v>533</v>
      </c>
      <c r="E206" s="139">
        <v>1</v>
      </c>
      <c r="F206" s="143" t="s">
        <v>42</v>
      </c>
    </row>
    <row r="207" spans="1:6">
      <c r="A207" s="139" t="s">
        <v>62</v>
      </c>
      <c r="B207" s="139" t="s">
        <v>484</v>
      </c>
      <c r="C207" s="139" t="s">
        <v>382</v>
      </c>
      <c r="D207" s="139" t="s">
        <v>532</v>
      </c>
      <c r="E207" s="139">
        <v>2</v>
      </c>
      <c r="F207" s="143" t="s">
        <v>42</v>
      </c>
    </row>
    <row r="208" spans="1:6">
      <c r="A208" s="139" t="s">
        <v>62</v>
      </c>
      <c r="B208" s="139" t="s">
        <v>484</v>
      </c>
      <c r="C208" s="139" t="s">
        <v>387</v>
      </c>
      <c r="D208" s="139" t="s">
        <v>533</v>
      </c>
      <c r="E208" s="139">
        <v>1</v>
      </c>
      <c r="F208" s="143" t="s">
        <v>42</v>
      </c>
    </row>
    <row r="209" spans="1:6">
      <c r="A209" s="139" t="s">
        <v>62</v>
      </c>
      <c r="B209" s="139" t="s">
        <v>487</v>
      </c>
      <c r="C209" s="139" t="s">
        <v>62</v>
      </c>
      <c r="D209" s="139" t="s">
        <v>490</v>
      </c>
      <c r="E209" s="139">
        <v>1</v>
      </c>
      <c r="F209" s="143" t="s">
        <v>42</v>
      </c>
    </row>
    <row r="210" spans="1:6">
      <c r="A210" s="139" t="s">
        <v>62</v>
      </c>
      <c r="B210" s="139" t="s">
        <v>487</v>
      </c>
      <c r="C210" s="139" t="s">
        <v>360</v>
      </c>
      <c r="D210" s="139" t="s">
        <v>490</v>
      </c>
      <c r="E210" s="139">
        <v>1</v>
      </c>
      <c r="F210" s="143" t="s">
        <v>42</v>
      </c>
    </row>
    <row r="211" spans="1:6">
      <c r="A211" s="139" t="s">
        <v>62</v>
      </c>
      <c r="B211" s="139" t="s">
        <v>487</v>
      </c>
      <c r="C211" s="139" t="s">
        <v>392</v>
      </c>
      <c r="D211" s="139" t="s">
        <v>490</v>
      </c>
      <c r="E211" s="139">
        <v>1</v>
      </c>
      <c r="F211" s="143" t="s">
        <v>42</v>
      </c>
    </row>
    <row r="212" spans="1:6">
      <c r="A212" s="139" t="s">
        <v>62</v>
      </c>
      <c r="B212" s="139" t="s">
        <v>491</v>
      </c>
      <c r="C212" s="139" t="s">
        <v>62</v>
      </c>
      <c r="D212" s="139" t="s">
        <v>534</v>
      </c>
      <c r="E212" s="139">
        <v>1</v>
      </c>
      <c r="F212" s="143" t="s">
        <v>42</v>
      </c>
    </row>
    <row r="213" spans="1:6">
      <c r="A213" s="139" t="s">
        <v>62</v>
      </c>
      <c r="B213" s="139" t="s">
        <v>491</v>
      </c>
      <c r="C213" s="139" t="s">
        <v>373</v>
      </c>
      <c r="D213" s="139" t="s">
        <v>543</v>
      </c>
      <c r="E213" s="139">
        <v>2</v>
      </c>
      <c r="F213" s="143" t="s">
        <v>42</v>
      </c>
    </row>
    <row r="214" spans="1:6">
      <c r="A214" s="139" t="s">
        <v>62</v>
      </c>
      <c r="B214" s="139" t="s">
        <v>491</v>
      </c>
      <c r="C214" s="139" t="s">
        <v>380</v>
      </c>
      <c r="D214" s="139" t="s">
        <v>534</v>
      </c>
      <c r="E214" s="139">
        <v>1</v>
      </c>
      <c r="F214" s="143" t="s">
        <v>42</v>
      </c>
    </row>
    <row r="215" spans="1:6">
      <c r="A215" s="139" t="s">
        <v>62</v>
      </c>
      <c r="B215" s="139" t="s">
        <v>492</v>
      </c>
      <c r="C215" s="139" t="s">
        <v>374</v>
      </c>
      <c r="D215" s="139" t="s">
        <v>494</v>
      </c>
      <c r="E215" s="139">
        <v>1</v>
      </c>
      <c r="F215" s="143" t="s">
        <v>42</v>
      </c>
    </row>
    <row r="216" spans="1:6">
      <c r="A216" s="139" t="s">
        <v>62</v>
      </c>
      <c r="B216" s="139" t="s">
        <v>492</v>
      </c>
      <c r="C216" s="139" t="s">
        <v>144</v>
      </c>
      <c r="D216" s="139" t="s">
        <v>494</v>
      </c>
      <c r="E216" s="139">
        <v>1</v>
      </c>
      <c r="F216" s="143" t="s">
        <v>42</v>
      </c>
    </row>
    <row r="217" spans="1:6">
      <c r="A217" s="139" t="s">
        <v>62</v>
      </c>
      <c r="B217" s="139" t="s">
        <v>497</v>
      </c>
      <c r="C217" s="139" t="s">
        <v>62</v>
      </c>
      <c r="D217" s="139" t="s">
        <v>268</v>
      </c>
      <c r="E217" s="139">
        <v>1</v>
      </c>
      <c r="F217" s="143" t="s">
        <v>42</v>
      </c>
    </row>
    <row r="218" spans="1:6">
      <c r="A218" s="139" t="s">
        <v>62</v>
      </c>
      <c r="B218" s="139" t="s">
        <v>499</v>
      </c>
      <c r="C218" s="139" t="s">
        <v>62</v>
      </c>
      <c r="D218" s="139" t="s">
        <v>276</v>
      </c>
      <c r="E218" s="139">
        <v>3</v>
      </c>
      <c r="F218" s="143" t="s">
        <v>42</v>
      </c>
    </row>
    <row r="219" spans="1:6">
      <c r="A219" s="139" t="s">
        <v>62</v>
      </c>
      <c r="B219" s="139" t="s">
        <v>501</v>
      </c>
      <c r="C219" s="139" t="s">
        <v>168</v>
      </c>
      <c r="D219" s="139" t="s">
        <v>254</v>
      </c>
      <c r="E219" s="139">
        <v>1</v>
      </c>
      <c r="F219" s="143" t="s">
        <v>42</v>
      </c>
    </row>
    <row r="220" spans="1:6">
      <c r="A220" s="139" t="s">
        <v>62</v>
      </c>
      <c r="B220" s="139" t="s">
        <v>503</v>
      </c>
      <c r="C220" s="139" t="s">
        <v>62</v>
      </c>
      <c r="D220" s="139" t="s">
        <v>239</v>
      </c>
      <c r="E220" s="139">
        <v>1</v>
      </c>
      <c r="F220" s="143" t="s">
        <v>42</v>
      </c>
    </row>
    <row r="221" spans="1:6">
      <c r="A221" s="139" t="s">
        <v>62</v>
      </c>
      <c r="B221" s="139" t="s">
        <v>503</v>
      </c>
      <c r="C221" s="139" t="s">
        <v>144</v>
      </c>
      <c r="D221" s="139" t="s">
        <v>239</v>
      </c>
      <c r="E221" s="139">
        <v>1</v>
      </c>
      <c r="F221" s="143" t="s">
        <v>42</v>
      </c>
    </row>
    <row r="222" spans="1:6">
      <c r="A222" s="139" t="s">
        <v>62</v>
      </c>
      <c r="B222" s="139" t="s">
        <v>505</v>
      </c>
      <c r="C222" s="139" t="s">
        <v>62</v>
      </c>
      <c r="D222" s="139" t="s">
        <v>506</v>
      </c>
      <c r="E222" s="139">
        <v>1</v>
      </c>
      <c r="F222" s="143" t="s">
        <v>42</v>
      </c>
    </row>
    <row r="223" spans="1:6">
      <c r="A223" s="139" t="s">
        <v>62</v>
      </c>
      <c r="B223" s="139" t="s">
        <v>516</v>
      </c>
      <c r="C223" s="139" t="s">
        <v>62</v>
      </c>
      <c r="D223" s="139" t="s">
        <v>519</v>
      </c>
      <c r="E223" s="139">
        <v>1</v>
      </c>
      <c r="F223" s="143" t="s">
        <v>42</v>
      </c>
    </row>
    <row r="224" spans="1:6">
      <c r="A224" s="139" t="s">
        <v>334</v>
      </c>
      <c r="B224" s="139" t="s">
        <v>536</v>
      </c>
      <c r="C224" s="139" t="s">
        <v>286</v>
      </c>
      <c r="D224" s="139" t="s">
        <v>218</v>
      </c>
      <c r="E224" s="139">
        <v>1</v>
      </c>
      <c r="F224" s="140" t="s">
        <v>33</v>
      </c>
    </row>
    <row r="225" spans="1:6">
      <c r="A225" s="139" t="s">
        <v>334</v>
      </c>
      <c r="B225" s="139" t="s">
        <v>536</v>
      </c>
      <c r="C225" s="139" t="s">
        <v>293</v>
      </c>
      <c r="D225" s="139" t="s">
        <v>218</v>
      </c>
      <c r="E225" s="139">
        <v>1</v>
      </c>
      <c r="F225" s="140" t="s">
        <v>33</v>
      </c>
    </row>
    <row r="226" spans="1:6">
      <c r="A226" s="139" t="s">
        <v>334</v>
      </c>
      <c r="B226" s="139" t="s">
        <v>520</v>
      </c>
      <c r="C226" s="139" t="s">
        <v>287</v>
      </c>
      <c r="D226" s="139" t="s">
        <v>521</v>
      </c>
      <c r="E226" s="139">
        <v>1</v>
      </c>
      <c r="F226" s="140" t="s">
        <v>33</v>
      </c>
    </row>
    <row r="227" spans="1:6">
      <c r="A227" s="139" t="s">
        <v>334</v>
      </c>
      <c r="B227" s="139" t="s">
        <v>523</v>
      </c>
      <c r="C227" s="139" t="s">
        <v>294</v>
      </c>
      <c r="D227" s="139" t="s">
        <v>251</v>
      </c>
      <c r="E227" s="139">
        <v>1</v>
      </c>
      <c r="F227" s="140" t="s">
        <v>33</v>
      </c>
    </row>
    <row r="228" spans="1:6">
      <c r="A228" s="139" t="s">
        <v>334</v>
      </c>
      <c r="B228" s="139" t="s">
        <v>449</v>
      </c>
      <c r="C228" s="139" t="s">
        <v>312</v>
      </c>
      <c r="D228" s="139" t="s">
        <v>226</v>
      </c>
      <c r="E228" s="139">
        <v>1</v>
      </c>
      <c r="F228" s="140" t="s">
        <v>33</v>
      </c>
    </row>
    <row r="229" spans="1:6">
      <c r="A229" s="139" t="s">
        <v>334</v>
      </c>
      <c r="B229" s="139" t="s">
        <v>456</v>
      </c>
      <c r="C229" s="139" t="s">
        <v>322</v>
      </c>
      <c r="D229" s="139" t="s">
        <v>214</v>
      </c>
      <c r="E229" s="139">
        <v>1</v>
      </c>
      <c r="F229" s="140" t="s">
        <v>33</v>
      </c>
    </row>
    <row r="230" spans="1:6">
      <c r="A230" s="139" t="s">
        <v>334</v>
      </c>
      <c r="B230" s="139" t="s">
        <v>526</v>
      </c>
      <c r="C230" s="139" t="s">
        <v>334</v>
      </c>
      <c r="D230" s="139" t="s">
        <v>260</v>
      </c>
      <c r="E230" s="139">
        <v>1</v>
      </c>
      <c r="F230" s="140" t="s">
        <v>33</v>
      </c>
    </row>
    <row r="231" spans="1:6">
      <c r="A231" s="139" t="s">
        <v>334</v>
      </c>
      <c r="B231" s="139" t="s">
        <v>457</v>
      </c>
      <c r="C231" s="139" t="s">
        <v>334</v>
      </c>
      <c r="D231" s="139" t="s">
        <v>235</v>
      </c>
      <c r="E231" s="139">
        <v>1</v>
      </c>
      <c r="F231" s="140" t="s">
        <v>33</v>
      </c>
    </row>
    <row r="232" spans="1:6">
      <c r="A232" s="139" t="s">
        <v>334</v>
      </c>
      <c r="B232" s="139" t="s">
        <v>459</v>
      </c>
      <c r="C232" s="139" t="s">
        <v>347</v>
      </c>
      <c r="D232" s="139" t="s">
        <v>528</v>
      </c>
      <c r="E232" s="139">
        <v>1</v>
      </c>
      <c r="F232" s="140" t="s">
        <v>33</v>
      </c>
    </row>
    <row r="233" spans="1:6">
      <c r="A233" s="139" t="s">
        <v>334</v>
      </c>
      <c r="B233" s="139" t="s">
        <v>464</v>
      </c>
      <c r="C233" s="139" t="s">
        <v>332</v>
      </c>
      <c r="D233" s="139" t="s">
        <v>539</v>
      </c>
      <c r="E233" s="139">
        <v>1</v>
      </c>
      <c r="F233" s="140" t="s">
        <v>33</v>
      </c>
    </row>
    <row r="234" spans="1:6">
      <c r="A234" s="139" t="s">
        <v>334</v>
      </c>
      <c r="B234" s="139" t="s">
        <v>476</v>
      </c>
      <c r="C234" s="139" t="s">
        <v>368</v>
      </c>
      <c r="D234" s="139" t="s">
        <v>214</v>
      </c>
      <c r="E234" s="139">
        <v>1</v>
      </c>
      <c r="F234" s="140" t="s">
        <v>33</v>
      </c>
    </row>
    <row r="235" spans="1:6">
      <c r="A235" s="139" t="s">
        <v>334</v>
      </c>
      <c r="B235" s="139" t="s">
        <v>478</v>
      </c>
      <c r="C235" s="139" t="s">
        <v>378</v>
      </c>
      <c r="D235" s="139" t="s">
        <v>224</v>
      </c>
      <c r="E235" s="139">
        <v>1</v>
      </c>
      <c r="F235" s="140" t="s">
        <v>33</v>
      </c>
    </row>
    <row r="236" spans="1:6">
      <c r="A236" s="139" t="s">
        <v>334</v>
      </c>
      <c r="B236" s="139" t="s">
        <v>484</v>
      </c>
      <c r="C236" s="139" t="s">
        <v>294</v>
      </c>
      <c r="D236" s="139" t="s">
        <v>533</v>
      </c>
      <c r="E236" s="139">
        <v>1</v>
      </c>
      <c r="F236" s="140" t="s">
        <v>33</v>
      </c>
    </row>
    <row r="237" spans="1:6">
      <c r="A237" s="139" t="s">
        <v>334</v>
      </c>
      <c r="B237" s="139" t="s">
        <v>487</v>
      </c>
      <c r="C237" s="139" t="s">
        <v>294</v>
      </c>
      <c r="D237" s="139" t="s">
        <v>490</v>
      </c>
      <c r="E237" s="139">
        <v>1</v>
      </c>
      <c r="F237" s="140" t="s">
        <v>33</v>
      </c>
    </row>
    <row r="238" spans="1:6">
      <c r="A238" s="139" t="s">
        <v>334</v>
      </c>
      <c r="B238" s="139" t="s">
        <v>487</v>
      </c>
      <c r="C238" s="139" t="s">
        <v>388</v>
      </c>
      <c r="D238" s="139" t="s">
        <v>490</v>
      </c>
      <c r="E238" s="139">
        <v>1</v>
      </c>
      <c r="F238" s="140" t="s">
        <v>33</v>
      </c>
    </row>
    <row r="239" spans="1:6">
      <c r="A239" s="139" t="s">
        <v>334</v>
      </c>
      <c r="B239" s="139" t="s">
        <v>499</v>
      </c>
      <c r="C239" s="139" t="s">
        <v>294</v>
      </c>
      <c r="D239" s="139" t="s">
        <v>272</v>
      </c>
      <c r="E239" s="139">
        <v>1</v>
      </c>
      <c r="F239" s="140" t="s">
        <v>33</v>
      </c>
    </row>
    <row r="240" spans="1:6">
      <c r="A240" s="139" t="s">
        <v>334</v>
      </c>
      <c r="B240" s="139" t="s">
        <v>503</v>
      </c>
      <c r="C240" s="139" t="s">
        <v>431</v>
      </c>
      <c r="D240" s="139" t="s">
        <v>239</v>
      </c>
      <c r="E240" s="139">
        <v>1</v>
      </c>
      <c r="F240" s="140" t="s">
        <v>33</v>
      </c>
    </row>
    <row r="241" spans="1:6">
      <c r="A241" s="139" t="s">
        <v>334</v>
      </c>
      <c r="B241" s="139" t="s">
        <v>505</v>
      </c>
      <c r="C241" s="139" t="s">
        <v>294</v>
      </c>
      <c r="D241" s="139" t="s">
        <v>506</v>
      </c>
      <c r="E241" s="139">
        <v>1</v>
      </c>
      <c r="F241" s="140" t="s">
        <v>33</v>
      </c>
    </row>
    <row r="242" spans="1:6">
      <c r="A242" s="139" t="s">
        <v>334</v>
      </c>
      <c r="B242" s="139" t="s">
        <v>507</v>
      </c>
      <c r="C242" s="139" t="s">
        <v>408</v>
      </c>
      <c r="D242" s="139" t="s">
        <v>509</v>
      </c>
      <c r="E242" s="139">
        <v>1</v>
      </c>
      <c r="F242" s="140" t="s">
        <v>33</v>
      </c>
    </row>
    <row r="243" spans="1:6">
      <c r="A243" s="139" t="s">
        <v>334</v>
      </c>
      <c r="B243" s="139" t="s">
        <v>510</v>
      </c>
      <c r="C243" s="139" t="s">
        <v>439</v>
      </c>
      <c r="D243" s="139" t="s">
        <v>515</v>
      </c>
      <c r="E243" s="139">
        <v>1</v>
      </c>
      <c r="F243" s="140" t="s">
        <v>33</v>
      </c>
    </row>
    <row r="244" spans="1:6">
      <c r="A244" s="139" t="s">
        <v>280</v>
      </c>
      <c r="B244" s="139" t="s">
        <v>536</v>
      </c>
      <c r="C244" s="139" t="s">
        <v>288</v>
      </c>
      <c r="D244" s="139" t="s">
        <v>218</v>
      </c>
      <c r="E244" s="139">
        <v>1</v>
      </c>
      <c r="F244" s="140" t="s">
        <v>33</v>
      </c>
    </row>
    <row r="245" spans="1:6">
      <c r="A245" s="139" t="s">
        <v>280</v>
      </c>
      <c r="B245" s="139" t="s">
        <v>520</v>
      </c>
      <c r="C245" s="139" t="s">
        <v>289</v>
      </c>
      <c r="D245" s="139" t="s">
        <v>521</v>
      </c>
      <c r="E245" s="139">
        <v>1</v>
      </c>
      <c r="F245" s="140" t="s">
        <v>33</v>
      </c>
    </row>
    <row r="246" spans="1:6">
      <c r="A246" s="139" t="s">
        <v>280</v>
      </c>
      <c r="B246" s="139" t="s">
        <v>520</v>
      </c>
      <c r="C246" s="139" t="s">
        <v>297</v>
      </c>
      <c r="D246" s="139" t="s">
        <v>521</v>
      </c>
      <c r="E246" s="139">
        <v>1</v>
      </c>
      <c r="F246" s="140" t="s">
        <v>33</v>
      </c>
    </row>
    <row r="247" spans="1:6">
      <c r="A247" s="139" t="s">
        <v>280</v>
      </c>
      <c r="B247" s="139" t="s">
        <v>522</v>
      </c>
      <c r="C247" s="139" t="s">
        <v>166</v>
      </c>
      <c r="D247" s="139" t="s">
        <v>215</v>
      </c>
      <c r="E247" s="139">
        <v>1</v>
      </c>
      <c r="F247" s="140" t="s">
        <v>33</v>
      </c>
    </row>
    <row r="248" spans="1:6">
      <c r="A248" s="139" t="s">
        <v>280</v>
      </c>
      <c r="B248" s="139" t="s">
        <v>449</v>
      </c>
      <c r="C248" s="139" t="s">
        <v>289</v>
      </c>
      <c r="D248" s="139" t="s">
        <v>226</v>
      </c>
      <c r="E248" s="139">
        <v>1</v>
      </c>
      <c r="F248" s="140" t="s">
        <v>33</v>
      </c>
    </row>
    <row r="249" spans="1:6">
      <c r="A249" s="139" t="s">
        <v>280</v>
      </c>
      <c r="B249" s="139" t="s">
        <v>526</v>
      </c>
      <c r="C249" s="139" t="s">
        <v>124</v>
      </c>
      <c r="D249" s="139" t="s">
        <v>544</v>
      </c>
      <c r="E249" s="139">
        <v>2</v>
      </c>
      <c r="F249" s="140" t="s">
        <v>33</v>
      </c>
    </row>
    <row r="250" spans="1:6">
      <c r="A250" s="139" t="s">
        <v>280</v>
      </c>
      <c r="B250" s="139" t="s">
        <v>472</v>
      </c>
      <c r="C250" s="139" t="s">
        <v>166</v>
      </c>
      <c r="D250" s="139" t="s">
        <v>532</v>
      </c>
      <c r="E250" s="139">
        <v>3</v>
      </c>
      <c r="F250" s="140" t="s">
        <v>33</v>
      </c>
    </row>
    <row r="251" spans="1:6">
      <c r="A251" s="139" t="s">
        <v>280</v>
      </c>
      <c r="B251" s="139" t="s">
        <v>472</v>
      </c>
      <c r="C251" s="139" t="s">
        <v>346</v>
      </c>
      <c r="D251" s="139" t="s">
        <v>474</v>
      </c>
      <c r="E251" s="139">
        <v>1</v>
      </c>
      <c r="F251" s="140" t="s">
        <v>33</v>
      </c>
    </row>
    <row r="252" spans="1:6">
      <c r="A252" s="139" t="s">
        <v>280</v>
      </c>
      <c r="B252" s="139" t="s">
        <v>478</v>
      </c>
      <c r="C252" s="139" t="s">
        <v>371</v>
      </c>
      <c r="D252" s="139" t="s">
        <v>224</v>
      </c>
      <c r="E252" s="139">
        <v>1</v>
      </c>
      <c r="F252" s="140" t="s">
        <v>33</v>
      </c>
    </row>
    <row r="253" spans="1:6">
      <c r="A253" s="139" t="s">
        <v>128</v>
      </c>
      <c r="B253" s="139" t="s">
        <v>520</v>
      </c>
      <c r="C253" s="139" t="s">
        <v>128</v>
      </c>
      <c r="D253" s="139" t="s">
        <v>521</v>
      </c>
      <c r="E253" s="139">
        <v>1</v>
      </c>
      <c r="F253" s="143" t="s">
        <v>42</v>
      </c>
    </row>
    <row r="254" spans="1:6">
      <c r="A254" s="139" t="s">
        <v>128</v>
      </c>
      <c r="B254" s="139" t="s">
        <v>522</v>
      </c>
      <c r="C254" s="139" t="s">
        <v>318</v>
      </c>
      <c r="D254" s="139" t="s">
        <v>215</v>
      </c>
      <c r="E254" s="139">
        <v>1</v>
      </c>
      <c r="F254" s="143" t="s">
        <v>42</v>
      </c>
    </row>
    <row r="255" spans="1:6">
      <c r="A255" s="139" t="s">
        <v>128</v>
      </c>
      <c r="B255" s="139" t="s">
        <v>449</v>
      </c>
      <c r="C255" s="139" t="s">
        <v>324</v>
      </c>
      <c r="D255" s="139" t="s">
        <v>226</v>
      </c>
      <c r="E255" s="139">
        <v>1</v>
      </c>
      <c r="F255" s="143" t="s">
        <v>42</v>
      </c>
    </row>
    <row r="256" spans="1:6">
      <c r="A256" s="139" t="s">
        <v>128</v>
      </c>
      <c r="B256" s="139" t="s">
        <v>450</v>
      </c>
      <c r="C256" s="139" t="s">
        <v>321</v>
      </c>
      <c r="D256" s="139" t="s">
        <v>453</v>
      </c>
      <c r="E256" s="139">
        <v>1</v>
      </c>
      <c r="F256" s="143" t="s">
        <v>42</v>
      </c>
    </row>
    <row r="257" spans="1:6">
      <c r="A257" s="139" t="s">
        <v>128</v>
      </c>
      <c r="B257" s="139" t="s">
        <v>459</v>
      </c>
      <c r="C257" s="139" t="s">
        <v>337</v>
      </c>
      <c r="D257" s="139" t="s">
        <v>528</v>
      </c>
      <c r="E257" s="139">
        <v>1</v>
      </c>
      <c r="F257" s="143" t="s">
        <v>42</v>
      </c>
    </row>
    <row r="258" spans="1:6">
      <c r="A258" s="139" t="s">
        <v>128</v>
      </c>
      <c r="B258" s="139" t="s">
        <v>462</v>
      </c>
      <c r="C258" s="139" t="s">
        <v>339</v>
      </c>
      <c r="D258" s="139" t="s">
        <v>530</v>
      </c>
      <c r="E258" s="139">
        <v>1</v>
      </c>
      <c r="F258" s="143" t="s">
        <v>42</v>
      </c>
    </row>
    <row r="259" spans="1:6">
      <c r="A259" s="139" t="s">
        <v>128</v>
      </c>
      <c r="B259" s="139" t="s">
        <v>464</v>
      </c>
      <c r="C259" s="139" t="s">
        <v>128</v>
      </c>
      <c r="D259" s="139" t="s">
        <v>539</v>
      </c>
      <c r="E259" s="139">
        <v>1</v>
      </c>
      <c r="F259" s="143" t="s">
        <v>42</v>
      </c>
    </row>
    <row r="260" spans="1:6">
      <c r="A260" s="139" t="s">
        <v>128</v>
      </c>
      <c r="B260" s="139" t="s">
        <v>467</v>
      </c>
      <c r="C260" s="139" t="s">
        <v>354</v>
      </c>
      <c r="D260" s="139" t="s">
        <v>471</v>
      </c>
      <c r="E260" s="139">
        <v>1</v>
      </c>
      <c r="F260" s="143" t="s">
        <v>42</v>
      </c>
    </row>
    <row r="261" spans="1:6">
      <c r="A261" s="139" t="s">
        <v>128</v>
      </c>
      <c r="B261" s="139" t="s">
        <v>480</v>
      </c>
      <c r="C261" s="139" t="s">
        <v>375</v>
      </c>
      <c r="D261" s="139" t="s">
        <v>483</v>
      </c>
      <c r="E261" s="139">
        <v>1</v>
      </c>
      <c r="F261" s="143" t="s">
        <v>42</v>
      </c>
    </row>
    <row r="262" spans="1:6">
      <c r="A262" s="139" t="s">
        <v>128</v>
      </c>
      <c r="B262" s="139" t="s">
        <v>503</v>
      </c>
      <c r="C262" s="139" t="s">
        <v>375</v>
      </c>
      <c r="D262" s="139" t="s">
        <v>239</v>
      </c>
      <c r="E262" s="139">
        <v>1</v>
      </c>
      <c r="F262" s="143" t="s">
        <v>42</v>
      </c>
    </row>
    <row r="263" spans="1:6">
      <c r="A263" s="139" t="s">
        <v>128</v>
      </c>
      <c r="B263" s="139" t="s">
        <v>505</v>
      </c>
      <c r="C263" s="139" t="s">
        <v>429</v>
      </c>
      <c r="D263" s="139" t="s">
        <v>506</v>
      </c>
      <c r="E263" s="139">
        <v>1</v>
      </c>
      <c r="F263" s="144"/>
    </row>
    <row r="264" spans="1:6">
      <c r="A264" s="139" t="s">
        <v>79</v>
      </c>
      <c r="B264" s="139" t="s">
        <v>459</v>
      </c>
      <c r="C264" s="139" t="s">
        <v>79</v>
      </c>
      <c r="D264" s="139" t="s">
        <v>528</v>
      </c>
      <c r="E264" s="139">
        <v>1</v>
      </c>
      <c r="F264" s="142" t="s">
        <v>27</v>
      </c>
    </row>
    <row r="265" spans="1:6">
      <c r="A265" s="139" t="s">
        <v>79</v>
      </c>
      <c r="B265" s="139" t="s">
        <v>462</v>
      </c>
      <c r="C265" s="139" t="s">
        <v>79</v>
      </c>
      <c r="D265" s="139" t="s">
        <v>530</v>
      </c>
      <c r="E265" s="139">
        <v>1</v>
      </c>
      <c r="F265" s="142" t="s">
        <v>27</v>
      </c>
    </row>
    <row r="266" spans="1:6">
      <c r="A266" s="139" t="s">
        <v>79</v>
      </c>
      <c r="B266" s="139" t="s">
        <v>467</v>
      </c>
      <c r="C266" s="139" t="s">
        <v>39</v>
      </c>
      <c r="D266" s="139" t="s">
        <v>471</v>
      </c>
      <c r="E266" s="139">
        <v>1</v>
      </c>
      <c r="F266" s="142" t="s">
        <v>27</v>
      </c>
    </row>
    <row r="267" spans="1:6">
      <c r="A267" s="139" t="s">
        <v>79</v>
      </c>
      <c r="B267" s="139" t="s">
        <v>472</v>
      </c>
      <c r="C267" s="139" t="s">
        <v>39</v>
      </c>
      <c r="D267" s="139" t="s">
        <v>474</v>
      </c>
      <c r="E267" s="139">
        <v>1</v>
      </c>
      <c r="F267" s="142" t="s">
        <v>27</v>
      </c>
    </row>
    <row r="268" spans="1:6">
      <c r="A268" s="139" t="s">
        <v>79</v>
      </c>
      <c r="B268" s="139" t="s">
        <v>472</v>
      </c>
      <c r="C268" s="139" t="s">
        <v>28</v>
      </c>
      <c r="D268" s="139" t="s">
        <v>474</v>
      </c>
      <c r="E268" s="139">
        <v>1</v>
      </c>
      <c r="F268" s="142" t="s">
        <v>27</v>
      </c>
    </row>
    <row r="269" spans="1:6">
      <c r="A269" s="139" t="s">
        <v>79</v>
      </c>
      <c r="B269" s="139" t="s">
        <v>472</v>
      </c>
      <c r="C269" s="139" t="s">
        <v>28</v>
      </c>
      <c r="D269" s="139" t="s">
        <v>474</v>
      </c>
      <c r="E269" s="139">
        <v>1</v>
      </c>
      <c r="F269" s="142" t="s">
        <v>27</v>
      </c>
    </row>
    <row r="270" spans="1:6">
      <c r="A270" s="139" t="s">
        <v>79</v>
      </c>
      <c r="B270" s="139" t="s">
        <v>472</v>
      </c>
      <c r="C270" s="139" t="s">
        <v>362</v>
      </c>
      <c r="D270" s="139" t="s">
        <v>474</v>
      </c>
      <c r="E270" s="139">
        <v>1</v>
      </c>
      <c r="F270" s="142" t="s">
        <v>27</v>
      </c>
    </row>
    <row r="271" spans="1:6">
      <c r="A271" s="139" t="s">
        <v>79</v>
      </c>
      <c r="B271" s="139" t="s">
        <v>478</v>
      </c>
      <c r="C271" s="139" t="s">
        <v>28</v>
      </c>
      <c r="D271" s="139" t="s">
        <v>224</v>
      </c>
      <c r="E271" s="139">
        <v>1</v>
      </c>
      <c r="F271" s="142" t="s">
        <v>27</v>
      </c>
    </row>
    <row r="272" spans="1:6">
      <c r="A272" s="139" t="s">
        <v>79</v>
      </c>
      <c r="B272" s="139" t="s">
        <v>487</v>
      </c>
      <c r="C272" s="139" t="s">
        <v>28</v>
      </c>
      <c r="D272" s="139" t="s">
        <v>490</v>
      </c>
      <c r="E272" s="139">
        <v>1</v>
      </c>
      <c r="F272" s="142" t="s">
        <v>27</v>
      </c>
    </row>
    <row r="273" spans="1:6">
      <c r="A273" s="139" t="s">
        <v>79</v>
      </c>
      <c r="B273" s="139" t="s">
        <v>487</v>
      </c>
      <c r="C273" s="139" t="s">
        <v>394</v>
      </c>
      <c r="D273" s="139" t="s">
        <v>490</v>
      </c>
      <c r="E273" s="139">
        <v>1</v>
      </c>
      <c r="F273" s="142" t="s">
        <v>27</v>
      </c>
    </row>
    <row r="274" spans="1:6">
      <c r="A274" s="139" t="s">
        <v>79</v>
      </c>
      <c r="B274" s="139" t="s">
        <v>503</v>
      </c>
      <c r="C274" s="139" t="s">
        <v>428</v>
      </c>
      <c r="D274" s="139" t="s">
        <v>239</v>
      </c>
      <c r="E274" s="139">
        <v>1</v>
      </c>
      <c r="F274" s="142" t="s">
        <v>27</v>
      </c>
    </row>
    <row r="275" spans="1:6">
      <c r="A275" s="139" t="s">
        <v>545</v>
      </c>
      <c r="B275" s="139" t="s">
        <v>456</v>
      </c>
      <c r="C275" s="139" t="s">
        <v>310</v>
      </c>
      <c r="D275" s="139" t="s">
        <v>214</v>
      </c>
      <c r="E275" s="139">
        <v>1</v>
      </c>
      <c r="F275" s="140" t="s">
        <v>33</v>
      </c>
    </row>
    <row r="276" spans="1:6">
      <c r="A276" s="139" t="s">
        <v>545</v>
      </c>
      <c r="B276" s="139" t="s">
        <v>459</v>
      </c>
      <c r="C276" s="139" t="s">
        <v>327</v>
      </c>
      <c r="D276" s="139" t="s">
        <v>528</v>
      </c>
      <c r="E276" s="139">
        <v>1</v>
      </c>
      <c r="F276" s="140" t="s">
        <v>33</v>
      </c>
    </row>
    <row r="277" spans="1:6">
      <c r="A277" s="139" t="s">
        <v>545</v>
      </c>
      <c r="B277" s="139" t="s">
        <v>476</v>
      </c>
      <c r="C277" s="139" t="s">
        <v>365</v>
      </c>
      <c r="D277" s="139" t="s">
        <v>214</v>
      </c>
      <c r="E277" s="139">
        <v>1</v>
      </c>
      <c r="F277" s="144"/>
    </row>
    <row r="278" spans="1:6">
      <c r="A278" s="139" t="s">
        <v>545</v>
      </c>
      <c r="B278" s="139" t="s">
        <v>480</v>
      </c>
      <c r="C278" s="139" t="s">
        <v>379</v>
      </c>
      <c r="D278" s="139" t="s">
        <v>483</v>
      </c>
      <c r="E278" s="139">
        <v>1</v>
      </c>
      <c r="F278" s="140" t="s">
        <v>33</v>
      </c>
    </row>
    <row r="279" spans="1:6">
      <c r="A279" s="139" t="s">
        <v>545</v>
      </c>
      <c r="B279" s="139" t="s">
        <v>503</v>
      </c>
      <c r="C279" s="139" t="s">
        <v>396</v>
      </c>
      <c r="D279" s="139" t="s">
        <v>237</v>
      </c>
      <c r="E279" s="139">
        <v>2</v>
      </c>
      <c r="F279" s="140" t="s">
        <v>33</v>
      </c>
    </row>
    <row r="280" spans="1:6">
      <c r="A280" s="139" t="s">
        <v>545</v>
      </c>
      <c r="B280" s="139" t="s">
        <v>503</v>
      </c>
      <c r="C280" s="139" t="s">
        <v>409</v>
      </c>
      <c r="D280" s="139" t="s">
        <v>239</v>
      </c>
      <c r="E280" s="139">
        <v>1</v>
      </c>
      <c r="F280" s="140" t="s">
        <v>33</v>
      </c>
    </row>
    <row r="281" spans="1:6">
      <c r="A281" s="139" t="s">
        <v>545</v>
      </c>
      <c r="B281" s="139" t="s">
        <v>505</v>
      </c>
      <c r="C281" s="139" t="s">
        <v>409</v>
      </c>
      <c r="D281" s="139" t="s">
        <v>506</v>
      </c>
      <c r="E281" s="139">
        <v>1</v>
      </c>
      <c r="F281" s="140" t="s">
        <v>33</v>
      </c>
    </row>
    <row r="282" spans="1:6">
      <c r="A282" s="139" t="s">
        <v>546</v>
      </c>
      <c r="B282" s="139" t="s">
        <v>449</v>
      </c>
      <c r="C282" s="139" t="s">
        <v>325</v>
      </c>
      <c r="D282" s="139" t="s">
        <v>226</v>
      </c>
      <c r="E282" s="139">
        <v>1</v>
      </c>
      <c r="F282" s="140" t="s">
        <v>33</v>
      </c>
    </row>
    <row r="283" spans="1:6">
      <c r="A283" s="139" t="s">
        <v>546</v>
      </c>
      <c r="B283" s="139" t="s">
        <v>464</v>
      </c>
      <c r="C283" s="139" t="s">
        <v>340</v>
      </c>
      <c r="D283" s="139" t="s">
        <v>509</v>
      </c>
      <c r="E283" s="139">
        <v>2</v>
      </c>
      <c r="F283" s="143" t="s">
        <v>42</v>
      </c>
    </row>
    <row r="284" spans="1:6">
      <c r="A284" s="139" t="s">
        <v>546</v>
      </c>
      <c r="B284" s="139" t="s">
        <v>464</v>
      </c>
      <c r="C284" s="139" t="s">
        <v>325</v>
      </c>
      <c r="D284" s="139" t="s">
        <v>539</v>
      </c>
      <c r="E284" s="139">
        <v>1</v>
      </c>
      <c r="F284" s="140" t="s">
        <v>33</v>
      </c>
    </row>
    <row r="285" spans="1:6">
      <c r="A285" s="139" t="s">
        <v>546</v>
      </c>
      <c r="B285" s="139" t="s">
        <v>487</v>
      </c>
      <c r="C285" s="139" t="s">
        <v>386</v>
      </c>
      <c r="D285" s="139" t="s">
        <v>490</v>
      </c>
      <c r="E285" s="139">
        <v>1</v>
      </c>
      <c r="F285" s="144"/>
    </row>
    <row r="286" spans="1:6">
      <c r="A286" s="139" t="s">
        <v>546</v>
      </c>
      <c r="B286" s="139" t="s">
        <v>499</v>
      </c>
      <c r="C286" s="139" t="s">
        <v>325</v>
      </c>
      <c r="D286" s="139" t="s">
        <v>272</v>
      </c>
      <c r="E286" s="139">
        <v>1</v>
      </c>
      <c r="F286" s="140" t="s">
        <v>33</v>
      </c>
    </row>
    <row r="287" spans="1:6">
      <c r="A287" s="139" t="s">
        <v>546</v>
      </c>
      <c r="B287" s="139" t="s">
        <v>503</v>
      </c>
      <c r="C287" s="139" t="s">
        <v>325</v>
      </c>
      <c r="D287" s="139" t="s">
        <v>239</v>
      </c>
      <c r="E287" s="139">
        <v>1</v>
      </c>
      <c r="F287" s="140" t="s">
        <v>33</v>
      </c>
    </row>
    <row r="288" spans="1:6">
      <c r="A288" s="139" t="s">
        <v>278</v>
      </c>
      <c r="B288" s="139" t="s">
        <v>450</v>
      </c>
      <c r="C288" s="139" t="s">
        <v>319</v>
      </c>
      <c r="D288" s="139" t="s">
        <v>453</v>
      </c>
      <c r="E288" s="139">
        <v>1</v>
      </c>
      <c r="F288" s="143" t="s">
        <v>42</v>
      </c>
    </row>
    <row r="289" spans="1:6">
      <c r="A289" s="139" t="s">
        <v>278</v>
      </c>
      <c r="B289" s="139" t="s">
        <v>526</v>
      </c>
      <c r="C289" s="139" t="s">
        <v>331</v>
      </c>
      <c r="D289" s="139" t="s">
        <v>260</v>
      </c>
      <c r="E289" s="139">
        <v>1</v>
      </c>
      <c r="F289" s="143" t="s">
        <v>42</v>
      </c>
    </row>
    <row r="290" spans="1:6">
      <c r="A290" s="139" t="s">
        <v>278</v>
      </c>
      <c r="B290" s="139" t="s">
        <v>459</v>
      </c>
      <c r="C290" s="139" t="s">
        <v>343</v>
      </c>
      <c r="D290" s="139" t="s">
        <v>528</v>
      </c>
      <c r="E290" s="139">
        <v>1</v>
      </c>
      <c r="F290" s="143" t="s">
        <v>42</v>
      </c>
    </row>
    <row r="291" spans="1:6">
      <c r="A291" s="139" t="s">
        <v>278</v>
      </c>
      <c r="B291" s="139" t="s">
        <v>462</v>
      </c>
      <c r="C291" s="139" t="s">
        <v>338</v>
      </c>
      <c r="D291" s="139" t="s">
        <v>530</v>
      </c>
      <c r="E291" s="139">
        <v>1</v>
      </c>
      <c r="F291" s="141" t="s">
        <v>37</v>
      </c>
    </row>
    <row r="292" spans="1:6">
      <c r="A292" s="139" t="s">
        <v>278</v>
      </c>
      <c r="B292" s="139" t="s">
        <v>464</v>
      </c>
      <c r="C292" s="139" t="s">
        <v>348</v>
      </c>
      <c r="D292" s="139" t="s">
        <v>539</v>
      </c>
      <c r="E292" s="139">
        <v>1</v>
      </c>
      <c r="F292" s="144"/>
    </row>
    <row r="293" spans="1:6">
      <c r="A293" s="139" t="s">
        <v>278</v>
      </c>
      <c r="B293" s="139" t="s">
        <v>467</v>
      </c>
      <c r="C293" s="139" t="s">
        <v>351</v>
      </c>
      <c r="D293" s="139" t="s">
        <v>471</v>
      </c>
      <c r="E293" s="139">
        <v>1</v>
      </c>
      <c r="F293" s="141" t="s">
        <v>37</v>
      </c>
    </row>
    <row r="294" spans="1:6">
      <c r="A294" s="139" t="s">
        <v>278</v>
      </c>
      <c r="B294" s="139" t="s">
        <v>516</v>
      </c>
      <c r="C294" s="139" t="s">
        <v>95</v>
      </c>
      <c r="D294" s="139" t="s">
        <v>519</v>
      </c>
      <c r="E294" s="139">
        <v>1</v>
      </c>
      <c r="F294" s="144"/>
    </row>
    <row r="295" spans="1:6">
      <c r="A295" s="139" t="s">
        <v>385</v>
      </c>
      <c r="B295" s="139" t="s">
        <v>467</v>
      </c>
      <c r="C295" s="139" t="s">
        <v>345</v>
      </c>
      <c r="D295" s="139" t="s">
        <v>471</v>
      </c>
      <c r="E295" s="139">
        <v>1</v>
      </c>
      <c r="F295" s="144"/>
    </row>
    <row r="296" spans="1:6">
      <c r="A296" s="139" t="s">
        <v>385</v>
      </c>
      <c r="B296" s="139" t="s">
        <v>478</v>
      </c>
      <c r="C296" s="139" t="s">
        <v>369</v>
      </c>
      <c r="D296" s="139" t="s">
        <v>224</v>
      </c>
      <c r="E296" s="139">
        <v>1</v>
      </c>
      <c r="F296" s="145" t="s">
        <v>35</v>
      </c>
    </row>
    <row r="297" spans="1:6">
      <c r="A297" s="139" t="s">
        <v>385</v>
      </c>
      <c r="B297" s="139" t="s">
        <v>487</v>
      </c>
      <c r="C297" s="139" t="s">
        <v>345</v>
      </c>
      <c r="D297" s="139" t="s">
        <v>490</v>
      </c>
      <c r="E297" s="139">
        <v>1</v>
      </c>
      <c r="F297" s="144"/>
    </row>
    <row r="298" spans="1:6">
      <c r="A298" s="139" t="s">
        <v>385</v>
      </c>
      <c r="B298" s="139" t="s">
        <v>491</v>
      </c>
      <c r="C298" s="139" t="s">
        <v>369</v>
      </c>
      <c r="D298" s="139" t="s">
        <v>534</v>
      </c>
      <c r="E298" s="139">
        <v>1</v>
      </c>
      <c r="F298" s="145" t="s">
        <v>35</v>
      </c>
    </row>
    <row r="299" spans="1:6">
      <c r="A299" s="139" t="s">
        <v>385</v>
      </c>
      <c r="B299" s="139" t="s">
        <v>491</v>
      </c>
      <c r="C299" s="139" t="s">
        <v>385</v>
      </c>
      <c r="D299" s="139" t="s">
        <v>534</v>
      </c>
      <c r="E299" s="139">
        <v>1</v>
      </c>
      <c r="F299" s="145" t="s">
        <v>35</v>
      </c>
    </row>
    <row r="300" spans="1:6">
      <c r="A300" s="139" t="s">
        <v>385</v>
      </c>
      <c r="B300" s="139" t="s">
        <v>503</v>
      </c>
      <c r="C300" s="139" t="s">
        <v>416</v>
      </c>
      <c r="D300" s="139" t="s">
        <v>239</v>
      </c>
      <c r="E300" s="139">
        <v>1</v>
      </c>
      <c r="F300" s="145" t="s">
        <v>35</v>
      </c>
    </row>
    <row r="301" spans="1:6">
      <c r="A301" s="139" t="s">
        <v>281</v>
      </c>
      <c r="B301" s="139" t="s">
        <v>520</v>
      </c>
      <c r="C301" s="139" t="s">
        <v>311</v>
      </c>
      <c r="D301" s="139" t="s">
        <v>521</v>
      </c>
      <c r="E301" s="139">
        <v>1</v>
      </c>
      <c r="F301" s="140" t="s">
        <v>33</v>
      </c>
    </row>
    <row r="302" spans="1:6">
      <c r="A302" s="139" t="s">
        <v>281</v>
      </c>
      <c r="B302" s="139" t="s">
        <v>520</v>
      </c>
      <c r="C302" s="139" t="s">
        <v>313</v>
      </c>
      <c r="D302" s="139" t="s">
        <v>521</v>
      </c>
      <c r="E302" s="139">
        <v>1</v>
      </c>
      <c r="F302" s="144"/>
    </row>
    <row r="303" spans="1:6">
      <c r="A303" s="139" t="s">
        <v>281</v>
      </c>
      <c r="B303" s="139" t="s">
        <v>520</v>
      </c>
      <c r="C303" s="139" t="s">
        <v>317</v>
      </c>
      <c r="D303" s="139" t="s">
        <v>521</v>
      </c>
      <c r="E303" s="139">
        <v>1</v>
      </c>
      <c r="F303" s="144"/>
    </row>
    <row r="304" spans="1:6">
      <c r="A304" s="139" t="s">
        <v>281</v>
      </c>
      <c r="B304" s="139" t="s">
        <v>522</v>
      </c>
      <c r="C304" s="139" t="s">
        <v>320</v>
      </c>
      <c r="D304" s="139" t="s">
        <v>215</v>
      </c>
      <c r="E304" s="139">
        <v>1</v>
      </c>
      <c r="F304" s="141" t="s">
        <v>37</v>
      </c>
    </row>
    <row r="305" spans="1:6">
      <c r="A305" s="139" t="s">
        <v>281</v>
      </c>
      <c r="B305" s="139" t="s">
        <v>523</v>
      </c>
      <c r="C305" s="139" t="s">
        <v>304</v>
      </c>
      <c r="D305" s="139" t="s">
        <v>251</v>
      </c>
      <c r="E305" s="139">
        <v>1</v>
      </c>
      <c r="F305" s="143" t="s">
        <v>42</v>
      </c>
    </row>
    <row r="306" spans="1:6">
      <c r="A306" s="139" t="s">
        <v>281</v>
      </c>
      <c r="B306" s="139" t="s">
        <v>523</v>
      </c>
      <c r="C306" s="139" t="s">
        <v>309</v>
      </c>
      <c r="D306" s="139" t="s">
        <v>251</v>
      </c>
      <c r="E306" s="139">
        <v>1</v>
      </c>
      <c r="F306" s="141" t="s">
        <v>37</v>
      </c>
    </row>
    <row r="307" spans="1:6">
      <c r="A307" s="139" t="s">
        <v>281</v>
      </c>
      <c r="B307" s="139" t="s">
        <v>449</v>
      </c>
      <c r="C307" s="139" t="s">
        <v>305</v>
      </c>
      <c r="D307" s="139" t="s">
        <v>226</v>
      </c>
      <c r="E307" s="139">
        <v>1</v>
      </c>
      <c r="F307" s="143" t="s">
        <v>42</v>
      </c>
    </row>
    <row r="308" spans="1:6">
      <c r="A308" s="139" t="s">
        <v>281</v>
      </c>
      <c r="B308" s="139" t="s">
        <v>456</v>
      </c>
      <c r="C308" s="139" t="s">
        <v>296</v>
      </c>
      <c r="D308" s="139" t="s">
        <v>214</v>
      </c>
      <c r="E308" s="139">
        <v>1</v>
      </c>
      <c r="F308" s="143" t="s">
        <v>42</v>
      </c>
    </row>
    <row r="309" spans="1:6">
      <c r="A309" s="139" t="s">
        <v>281</v>
      </c>
      <c r="B309" s="139" t="s">
        <v>456</v>
      </c>
      <c r="C309" s="139" t="s">
        <v>301</v>
      </c>
      <c r="D309" s="139" t="s">
        <v>214</v>
      </c>
      <c r="E309" s="139">
        <v>1</v>
      </c>
      <c r="F309" s="143" t="s">
        <v>42</v>
      </c>
    </row>
    <row r="310" spans="1:6">
      <c r="A310" s="139" t="s">
        <v>281</v>
      </c>
      <c r="B310" s="139" t="s">
        <v>456</v>
      </c>
      <c r="C310" s="139" t="s">
        <v>316</v>
      </c>
      <c r="D310" s="139" t="s">
        <v>214</v>
      </c>
      <c r="E310" s="139">
        <v>1</v>
      </c>
      <c r="F310" s="141" t="s">
        <v>37</v>
      </c>
    </row>
    <row r="311" spans="1:6">
      <c r="A311" s="139" t="s">
        <v>281</v>
      </c>
      <c r="B311" s="139" t="s">
        <v>526</v>
      </c>
      <c r="C311" s="139" t="s">
        <v>335</v>
      </c>
      <c r="D311" s="139" t="s">
        <v>260</v>
      </c>
      <c r="E311" s="139">
        <v>1</v>
      </c>
      <c r="F311" s="140" t="s">
        <v>33</v>
      </c>
    </row>
    <row r="312" spans="1:6">
      <c r="A312" s="139" t="s">
        <v>281</v>
      </c>
      <c r="B312" s="139" t="s">
        <v>457</v>
      </c>
      <c r="C312" s="139" t="s">
        <v>326</v>
      </c>
      <c r="D312" s="139" t="s">
        <v>547</v>
      </c>
      <c r="E312" s="139">
        <v>3</v>
      </c>
      <c r="F312" s="142" t="s">
        <v>27</v>
      </c>
    </row>
    <row r="313" spans="1:6">
      <c r="A313" s="139" t="s">
        <v>281</v>
      </c>
      <c r="B313" s="139" t="s">
        <v>457</v>
      </c>
      <c r="C313" s="139" t="s">
        <v>296</v>
      </c>
      <c r="D313" s="139" t="s">
        <v>235</v>
      </c>
      <c r="E313" s="139">
        <v>1</v>
      </c>
      <c r="F313" s="143" t="s">
        <v>42</v>
      </c>
    </row>
    <row r="314" spans="1:6">
      <c r="A314" s="139" t="s">
        <v>281</v>
      </c>
      <c r="B314" s="139" t="s">
        <v>457</v>
      </c>
      <c r="C314" s="139" t="s">
        <v>336</v>
      </c>
      <c r="D314" s="139" t="s">
        <v>235</v>
      </c>
      <c r="E314" s="139">
        <v>1</v>
      </c>
      <c r="F314" s="143" t="s">
        <v>42</v>
      </c>
    </row>
    <row r="315" spans="1:6">
      <c r="A315" s="139" t="s">
        <v>281</v>
      </c>
      <c r="B315" s="139" t="s">
        <v>459</v>
      </c>
      <c r="C315" s="139" t="s">
        <v>356</v>
      </c>
      <c r="D315" s="139" t="s">
        <v>528</v>
      </c>
      <c r="E315" s="139">
        <v>1</v>
      </c>
      <c r="F315" s="140" t="s">
        <v>33</v>
      </c>
    </row>
    <row r="316" spans="1:6">
      <c r="A316" s="139" t="s">
        <v>281</v>
      </c>
      <c r="B316" s="139" t="s">
        <v>462</v>
      </c>
      <c r="C316" s="139" t="s">
        <v>344</v>
      </c>
      <c r="D316" s="139" t="s">
        <v>530</v>
      </c>
      <c r="E316" s="139">
        <v>1</v>
      </c>
      <c r="F316" s="141" t="s">
        <v>37</v>
      </c>
    </row>
    <row r="317" spans="1:6">
      <c r="A317" s="139" t="s">
        <v>281</v>
      </c>
      <c r="B317" s="139" t="s">
        <v>462</v>
      </c>
      <c r="C317" s="139" t="s">
        <v>350</v>
      </c>
      <c r="D317" s="139" t="s">
        <v>530</v>
      </c>
      <c r="E317" s="139">
        <v>1</v>
      </c>
      <c r="F317" s="141" t="s">
        <v>37</v>
      </c>
    </row>
    <row r="318" spans="1:6">
      <c r="A318" s="139" t="s">
        <v>281</v>
      </c>
      <c r="B318" s="139" t="s">
        <v>464</v>
      </c>
      <c r="C318" s="139" t="s">
        <v>329</v>
      </c>
      <c r="D318" s="139" t="s">
        <v>539</v>
      </c>
      <c r="E318" s="139">
        <v>1</v>
      </c>
      <c r="F318" s="141" t="s">
        <v>37</v>
      </c>
    </row>
    <row r="319" spans="1:6">
      <c r="A319" s="139" t="s">
        <v>281</v>
      </c>
      <c r="B319" s="139" t="s">
        <v>467</v>
      </c>
      <c r="C319" s="139" t="s">
        <v>333</v>
      </c>
      <c r="D319" s="139" t="s">
        <v>471</v>
      </c>
      <c r="E319" s="139">
        <v>1</v>
      </c>
      <c r="F319" s="143" t="s">
        <v>42</v>
      </c>
    </row>
    <row r="320" spans="1:6">
      <c r="A320" s="139" t="s">
        <v>281</v>
      </c>
      <c r="B320" s="139" t="s">
        <v>467</v>
      </c>
      <c r="C320" s="139" t="s">
        <v>341</v>
      </c>
      <c r="D320" s="139" t="s">
        <v>471</v>
      </c>
      <c r="E320" s="139">
        <v>1</v>
      </c>
      <c r="F320" s="140" t="s">
        <v>33</v>
      </c>
    </row>
    <row r="321" spans="1:6">
      <c r="A321" s="139" t="s">
        <v>281</v>
      </c>
      <c r="B321" s="139" t="s">
        <v>467</v>
      </c>
      <c r="C321" s="139" t="s">
        <v>349</v>
      </c>
      <c r="D321" s="139" t="s">
        <v>471</v>
      </c>
      <c r="E321" s="139">
        <v>1</v>
      </c>
      <c r="F321" s="140" t="s">
        <v>33</v>
      </c>
    </row>
    <row r="322" spans="1:6">
      <c r="A322" s="139" t="s">
        <v>281</v>
      </c>
      <c r="B322" s="139" t="s">
        <v>480</v>
      </c>
      <c r="C322" s="139" t="s">
        <v>366</v>
      </c>
      <c r="D322" s="139" t="s">
        <v>483</v>
      </c>
      <c r="E322" s="139">
        <v>1</v>
      </c>
      <c r="F322" s="145" t="s">
        <v>35</v>
      </c>
    </row>
    <row r="323" spans="1:6">
      <c r="A323" s="139" t="s">
        <v>281</v>
      </c>
      <c r="B323" s="139" t="s">
        <v>484</v>
      </c>
      <c r="C323" s="139" t="s">
        <v>370</v>
      </c>
      <c r="D323" s="139" t="s">
        <v>533</v>
      </c>
      <c r="E323" s="139">
        <v>1</v>
      </c>
      <c r="F323" s="140" t="s">
        <v>33</v>
      </c>
    </row>
    <row r="324" spans="1:6">
      <c r="A324" s="139" t="s">
        <v>281</v>
      </c>
      <c r="B324" s="139" t="s">
        <v>487</v>
      </c>
      <c r="C324" s="139" t="s">
        <v>381</v>
      </c>
      <c r="D324" s="139" t="s">
        <v>490</v>
      </c>
      <c r="E324" s="139">
        <v>1</v>
      </c>
      <c r="F324" s="141" t="s">
        <v>37</v>
      </c>
    </row>
    <row r="325" spans="1:6">
      <c r="A325" s="139" t="s">
        <v>281</v>
      </c>
      <c r="B325" s="139" t="s">
        <v>487</v>
      </c>
      <c r="C325" s="139" t="s">
        <v>393</v>
      </c>
      <c r="D325" s="139" t="s">
        <v>490</v>
      </c>
      <c r="E325" s="139">
        <v>1</v>
      </c>
      <c r="F325" s="142" t="s">
        <v>27</v>
      </c>
    </row>
    <row r="326" spans="1:6">
      <c r="A326" s="139" t="s">
        <v>281</v>
      </c>
      <c r="B326" s="139" t="s">
        <v>487</v>
      </c>
      <c r="C326" s="139" t="s">
        <v>395</v>
      </c>
      <c r="D326" s="139" t="s">
        <v>490</v>
      </c>
      <c r="E326" s="139">
        <v>1</v>
      </c>
      <c r="F326" s="144"/>
    </row>
    <row r="327" spans="1:6">
      <c r="A327" s="139" t="s">
        <v>281</v>
      </c>
      <c r="B327" s="139" t="s">
        <v>491</v>
      </c>
      <c r="C327" s="139" t="s">
        <v>367</v>
      </c>
      <c r="D327" s="139" t="s">
        <v>534</v>
      </c>
      <c r="E327" s="139">
        <v>1</v>
      </c>
      <c r="F327" s="141" t="s">
        <v>37</v>
      </c>
    </row>
    <row r="328" spans="1:6">
      <c r="A328" s="139" t="s">
        <v>281</v>
      </c>
      <c r="B328" s="139" t="s">
        <v>491</v>
      </c>
      <c r="C328" s="139" t="s">
        <v>376</v>
      </c>
      <c r="D328" s="139" t="s">
        <v>534</v>
      </c>
      <c r="E328" s="139">
        <v>1</v>
      </c>
      <c r="F328" s="143" t="s">
        <v>42</v>
      </c>
    </row>
    <row r="329" spans="1:6">
      <c r="A329" s="139" t="s">
        <v>281</v>
      </c>
      <c r="B329" s="139" t="s">
        <v>492</v>
      </c>
      <c r="C329" s="139" t="s">
        <v>364</v>
      </c>
      <c r="D329" s="139" t="s">
        <v>494</v>
      </c>
      <c r="E329" s="139">
        <v>1</v>
      </c>
      <c r="F329" s="141" t="s">
        <v>37</v>
      </c>
    </row>
    <row r="330" spans="1:6">
      <c r="A330" s="139" t="s">
        <v>281</v>
      </c>
      <c r="B330" s="139" t="s">
        <v>495</v>
      </c>
      <c r="C330" s="139" t="s">
        <v>130</v>
      </c>
      <c r="D330" s="139" t="s">
        <v>255</v>
      </c>
      <c r="E330" s="139">
        <v>1</v>
      </c>
      <c r="F330" s="140" t="s">
        <v>33</v>
      </c>
    </row>
    <row r="331" spans="1:6">
      <c r="A331" s="139" t="s">
        <v>281</v>
      </c>
      <c r="B331" s="139" t="s">
        <v>499</v>
      </c>
      <c r="C331" s="139" t="s">
        <v>400</v>
      </c>
      <c r="D331" s="139" t="s">
        <v>272</v>
      </c>
      <c r="E331" s="139">
        <v>1</v>
      </c>
      <c r="F331" s="144"/>
    </row>
    <row r="332" spans="1:6">
      <c r="A332" s="139" t="s">
        <v>281</v>
      </c>
      <c r="B332" s="139" t="s">
        <v>499</v>
      </c>
      <c r="C332" s="139" t="s">
        <v>405</v>
      </c>
      <c r="D332" s="139" t="s">
        <v>272</v>
      </c>
      <c r="E332" s="139">
        <v>1</v>
      </c>
      <c r="F332" s="141" t="s">
        <v>37</v>
      </c>
    </row>
    <row r="333" spans="1:6">
      <c r="A333" s="139" t="s">
        <v>281</v>
      </c>
      <c r="B333" s="139" t="s">
        <v>499</v>
      </c>
      <c r="C333" s="139" t="s">
        <v>422</v>
      </c>
      <c r="D333" s="139" t="s">
        <v>272</v>
      </c>
      <c r="E333" s="139">
        <v>1</v>
      </c>
      <c r="F333" s="141" t="s">
        <v>37</v>
      </c>
    </row>
    <row r="334" spans="1:6">
      <c r="A334" s="139" t="s">
        <v>281</v>
      </c>
      <c r="B334" s="139" t="s">
        <v>501</v>
      </c>
      <c r="C334" s="139" t="s">
        <v>406</v>
      </c>
      <c r="D334" s="139" t="s">
        <v>254</v>
      </c>
      <c r="E334" s="139">
        <v>1</v>
      </c>
      <c r="F334" s="141" t="s">
        <v>37</v>
      </c>
    </row>
    <row r="335" spans="1:6">
      <c r="A335" s="139" t="s">
        <v>281</v>
      </c>
      <c r="B335" s="139" t="s">
        <v>503</v>
      </c>
      <c r="C335" s="139" t="s">
        <v>402</v>
      </c>
      <c r="D335" s="139" t="s">
        <v>239</v>
      </c>
      <c r="E335" s="139">
        <v>1</v>
      </c>
      <c r="F335" s="140" t="s">
        <v>33</v>
      </c>
    </row>
    <row r="336" spans="1:6">
      <c r="A336" s="139" t="s">
        <v>281</v>
      </c>
      <c r="B336" s="139" t="s">
        <v>503</v>
      </c>
      <c r="C336" s="139" t="s">
        <v>414</v>
      </c>
      <c r="D336" s="139" t="s">
        <v>239</v>
      </c>
      <c r="E336" s="139">
        <v>1</v>
      </c>
      <c r="F336" s="140" t="s">
        <v>33</v>
      </c>
    </row>
    <row r="337" spans="1:6">
      <c r="A337" s="139" t="s">
        <v>281</v>
      </c>
      <c r="B337" s="139" t="s">
        <v>503</v>
      </c>
      <c r="C337" s="139" t="s">
        <v>433</v>
      </c>
      <c r="D337" s="139" t="s">
        <v>239</v>
      </c>
      <c r="E337" s="139">
        <v>1</v>
      </c>
      <c r="F337" s="143" t="s">
        <v>42</v>
      </c>
    </row>
    <row r="338" spans="1:6">
      <c r="A338" s="139" t="s">
        <v>281</v>
      </c>
      <c r="B338" s="139" t="s">
        <v>503</v>
      </c>
      <c r="C338" s="139" t="s">
        <v>434</v>
      </c>
      <c r="D338" s="139" t="s">
        <v>239</v>
      </c>
      <c r="E338" s="139">
        <v>1</v>
      </c>
      <c r="F338" s="143" t="s">
        <v>42</v>
      </c>
    </row>
    <row r="339" spans="1:6">
      <c r="A339" s="139" t="s">
        <v>281</v>
      </c>
      <c r="B339" s="139" t="s">
        <v>505</v>
      </c>
      <c r="C339" s="139" t="s">
        <v>407</v>
      </c>
      <c r="D339" s="139" t="s">
        <v>506</v>
      </c>
      <c r="E339" s="139">
        <v>1</v>
      </c>
      <c r="F339" s="144"/>
    </row>
    <row r="340" spans="1:6">
      <c r="A340" s="139" t="s">
        <v>281</v>
      </c>
      <c r="B340" s="139" t="s">
        <v>505</v>
      </c>
      <c r="C340" s="139" t="s">
        <v>410</v>
      </c>
      <c r="D340" s="139" t="s">
        <v>506</v>
      </c>
      <c r="E340" s="139">
        <v>1</v>
      </c>
      <c r="F340" s="140" t="s">
        <v>33</v>
      </c>
    </row>
    <row r="341" spans="1:6">
      <c r="A341" s="139" t="s">
        <v>281</v>
      </c>
      <c r="B341" s="139" t="s">
        <v>505</v>
      </c>
      <c r="C341" s="139" t="s">
        <v>420</v>
      </c>
      <c r="D341" s="139" t="s">
        <v>506</v>
      </c>
      <c r="E341" s="139">
        <v>1</v>
      </c>
      <c r="F341" s="140" t="s">
        <v>33</v>
      </c>
    </row>
    <row r="342" spans="1:6">
      <c r="A342" s="139" t="s">
        <v>281</v>
      </c>
      <c r="B342" s="139" t="s">
        <v>507</v>
      </c>
      <c r="C342" s="139" t="s">
        <v>404</v>
      </c>
      <c r="D342" s="139" t="s">
        <v>509</v>
      </c>
      <c r="E342" s="139">
        <v>1</v>
      </c>
      <c r="F342" s="143" t="s">
        <v>42</v>
      </c>
    </row>
    <row r="343" spans="1:6">
      <c r="A343" s="139" t="s">
        <v>281</v>
      </c>
      <c r="B343" s="139" t="s">
        <v>507</v>
      </c>
      <c r="C343" s="139" t="s">
        <v>415</v>
      </c>
      <c r="D343" s="139" t="s">
        <v>509</v>
      </c>
      <c r="E343" s="139">
        <v>1</v>
      </c>
      <c r="F343" s="140" t="s">
        <v>33</v>
      </c>
    </row>
    <row r="344" spans="1:6">
      <c r="A344" s="139" t="s">
        <v>281</v>
      </c>
      <c r="B344" s="139" t="s">
        <v>507</v>
      </c>
      <c r="C344" s="139" t="s">
        <v>418</v>
      </c>
      <c r="D344" s="139" t="s">
        <v>509</v>
      </c>
      <c r="E344" s="139">
        <v>1</v>
      </c>
      <c r="F344" s="141" t="s">
        <v>37</v>
      </c>
    </row>
    <row r="345" spans="1:6">
      <c r="A345" s="139" t="s">
        <v>281</v>
      </c>
      <c r="B345" s="139" t="s">
        <v>510</v>
      </c>
      <c r="C345" s="139" t="s">
        <v>436</v>
      </c>
      <c r="D345" s="139" t="s">
        <v>515</v>
      </c>
      <c r="E345" s="139">
        <v>1</v>
      </c>
      <c r="F345" s="140" t="s">
        <v>33</v>
      </c>
    </row>
    <row r="346" spans="1:6">
      <c r="A346" s="139" t="s">
        <v>281</v>
      </c>
      <c r="B346" s="139" t="s">
        <v>513</v>
      </c>
      <c r="C346" s="139" t="s">
        <v>441</v>
      </c>
      <c r="D346" s="139" t="s">
        <v>515</v>
      </c>
      <c r="E346" s="139">
        <v>1</v>
      </c>
      <c r="F346" s="140" t="s">
        <v>33</v>
      </c>
    </row>
    <row r="347" spans="1:6">
      <c r="A347" s="139" t="s">
        <v>281</v>
      </c>
      <c r="B347" s="139" t="s">
        <v>513</v>
      </c>
      <c r="C347" s="139" t="s">
        <v>444</v>
      </c>
      <c r="D347" s="139" t="s">
        <v>515</v>
      </c>
      <c r="E347" s="139">
        <v>1</v>
      </c>
      <c r="F347" s="141" t="s">
        <v>37</v>
      </c>
    </row>
    <row r="348" spans="1:6">
      <c r="A348" s="139" t="s">
        <v>281</v>
      </c>
      <c r="B348" s="139" t="s">
        <v>516</v>
      </c>
      <c r="C348" s="139" t="s">
        <v>438</v>
      </c>
      <c r="D348" s="139" t="s">
        <v>519</v>
      </c>
      <c r="E348" s="139">
        <v>1</v>
      </c>
      <c r="F348" s="143" t="s">
        <v>42</v>
      </c>
    </row>
  </sheetData>
  <autoFilter ref="A1:F1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6"/>
  <sheetViews>
    <sheetView topLeftCell="A49" zoomScale="85" zoomScaleNormal="85" workbookViewId="0">
      <selection activeCell="K82" sqref="K82"/>
    </sheetView>
  </sheetViews>
  <sheetFormatPr defaultColWidth="8.6640625" defaultRowHeight="14.4"/>
  <cols>
    <col min="2" max="2" width="22" style="150" customWidth="1"/>
    <col min="3" max="3" width="7" style="150" customWidth="1"/>
    <col min="4" max="4" width="9" style="150" customWidth="1"/>
    <col min="5" max="5" width="22" style="150" customWidth="1"/>
    <col min="6" max="6" width="7" style="150" customWidth="1"/>
    <col min="7" max="7" width="9" style="150" customWidth="1"/>
    <col min="8" max="8" width="22" style="150" customWidth="1"/>
    <col min="9" max="9" width="7" style="150" customWidth="1"/>
    <col min="10" max="10" width="9" style="150" customWidth="1"/>
    <col min="11" max="11" width="22" style="150" customWidth="1"/>
    <col min="12" max="12" width="9.109375" style="150" customWidth="1"/>
    <col min="13" max="13" width="9" style="150" customWidth="1"/>
    <col min="14" max="14" width="22" style="150" customWidth="1"/>
    <col min="15" max="15" width="8.44140625" style="150" customWidth="1"/>
    <col min="16" max="16" width="9" style="150" customWidth="1"/>
    <col min="17" max="17" width="22" style="150" customWidth="1"/>
    <col min="18" max="18" width="7" style="150" customWidth="1"/>
    <col min="19" max="19" width="9" style="150" customWidth="1"/>
    <col min="20" max="20" width="22" style="150" customWidth="1"/>
    <col min="21" max="21" width="7" style="150" customWidth="1"/>
    <col min="22" max="22" width="9" style="150" customWidth="1"/>
  </cols>
  <sheetData>
    <row r="1" spans="2:22" ht="21.75" customHeight="1">
      <c r="B1" s="1" t="s">
        <v>0</v>
      </c>
      <c r="C1" s="2">
        <v>7</v>
      </c>
      <c r="D1" s="159" t="s">
        <v>1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spans="2:22" ht="15.75" customHeight="1"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3</v>
      </c>
      <c r="J2" s="3" t="s">
        <v>4</v>
      </c>
      <c r="K2" s="3" t="s">
        <v>2</v>
      </c>
      <c r="L2" s="3" t="s">
        <v>3</v>
      </c>
      <c r="M2" s="3" t="s">
        <v>4</v>
      </c>
      <c r="N2" s="3" t="s">
        <v>2</v>
      </c>
      <c r="O2" s="3" t="s">
        <v>3</v>
      </c>
      <c r="P2" s="3" t="s">
        <v>4</v>
      </c>
      <c r="Q2" s="3" t="s">
        <v>2</v>
      </c>
      <c r="R2" s="3" t="s">
        <v>3</v>
      </c>
      <c r="S2" s="3" t="s">
        <v>4</v>
      </c>
      <c r="T2" s="3" t="s">
        <v>2</v>
      </c>
      <c r="U2" s="3" t="s">
        <v>3</v>
      </c>
      <c r="V2" s="3" t="s">
        <v>4</v>
      </c>
    </row>
    <row r="3" spans="2:22" ht="15.75" customHeight="1">
      <c r="B3" s="4" t="str">
        <f>IF(1&lt;=DAY(EOMONTH(DATE(2026,$C$1,1),0)),$C$1&amp;"월 1일","")</f>
        <v>7월 1일</v>
      </c>
      <c r="C3" s="5"/>
      <c r="D3" s="6"/>
      <c r="E3" s="4" t="str">
        <f>IF(2&lt;=DAY(EOMONTH(DATE(2026,$C$1,1),0)),$C$1&amp;"월 2일","")</f>
        <v>7월 2일</v>
      </c>
      <c r="F3" s="5"/>
      <c r="G3" s="6"/>
      <c r="H3" s="4" t="str">
        <f>IF(3&lt;=DAY(EOMONTH(DATE(2026,$C$1,1),0)),$C$1&amp;"월 3일","")</f>
        <v>7월 3일</v>
      </c>
      <c r="I3" s="5"/>
      <c r="J3" s="6"/>
      <c r="K3" s="4" t="str">
        <f>IF(4&lt;=DAY(EOMONTH(DATE(2026,$C$1,1),0)),$C$1&amp;"월 4일","")</f>
        <v>7월 4일</v>
      </c>
      <c r="L3" s="5"/>
      <c r="M3" s="6"/>
      <c r="N3" s="4" t="str">
        <f>IF(5&lt;=DAY(EOMONTH(DATE(2026,$C$1,1),0)),$C$1&amp;"월 5일","")</f>
        <v>7월 5일</v>
      </c>
      <c r="O3" s="5"/>
      <c r="P3" s="6"/>
      <c r="Q3" s="4" t="str">
        <f>IF(6&lt;=DAY(EOMONTH(DATE(2026,$C$1,1),0)),$C$1&amp;"월 6일","")</f>
        <v>7월 6일</v>
      </c>
      <c r="R3" s="5"/>
      <c r="S3" s="6"/>
      <c r="T3" s="4" t="str">
        <f>IF(7&lt;=DAY(EOMONTH(DATE(2026,$C$1,1),0)),$C$1&amp;"월 7일","")</f>
        <v>7월 7일</v>
      </c>
      <c r="U3" s="5"/>
      <c r="V3" s="6"/>
    </row>
    <row r="4" spans="2:22" ht="15.75" customHeight="1">
      <c r="B4" s="7" t="s">
        <v>71</v>
      </c>
      <c r="C4" s="8">
        <v>5.7700000000000001E-2</v>
      </c>
      <c r="D4" s="9" t="s">
        <v>27</v>
      </c>
      <c r="E4" s="7" t="s">
        <v>83</v>
      </c>
      <c r="F4" s="8">
        <v>4.3499999999999997E-2</v>
      </c>
      <c r="G4" s="9" t="s">
        <v>42</v>
      </c>
      <c r="H4" s="7" t="s">
        <v>83</v>
      </c>
      <c r="I4" s="8">
        <v>0.1071</v>
      </c>
      <c r="J4" s="9" t="s">
        <v>42</v>
      </c>
      <c r="K4" s="10" t="s">
        <v>548</v>
      </c>
      <c r="L4" s="8">
        <v>0.125</v>
      </c>
      <c r="M4" s="9" t="s">
        <v>33</v>
      </c>
      <c r="N4" s="7" t="s">
        <v>549</v>
      </c>
      <c r="O4" s="8">
        <v>0.16669999999999999</v>
      </c>
      <c r="P4" s="9" t="s">
        <v>33</v>
      </c>
      <c r="Q4" s="7" t="s">
        <v>30</v>
      </c>
      <c r="R4" s="11">
        <v>7.5800000000000006E-2</v>
      </c>
      <c r="S4" s="9" t="s">
        <v>37</v>
      </c>
      <c r="T4" s="10" t="s">
        <v>83</v>
      </c>
      <c r="U4" s="8">
        <v>5.0599999999999999E-2</v>
      </c>
      <c r="V4" s="9" t="s">
        <v>42</v>
      </c>
    </row>
    <row r="5" spans="2:22" ht="15.75" customHeight="1">
      <c r="B5" s="7" t="s">
        <v>30</v>
      </c>
      <c r="C5" s="8">
        <v>3.85E-2</v>
      </c>
      <c r="D5" s="9" t="s">
        <v>37</v>
      </c>
      <c r="E5" s="7" t="s">
        <v>71</v>
      </c>
      <c r="F5" s="8">
        <v>2.9000000000000001E-2</v>
      </c>
      <c r="G5" s="9" t="s">
        <v>27</v>
      </c>
      <c r="H5" s="7" t="s">
        <v>332</v>
      </c>
      <c r="I5" s="8">
        <v>3.5700000000000003E-2</v>
      </c>
      <c r="J5" s="9" t="s">
        <v>33</v>
      </c>
      <c r="K5" s="7" t="s">
        <v>550</v>
      </c>
      <c r="L5" s="8">
        <v>0.125</v>
      </c>
      <c r="M5" s="9" t="s">
        <v>33</v>
      </c>
      <c r="N5" s="7" t="s">
        <v>334</v>
      </c>
      <c r="O5" s="8">
        <v>0.16669999999999999</v>
      </c>
      <c r="P5" s="9" t="s">
        <v>33</v>
      </c>
      <c r="Q5" s="7" t="s">
        <v>388</v>
      </c>
      <c r="R5" s="11">
        <v>3.0300000000000001E-2</v>
      </c>
      <c r="S5" s="9" t="s">
        <v>33</v>
      </c>
      <c r="T5" s="10" t="s">
        <v>551</v>
      </c>
      <c r="U5" s="8">
        <v>1.2699999999999999E-2</v>
      </c>
      <c r="V5" s="9" t="s">
        <v>33</v>
      </c>
    </row>
    <row r="6" spans="2:22" ht="15.75" customHeight="1">
      <c r="B6" s="7" t="s">
        <v>83</v>
      </c>
      <c r="C6" s="8">
        <v>3.85E-2</v>
      </c>
      <c r="D6" s="9" t="s">
        <v>42</v>
      </c>
      <c r="E6" s="7" t="s">
        <v>552</v>
      </c>
      <c r="F6" s="8">
        <v>2.9000000000000001E-2</v>
      </c>
      <c r="G6" s="9" t="s">
        <v>33</v>
      </c>
      <c r="H6" s="7" t="s">
        <v>41</v>
      </c>
      <c r="I6" s="8">
        <v>3.5700000000000003E-2</v>
      </c>
      <c r="J6" s="9" t="s">
        <v>42</v>
      </c>
      <c r="K6" s="7" t="s">
        <v>83</v>
      </c>
      <c r="L6" s="8">
        <v>0.125</v>
      </c>
      <c r="M6" s="9" t="s">
        <v>42</v>
      </c>
      <c r="N6" s="7" t="s">
        <v>553</v>
      </c>
      <c r="O6" s="8">
        <v>0.16669999999999999</v>
      </c>
      <c r="P6" s="9" t="s">
        <v>33</v>
      </c>
      <c r="Q6" s="7" t="s">
        <v>554</v>
      </c>
      <c r="R6" s="11">
        <v>1.52E-2</v>
      </c>
      <c r="S6" s="9" t="s">
        <v>42</v>
      </c>
      <c r="T6" s="10" t="s">
        <v>555</v>
      </c>
      <c r="U6" s="8">
        <v>1.2699999999999999E-2</v>
      </c>
      <c r="V6" s="9" t="s">
        <v>33</v>
      </c>
    </row>
    <row r="7" spans="2:22" ht="15.75" customHeight="1">
      <c r="B7" s="10" t="s">
        <v>556</v>
      </c>
      <c r="C7" s="8">
        <v>1.9199999999999998E-2</v>
      </c>
      <c r="D7" s="9" t="s">
        <v>33</v>
      </c>
      <c r="E7" s="10" t="s">
        <v>557</v>
      </c>
      <c r="F7" s="8">
        <v>1.4500000000000001E-2</v>
      </c>
      <c r="G7" s="9" t="s">
        <v>37</v>
      </c>
      <c r="H7" s="7" t="s">
        <v>128</v>
      </c>
      <c r="I7" s="8">
        <v>3.5700000000000003E-2</v>
      </c>
      <c r="J7" s="9" t="s">
        <v>42</v>
      </c>
      <c r="K7" s="7" t="s">
        <v>128</v>
      </c>
      <c r="L7" s="8">
        <v>0.125</v>
      </c>
      <c r="M7" s="9" t="s">
        <v>42</v>
      </c>
      <c r="N7" s="7" t="s">
        <v>83</v>
      </c>
      <c r="O7" s="8">
        <v>0.16669999999999999</v>
      </c>
      <c r="P7" s="9" t="s">
        <v>42</v>
      </c>
      <c r="Q7" s="7" t="s">
        <v>558</v>
      </c>
      <c r="R7" s="11">
        <v>1.52E-2</v>
      </c>
      <c r="S7" s="9" t="s">
        <v>37</v>
      </c>
      <c r="T7" s="10" t="s">
        <v>559</v>
      </c>
      <c r="U7" s="8">
        <v>1.2699999999999999E-2</v>
      </c>
      <c r="V7" s="9" t="s">
        <v>33</v>
      </c>
    </row>
    <row r="8" spans="2:22" ht="15.75" customHeight="1">
      <c r="B8" s="7" t="s">
        <v>560</v>
      </c>
      <c r="C8" s="8">
        <v>1.9199999999999998E-2</v>
      </c>
      <c r="D8" s="9" t="s">
        <v>33</v>
      </c>
      <c r="E8" s="10" t="s">
        <v>561</v>
      </c>
      <c r="F8" s="8">
        <v>1.4500000000000001E-2</v>
      </c>
      <c r="G8" s="9" t="s">
        <v>33</v>
      </c>
      <c r="H8" s="10" t="s">
        <v>562</v>
      </c>
      <c r="I8" s="8">
        <v>3.5700000000000003E-2</v>
      </c>
      <c r="J8" s="9" t="s">
        <v>33</v>
      </c>
      <c r="K8" s="7" t="s">
        <v>563</v>
      </c>
      <c r="L8" s="8">
        <v>0.125</v>
      </c>
      <c r="M8" s="9" t="s">
        <v>33</v>
      </c>
      <c r="N8" s="7" t="s">
        <v>564</v>
      </c>
      <c r="O8" s="8">
        <v>0.16669999999999999</v>
      </c>
      <c r="P8" s="9" t="s">
        <v>33</v>
      </c>
      <c r="Q8" s="7" t="s">
        <v>565</v>
      </c>
      <c r="R8" s="11">
        <v>1.52E-2</v>
      </c>
      <c r="S8" s="9" t="s">
        <v>27</v>
      </c>
      <c r="T8" s="10" t="s">
        <v>566</v>
      </c>
      <c r="U8" s="8">
        <v>1.2699999999999999E-2</v>
      </c>
      <c r="V8" s="9" t="s">
        <v>42</v>
      </c>
    </row>
    <row r="9" spans="2:22" ht="15.75" customHeight="1">
      <c r="B9" s="7" t="s">
        <v>567</v>
      </c>
      <c r="C9" s="8">
        <v>1.9199999999999998E-2</v>
      </c>
      <c r="D9" s="9" t="s">
        <v>37</v>
      </c>
      <c r="E9" s="7" t="s">
        <v>568</v>
      </c>
      <c r="F9" s="8">
        <v>1.4500000000000001E-2</v>
      </c>
      <c r="G9" s="9" t="s">
        <v>37</v>
      </c>
      <c r="H9" s="7" t="s">
        <v>30</v>
      </c>
      <c r="I9" s="8">
        <v>3.5700000000000003E-2</v>
      </c>
      <c r="J9" s="9" t="s">
        <v>37</v>
      </c>
      <c r="K9" s="7" t="s">
        <v>569</v>
      </c>
      <c r="L9" s="8">
        <v>0.125</v>
      </c>
      <c r="M9" s="9" t="s">
        <v>33</v>
      </c>
      <c r="N9" s="7" t="s">
        <v>388</v>
      </c>
      <c r="O9" s="8">
        <v>0.16669999999999999</v>
      </c>
      <c r="P9" s="9" t="s">
        <v>33</v>
      </c>
      <c r="Q9" s="7" t="s">
        <v>570</v>
      </c>
      <c r="R9" s="11">
        <v>1.52E-2</v>
      </c>
      <c r="S9" s="9" t="s">
        <v>42</v>
      </c>
      <c r="T9" s="10" t="s">
        <v>571</v>
      </c>
      <c r="U9" s="8">
        <v>1.2699999999999999E-2</v>
      </c>
      <c r="V9" s="9" t="s">
        <v>35</v>
      </c>
    </row>
    <row r="10" spans="2:22" ht="15.75" customHeight="1">
      <c r="B10" s="7" t="s">
        <v>572</v>
      </c>
      <c r="C10" s="8">
        <v>1.9199999999999998E-2</v>
      </c>
      <c r="D10" s="9" t="s">
        <v>37</v>
      </c>
      <c r="E10" s="7" t="s">
        <v>573</v>
      </c>
      <c r="F10" s="8">
        <v>1.4500000000000001E-2</v>
      </c>
      <c r="G10" s="9" t="s">
        <v>33</v>
      </c>
      <c r="H10" s="7" t="s">
        <v>570</v>
      </c>
      <c r="I10" s="8">
        <v>3.5700000000000003E-2</v>
      </c>
      <c r="J10" s="9" t="s">
        <v>42</v>
      </c>
      <c r="K10" s="7" t="s">
        <v>574</v>
      </c>
      <c r="L10" s="8">
        <v>0.125</v>
      </c>
      <c r="M10" s="9" t="s">
        <v>42</v>
      </c>
      <c r="N10" s="10"/>
      <c r="O10" s="8"/>
      <c r="P10" s="9"/>
      <c r="Q10" s="7" t="s">
        <v>575</v>
      </c>
      <c r="R10" s="11">
        <v>1.52E-2</v>
      </c>
      <c r="S10" s="9" t="s">
        <v>42</v>
      </c>
      <c r="T10" s="10" t="s">
        <v>576</v>
      </c>
      <c r="U10" s="8">
        <v>1.2699999999999999E-2</v>
      </c>
      <c r="V10" s="9"/>
    </row>
    <row r="11" spans="2:22" ht="15.75" customHeight="1">
      <c r="B11" s="7" t="s">
        <v>577</v>
      </c>
      <c r="C11" s="8">
        <v>1.9199999999999998E-2</v>
      </c>
      <c r="D11" s="9" t="s">
        <v>33</v>
      </c>
      <c r="E11" s="7" t="s">
        <v>334</v>
      </c>
      <c r="F11" s="8">
        <v>1.4500000000000001E-2</v>
      </c>
      <c r="G11" s="9" t="s">
        <v>33</v>
      </c>
      <c r="H11" s="7" t="s">
        <v>140</v>
      </c>
      <c r="I11" s="8">
        <v>3.5700000000000003E-2</v>
      </c>
      <c r="J11" s="9" t="s">
        <v>42</v>
      </c>
      <c r="K11" s="10"/>
      <c r="L11" s="8"/>
      <c r="M11" s="9"/>
      <c r="N11" s="10"/>
      <c r="O11" s="8"/>
      <c r="P11" s="9"/>
      <c r="Q11" s="7" t="s">
        <v>578</v>
      </c>
      <c r="R11" s="8">
        <v>1.52E-2</v>
      </c>
      <c r="S11" s="9" t="s">
        <v>33</v>
      </c>
      <c r="T11" s="10" t="s">
        <v>579</v>
      </c>
      <c r="U11" s="8">
        <v>1.2699999999999999E-2</v>
      </c>
      <c r="V11" s="9" t="s">
        <v>42</v>
      </c>
    </row>
    <row r="12" spans="2:22" ht="15.75" customHeight="1">
      <c r="B12" s="7" t="s">
        <v>580</v>
      </c>
      <c r="C12" s="8">
        <v>1.9199999999999998E-2</v>
      </c>
      <c r="D12" s="9" t="s">
        <v>42</v>
      </c>
      <c r="E12" s="7" t="s">
        <v>581</v>
      </c>
      <c r="F12" s="8">
        <v>1.4500000000000001E-2</v>
      </c>
      <c r="G12" s="9" t="s">
        <v>33</v>
      </c>
      <c r="H12" s="10" t="s">
        <v>582</v>
      </c>
      <c r="I12" s="8">
        <v>3.5700000000000003E-2</v>
      </c>
      <c r="J12" s="9" t="s">
        <v>37</v>
      </c>
      <c r="K12" s="10"/>
      <c r="L12" s="8"/>
      <c r="M12" s="9"/>
      <c r="N12" s="10"/>
      <c r="O12" s="8"/>
      <c r="P12" s="9"/>
      <c r="Q12" s="7" t="s">
        <v>583</v>
      </c>
      <c r="R12" s="8">
        <v>1.52E-2</v>
      </c>
      <c r="S12" s="9" t="s">
        <v>42</v>
      </c>
      <c r="T12" s="10" t="s">
        <v>584</v>
      </c>
      <c r="U12" s="8">
        <v>1.2699999999999999E-2</v>
      </c>
      <c r="V12" s="9" t="s">
        <v>42</v>
      </c>
    </row>
    <row r="13" spans="2:22" ht="15.75" customHeight="1">
      <c r="B13" s="7" t="s">
        <v>334</v>
      </c>
      <c r="C13" s="8">
        <v>1.9199999999999998E-2</v>
      </c>
      <c r="D13" s="9" t="s">
        <v>33</v>
      </c>
      <c r="E13" s="10" t="s">
        <v>585</v>
      </c>
      <c r="F13" s="8">
        <v>1.4500000000000001E-2</v>
      </c>
      <c r="G13" s="9" t="s">
        <v>42</v>
      </c>
      <c r="H13" s="7" t="s">
        <v>586</v>
      </c>
      <c r="I13" s="8">
        <v>3.5700000000000003E-2</v>
      </c>
      <c r="J13" s="9" t="s">
        <v>42</v>
      </c>
      <c r="K13" s="10"/>
      <c r="L13" s="8"/>
      <c r="M13" s="9"/>
      <c r="N13" s="10"/>
      <c r="O13" s="8"/>
      <c r="P13" s="9"/>
      <c r="Q13" s="7" t="s">
        <v>587</v>
      </c>
      <c r="R13" s="8">
        <v>1.52E-2</v>
      </c>
      <c r="S13" s="9" t="s">
        <v>42</v>
      </c>
      <c r="T13" s="10" t="s">
        <v>128</v>
      </c>
      <c r="U13" s="8">
        <v>1.2699999999999999E-2</v>
      </c>
      <c r="V13" s="9" t="s">
        <v>42</v>
      </c>
    </row>
    <row r="14" spans="2:22" ht="15.75" customHeight="1">
      <c r="B14" s="7" t="s">
        <v>588</v>
      </c>
      <c r="C14" s="8">
        <v>1.9199999999999998E-2</v>
      </c>
      <c r="D14" s="9" t="s">
        <v>33</v>
      </c>
      <c r="E14" s="7" t="s">
        <v>83</v>
      </c>
      <c r="F14" s="8">
        <v>1.4500000000000001E-2</v>
      </c>
      <c r="G14" s="9" t="s">
        <v>42</v>
      </c>
      <c r="H14" s="10"/>
      <c r="I14" s="12"/>
      <c r="J14" s="9"/>
      <c r="K14" s="10"/>
      <c r="L14" s="8"/>
      <c r="M14" s="9"/>
      <c r="N14" s="10"/>
      <c r="O14" s="8"/>
      <c r="P14" s="9"/>
      <c r="Q14" s="7" t="s">
        <v>589</v>
      </c>
      <c r="R14" s="8">
        <v>3.0300000000000001E-2</v>
      </c>
      <c r="S14" s="9" t="s">
        <v>33</v>
      </c>
      <c r="T14" s="10" t="s">
        <v>590</v>
      </c>
      <c r="U14" s="8">
        <v>1.2699999999999999E-2</v>
      </c>
      <c r="V14" s="9" t="s">
        <v>33</v>
      </c>
    </row>
    <row r="15" spans="2:22" ht="15.75" customHeight="1">
      <c r="B15" s="7" t="s">
        <v>591</v>
      </c>
      <c r="C15" s="8">
        <v>1.9199999999999998E-2</v>
      </c>
      <c r="D15" s="9" t="s">
        <v>42</v>
      </c>
      <c r="E15" s="7" t="s">
        <v>592</v>
      </c>
      <c r="F15" s="8">
        <v>1.4500000000000001E-2</v>
      </c>
      <c r="G15" s="9" t="s">
        <v>37</v>
      </c>
      <c r="H15" s="10"/>
      <c r="I15" s="12"/>
      <c r="J15" s="9"/>
      <c r="K15" s="10"/>
      <c r="L15" s="8"/>
      <c r="M15" s="9"/>
      <c r="N15" s="10"/>
      <c r="O15" s="8"/>
      <c r="P15" s="9"/>
      <c r="Q15" s="7" t="s">
        <v>334</v>
      </c>
      <c r="R15" s="8">
        <v>3.0300000000000001E-2</v>
      </c>
      <c r="S15" s="9" t="s">
        <v>33</v>
      </c>
      <c r="T15" s="10"/>
      <c r="U15" s="12"/>
      <c r="V15" s="9"/>
    </row>
    <row r="16" spans="2:22" ht="15.75" customHeight="1">
      <c r="B16" s="7" t="s">
        <v>593</v>
      </c>
      <c r="C16" s="8">
        <v>1.9199999999999998E-2</v>
      </c>
      <c r="D16" s="9" t="s">
        <v>42</v>
      </c>
      <c r="E16" s="10"/>
      <c r="F16" s="8"/>
      <c r="G16" s="9"/>
      <c r="H16" s="10"/>
      <c r="I16" s="12"/>
      <c r="J16" s="9"/>
      <c r="K16" s="10"/>
      <c r="L16" s="8"/>
      <c r="M16" s="9"/>
      <c r="N16" s="10"/>
      <c r="O16" s="8"/>
      <c r="P16" s="9"/>
      <c r="Q16" s="7" t="s">
        <v>594</v>
      </c>
      <c r="R16" s="8">
        <v>1.52E-2</v>
      </c>
      <c r="S16" s="9" t="s">
        <v>33</v>
      </c>
      <c r="T16" s="10"/>
      <c r="U16" s="12"/>
      <c r="V16" s="9"/>
    </row>
    <row r="17" spans="2:22" ht="15.75" customHeight="1">
      <c r="B17" s="7" t="s">
        <v>595</v>
      </c>
      <c r="C17" s="8">
        <v>1.9199999999999998E-2</v>
      </c>
      <c r="D17" s="9" t="s">
        <v>37</v>
      </c>
      <c r="E17" s="10"/>
      <c r="F17" s="8"/>
      <c r="G17" s="9"/>
      <c r="H17" s="10"/>
      <c r="I17" s="12"/>
      <c r="J17" s="9"/>
      <c r="K17" s="10"/>
      <c r="L17" s="8"/>
      <c r="M17" s="9"/>
      <c r="N17" s="10"/>
      <c r="O17" s="8"/>
      <c r="P17" s="9"/>
      <c r="Q17" s="7" t="s">
        <v>296</v>
      </c>
      <c r="R17" s="8">
        <v>1.52E-2</v>
      </c>
      <c r="S17" s="9" t="s">
        <v>42</v>
      </c>
      <c r="T17" s="10"/>
      <c r="U17" s="12"/>
      <c r="V17" s="9"/>
    </row>
    <row r="18" spans="2:22" ht="15.75" customHeight="1">
      <c r="B18" s="7" t="s">
        <v>30</v>
      </c>
      <c r="C18" s="8">
        <v>1.9199999999999998E-2</v>
      </c>
      <c r="D18" s="9" t="s">
        <v>37</v>
      </c>
      <c r="E18" s="10"/>
      <c r="F18" s="8"/>
      <c r="G18" s="9"/>
      <c r="H18" s="10"/>
      <c r="I18" s="12"/>
      <c r="J18" s="9"/>
      <c r="K18" s="10"/>
      <c r="L18" s="12"/>
      <c r="M18" s="9"/>
      <c r="N18" s="10"/>
      <c r="O18" s="8"/>
      <c r="P18" s="9"/>
      <c r="Q18" s="7" t="s">
        <v>596</v>
      </c>
      <c r="R18" s="8">
        <v>1.52E-2</v>
      </c>
      <c r="S18" s="9" t="s">
        <v>37</v>
      </c>
      <c r="T18" s="10"/>
      <c r="U18" s="12"/>
      <c r="V18" s="9"/>
    </row>
    <row r="19" spans="2:22" ht="15.75" customHeight="1">
      <c r="B19" s="10"/>
      <c r="C19" s="12"/>
      <c r="D19" s="9"/>
      <c r="E19" s="10"/>
      <c r="F19" s="8"/>
      <c r="G19" s="9"/>
      <c r="H19" s="10"/>
      <c r="I19" s="12"/>
      <c r="J19" s="9"/>
      <c r="K19" s="10"/>
      <c r="L19" s="12"/>
      <c r="M19" s="9"/>
      <c r="N19" s="10"/>
      <c r="O19" s="8"/>
      <c r="P19" s="9"/>
      <c r="Q19" s="7" t="s">
        <v>597</v>
      </c>
      <c r="R19" s="8">
        <v>1.52E-2</v>
      </c>
      <c r="S19" s="9" t="s">
        <v>33</v>
      </c>
      <c r="T19" s="10"/>
      <c r="U19" s="12"/>
      <c r="V19" s="9"/>
    </row>
    <row r="20" spans="2:22" ht="15.75" customHeight="1">
      <c r="B20" s="10"/>
      <c r="C20" s="12"/>
      <c r="D20" s="9"/>
      <c r="E20" s="10"/>
      <c r="F20" s="8"/>
      <c r="G20" s="9"/>
      <c r="H20" s="10"/>
      <c r="I20" s="12"/>
      <c r="J20" s="9"/>
      <c r="K20" s="10"/>
      <c r="L20" s="12"/>
      <c r="M20" s="9"/>
      <c r="N20" s="10"/>
      <c r="O20" s="8"/>
      <c r="P20" s="9"/>
      <c r="Q20" s="7" t="s">
        <v>598</v>
      </c>
      <c r="R20" s="8">
        <v>1.52E-2</v>
      </c>
      <c r="S20" s="9" t="s">
        <v>33</v>
      </c>
      <c r="T20" s="10"/>
      <c r="U20" s="12"/>
      <c r="V20" s="9"/>
    </row>
    <row r="21" spans="2:22" ht="15.75" customHeight="1">
      <c r="B21" s="10"/>
      <c r="C21" s="12"/>
      <c r="D21" s="9"/>
      <c r="E21" s="10"/>
      <c r="F21" s="8"/>
      <c r="G21" s="9"/>
      <c r="H21" s="10"/>
      <c r="I21" s="12"/>
      <c r="J21" s="9"/>
      <c r="K21" s="10"/>
      <c r="L21" s="12"/>
      <c r="M21" s="9"/>
      <c r="N21" s="10"/>
      <c r="O21" s="12"/>
      <c r="P21" s="9"/>
      <c r="Q21" s="7" t="s">
        <v>140</v>
      </c>
      <c r="R21" s="8">
        <v>1.52E-2</v>
      </c>
      <c r="S21" s="9" t="s">
        <v>42</v>
      </c>
      <c r="T21" s="10"/>
      <c r="U21" s="12"/>
      <c r="V21" s="9"/>
    </row>
    <row r="22" spans="2:22" ht="15.75" customHeight="1">
      <c r="B22" s="10"/>
      <c r="C22" s="12"/>
      <c r="D22" s="9"/>
      <c r="E22" s="10"/>
      <c r="F22" s="8"/>
      <c r="G22" s="9"/>
      <c r="H22" s="10"/>
      <c r="I22" s="12"/>
      <c r="J22" s="9"/>
      <c r="K22" s="10"/>
      <c r="L22" s="12"/>
      <c r="M22" s="9"/>
      <c r="N22" s="10"/>
      <c r="O22" s="12"/>
      <c r="P22" s="9"/>
      <c r="Q22" s="7" t="s">
        <v>598</v>
      </c>
      <c r="R22" s="8">
        <v>1.52E-2</v>
      </c>
      <c r="S22" s="9" t="s">
        <v>33</v>
      </c>
      <c r="T22" s="10"/>
      <c r="U22" s="12"/>
      <c r="V22" s="9"/>
    </row>
    <row r="23" spans="2:22" ht="15.75" customHeight="1">
      <c r="B23" s="13"/>
      <c r="C23" s="14"/>
      <c r="D23" s="15"/>
      <c r="E23" s="13"/>
      <c r="F23" s="14"/>
      <c r="G23" s="15"/>
      <c r="H23" s="13"/>
      <c r="I23" s="14"/>
      <c r="J23" s="15"/>
      <c r="K23" s="13"/>
      <c r="L23" s="14"/>
      <c r="M23" s="15"/>
      <c r="N23" s="13"/>
      <c r="O23" s="14"/>
      <c r="P23" s="15"/>
      <c r="Q23" s="13"/>
      <c r="R23" s="14"/>
      <c r="S23" s="15"/>
      <c r="T23" s="13"/>
      <c r="U23" s="14"/>
      <c r="V23" s="15"/>
    </row>
    <row r="24" spans="2:22" ht="15.75" customHeight="1">
      <c r="B24" s="4" t="str">
        <f>IF(8&lt;=DAY(EOMONTH(DATE(2026,$C$1,1),0)),$C$1&amp;"월 8일","")</f>
        <v>7월 8일</v>
      </c>
      <c r="C24" s="5"/>
      <c r="D24" s="6"/>
      <c r="E24" s="4" t="str">
        <f>IF(9&lt;=DAY(EOMONTH(DATE(2026,$C$1,1),0)),$C$1&amp;"월 9일","")</f>
        <v>7월 9일</v>
      </c>
      <c r="F24" s="5"/>
      <c r="G24" s="6"/>
      <c r="H24" s="4" t="str">
        <f>IF(10&lt;=DAY(EOMONTH(DATE(2026,$C$1,1),0)),$C$1&amp;"월 10일","")</f>
        <v>7월 10일</v>
      </c>
      <c r="I24" s="5"/>
      <c r="J24" s="6"/>
      <c r="K24" s="4" t="str">
        <f>IF(11&lt;=DAY(EOMONTH(DATE(2026,$C$1,1),0)),$C$1&amp;"월 11일","")</f>
        <v>7월 11일</v>
      </c>
      <c r="L24" s="5"/>
      <c r="M24" s="6"/>
      <c r="N24" s="4" t="str">
        <f>IF(12&lt;=DAY(EOMONTH(DATE(2026,$C$1,1),0)),$C$1&amp;"월 12일","")</f>
        <v>7월 12일</v>
      </c>
      <c r="O24" s="5"/>
      <c r="P24" s="6"/>
      <c r="Q24" s="4" t="str">
        <f>IF(13&lt;=DAY(EOMONTH(DATE(2026,$C$1,1),0)),$C$1&amp;"월 13일","")</f>
        <v>7월 13일</v>
      </c>
      <c r="R24" s="5"/>
      <c r="S24" s="6"/>
      <c r="T24" s="4" t="str">
        <f>IF(14&lt;=DAY(EOMONTH(DATE(2026,$C$1,1),0)),$C$1&amp;"월 14일","")</f>
        <v>7월 14일</v>
      </c>
      <c r="U24" s="5"/>
      <c r="V24" s="6"/>
    </row>
    <row r="25" spans="2:22" ht="15.75" customHeight="1">
      <c r="B25" s="10" t="s">
        <v>30</v>
      </c>
      <c r="C25" s="8">
        <v>2.9700000000000001E-2</v>
      </c>
      <c r="D25" s="9" t="s">
        <v>37</v>
      </c>
      <c r="E25" s="10" t="s">
        <v>291</v>
      </c>
      <c r="F25" s="8">
        <v>2.7E-2</v>
      </c>
      <c r="G25" s="9" t="s">
        <v>37</v>
      </c>
      <c r="H25" s="10" t="s">
        <v>291</v>
      </c>
      <c r="I25" s="8">
        <v>4.2599999999999999E-2</v>
      </c>
      <c r="J25" s="9" t="s">
        <v>37</v>
      </c>
      <c r="K25" s="10" t="s">
        <v>294</v>
      </c>
      <c r="L25" s="8">
        <v>0.1429</v>
      </c>
      <c r="M25" s="9" t="s">
        <v>33</v>
      </c>
      <c r="N25" s="10" t="s">
        <v>599</v>
      </c>
      <c r="O25" s="8">
        <v>0.05</v>
      </c>
      <c r="P25" s="9" t="s">
        <v>37</v>
      </c>
      <c r="Q25" s="10" t="s">
        <v>600</v>
      </c>
      <c r="R25" s="11">
        <v>8.3299999999999999E-2</v>
      </c>
      <c r="S25" s="9" t="s">
        <v>33</v>
      </c>
      <c r="T25" s="10" t="s">
        <v>30</v>
      </c>
      <c r="U25" s="8">
        <v>4.65E-2</v>
      </c>
      <c r="V25" s="9" t="s">
        <v>37</v>
      </c>
    </row>
    <row r="26" spans="2:22" ht="15.75" customHeight="1">
      <c r="B26" s="10" t="s">
        <v>314</v>
      </c>
      <c r="C26" s="8">
        <v>9.9000000000000008E-3</v>
      </c>
      <c r="D26" s="9" t="s">
        <v>37</v>
      </c>
      <c r="E26" s="10" t="s">
        <v>601</v>
      </c>
      <c r="F26" s="11">
        <v>2.7E-2</v>
      </c>
      <c r="G26" s="9" t="s">
        <v>37</v>
      </c>
      <c r="H26" s="10" t="s">
        <v>30</v>
      </c>
      <c r="I26" s="8">
        <v>4.2599999999999999E-2</v>
      </c>
      <c r="J26" s="9" t="s">
        <v>37</v>
      </c>
      <c r="K26" s="10" t="s">
        <v>388</v>
      </c>
      <c r="L26" s="8">
        <v>0.1429</v>
      </c>
      <c r="M26" s="9" t="s">
        <v>33</v>
      </c>
      <c r="N26" s="10" t="s">
        <v>602</v>
      </c>
      <c r="O26" s="8">
        <v>0.05</v>
      </c>
      <c r="P26" s="9" t="s">
        <v>37</v>
      </c>
      <c r="Q26" s="10" t="s">
        <v>603</v>
      </c>
      <c r="R26" s="8">
        <v>5.5599999999999997E-2</v>
      </c>
      <c r="S26" s="9" t="s">
        <v>33</v>
      </c>
      <c r="T26" s="10" t="s">
        <v>71</v>
      </c>
      <c r="U26" s="8">
        <v>4.65E-2</v>
      </c>
      <c r="V26" s="9" t="s">
        <v>27</v>
      </c>
    </row>
    <row r="27" spans="2:22" ht="15.75" customHeight="1">
      <c r="B27" s="10" t="s">
        <v>604</v>
      </c>
      <c r="C27" s="8">
        <v>9.9000000000000008E-3</v>
      </c>
      <c r="D27" s="9" t="s">
        <v>33</v>
      </c>
      <c r="E27" s="10" t="s">
        <v>605</v>
      </c>
      <c r="F27" s="8">
        <v>2.7E-2</v>
      </c>
      <c r="G27" s="9" t="s">
        <v>33</v>
      </c>
      <c r="H27" s="10" t="s">
        <v>83</v>
      </c>
      <c r="I27" s="8">
        <v>4.2599999999999999E-2</v>
      </c>
      <c r="J27" s="9" t="s">
        <v>42</v>
      </c>
      <c r="K27" s="10" t="s">
        <v>30</v>
      </c>
      <c r="L27" s="8">
        <v>4.7600000000000003E-2</v>
      </c>
      <c r="M27" s="9" t="s">
        <v>37</v>
      </c>
      <c r="N27" s="10" t="s">
        <v>606</v>
      </c>
      <c r="O27" s="8">
        <v>0.05</v>
      </c>
      <c r="P27" s="9" t="s">
        <v>33</v>
      </c>
      <c r="Q27" s="10" t="s">
        <v>607</v>
      </c>
      <c r="R27" s="8">
        <v>2.7799999999999998E-2</v>
      </c>
      <c r="S27" s="9" t="s">
        <v>33</v>
      </c>
      <c r="T27" s="10" t="s">
        <v>137</v>
      </c>
      <c r="U27" s="8">
        <v>4.65E-2</v>
      </c>
      <c r="V27" s="9" t="s">
        <v>42</v>
      </c>
    </row>
    <row r="28" spans="2:22" ht="15.75" customHeight="1">
      <c r="B28" s="10" t="s">
        <v>312</v>
      </c>
      <c r="C28" s="8">
        <v>9.9000000000000008E-3</v>
      </c>
      <c r="D28" s="9" t="s">
        <v>33</v>
      </c>
      <c r="E28" s="10" t="s">
        <v>608</v>
      </c>
      <c r="F28" s="8">
        <v>2.7E-2</v>
      </c>
      <c r="G28" s="9" t="s">
        <v>33</v>
      </c>
      <c r="H28" s="10" t="s">
        <v>609</v>
      </c>
      <c r="I28" s="8">
        <v>2.1299999999999999E-2</v>
      </c>
      <c r="J28" s="9" t="s">
        <v>33</v>
      </c>
      <c r="K28" s="10" t="s">
        <v>610</v>
      </c>
      <c r="L28" s="8">
        <v>4.7600000000000003E-2</v>
      </c>
      <c r="M28" s="9" t="s">
        <v>33</v>
      </c>
      <c r="N28" s="10" t="s">
        <v>611</v>
      </c>
      <c r="O28" s="8">
        <v>0.05</v>
      </c>
      <c r="P28" s="9" t="s">
        <v>33</v>
      </c>
      <c r="Q28" s="10" t="s">
        <v>612</v>
      </c>
      <c r="R28" s="8">
        <v>2.7799999999999998E-2</v>
      </c>
      <c r="S28" s="9" t="s">
        <v>33</v>
      </c>
      <c r="T28" s="10" t="s">
        <v>431</v>
      </c>
      <c r="U28" s="8">
        <v>4.65E-2</v>
      </c>
      <c r="V28" s="9" t="s">
        <v>33</v>
      </c>
    </row>
    <row r="29" spans="2:22" ht="15.75" customHeight="1">
      <c r="B29" s="10" t="s">
        <v>30</v>
      </c>
      <c r="C29" s="8">
        <v>9.9000000000000008E-3</v>
      </c>
      <c r="D29" s="9" t="s">
        <v>37</v>
      </c>
      <c r="E29" s="10" t="s">
        <v>128</v>
      </c>
      <c r="F29" s="8">
        <v>2.7E-2</v>
      </c>
      <c r="G29" s="9" t="s">
        <v>42</v>
      </c>
      <c r="H29" s="10" t="s">
        <v>613</v>
      </c>
      <c r="I29" s="8">
        <v>2.1299999999999999E-2</v>
      </c>
      <c r="J29" s="9" t="s">
        <v>37</v>
      </c>
      <c r="K29" s="10" t="s">
        <v>286</v>
      </c>
      <c r="L29" s="8">
        <v>4.7600000000000003E-2</v>
      </c>
      <c r="M29" s="9" t="s">
        <v>33</v>
      </c>
      <c r="N29" s="10" t="s">
        <v>614</v>
      </c>
      <c r="O29" s="8">
        <v>0.05</v>
      </c>
      <c r="P29" s="9" t="s">
        <v>33</v>
      </c>
      <c r="Q29" s="10" t="s">
        <v>615</v>
      </c>
      <c r="R29" s="8">
        <v>2.7799999999999998E-2</v>
      </c>
      <c r="S29" s="9" t="s">
        <v>42</v>
      </c>
      <c r="T29" s="10" t="s">
        <v>616</v>
      </c>
      <c r="U29" s="8">
        <v>2.3300000000000001E-2</v>
      </c>
      <c r="V29" s="9" t="s">
        <v>27</v>
      </c>
    </row>
    <row r="30" spans="2:22" ht="15.75" customHeight="1">
      <c r="B30" s="10" t="s">
        <v>48</v>
      </c>
      <c r="C30" s="8">
        <v>9.9000000000000008E-3</v>
      </c>
      <c r="D30" s="9" t="s">
        <v>37</v>
      </c>
      <c r="E30" s="10" t="s">
        <v>617</v>
      </c>
      <c r="F30" s="8">
        <v>2.7E-2</v>
      </c>
      <c r="G30" s="9" t="s">
        <v>33</v>
      </c>
      <c r="H30" s="10" t="s">
        <v>618</v>
      </c>
      <c r="I30" s="8">
        <v>2.1299999999999999E-2</v>
      </c>
      <c r="J30" s="9" t="s">
        <v>33</v>
      </c>
      <c r="K30" s="10" t="s">
        <v>619</v>
      </c>
      <c r="L30" s="8">
        <v>4.7600000000000003E-2</v>
      </c>
      <c r="M30" s="9" t="s">
        <v>33</v>
      </c>
      <c r="N30" s="10" t="s">
        <v>620</v>
      </c>
      <c r="O30" s="8">
        <v>0.05</v>
      </c>
      <c r="P30" s="9" t="s">
        <v>33</v>
      </c>
      <c r="Q30" s="10" t="s">
        <v>621</v>
      </c>
      <c r="R30" s="8">
        <v>2.7799999999999998E-2</v>
      </c>
      <c r="S30" s="9" t="s">
        <v>42</v>
      </c>
      <c r="T30" s="10" t="s">
        <v>593</v>
      </c>
      <c r="U30" s="8">
        <v>2.3300000000000001E-2</v>
      </c>
      <c r="V30" s="9" t="s">
        <v>37</v>
      </c>
    </row>
    <row r="31" spans="2:22" ht="15.75" customHeight="1">
      <c r="B31" s="10" t="s">
        <v>83</v>
      </c>
      <c r="C31" s="8">
        <v>9.9000000000000008E-3</v>
      </c>
      <c r="D31" s="9" t="s">
        <v>42</v>
      </c>
      <c r="E31" s="10" t="s">
        <v>41</v>
      </c>
      <c r="F31" s="8">
        <v>5.4100000000000002E-2</v>
      </c>
      <c r="G31" s="9" t="s">
        <v>42</v>
      </c>
      <c r="H31" s="10" t="s">
        <v>622</v>
      </c>
      <c r="I31" s="8">
        <v>2.1299999999999999E-2</v>
      </c>
      <c r="J31" s="9" t="s">
        <v>37</v>
      </c>
      <c r="K31" s="10" t="s">
        <v>83</v>
      </c>
      <c r="L31" s="8">
        <v>4.7600000000000003E-2</v>
      </c>
      <c r="M31" s="9" t="s">
        <v>42</v>
      </c>
      <c r="N31" s="10" t="s">
        <v>623</v>
      </c>
      <c r="O31" s="8">
        <v>0.05</v>
      </c>
      <c r="P31" s="9" t="s">
        <v>33</v>
      </c>
      <c r="Q31" s="10" t="s">
        <v>624</v>
      </c>
      <c r="R31" s="8">
        <v>2.7799999999999998E-2</v>
      </c>
      <c r="S31" s="9" t="s">
        <v>33</v>
      </c>
      <c r="T31" s="10" t="s">
        <v>581</v>
      </c>
      <c r="U31" s="8">
        <v>2.3300000000000001E-2</v>
      </c>
      <c r="V31" s="9" t="s">
        <v>33</v>
      </c>
    </row>
    <row r="32" spans="2:22" ht="15.75" customHeight="1">
      <c r="B32" s="10" t="s">
        <v>41</v>
      </c>
      <c r="C32" s="8">
        <v>9.9000000000000008E-3</v>
      </c>
      <c r="D32" s="9" t="s">
        <v>42</v>
      </c>
      <c r="E32" s="10" t="s">
        <v>625</v>
      </c>
      <c r="F32" s="8">
        <v>2.7E-2</v>
      </c>
      <c r="G32" s="9" t="s">
        <v>33</v>
      </c>
      <c r="H32" s="10" t="s">
        <v>41</v>
      </c>
      <c r="I32" s="8">
        <v>2.1299999999999999E-2</v>
      </c>
      <c r="J32" s="9" t="s">
        <v>42</v>
      </c>
      <c r="K32" s="10" t="s">
        <v>626</v>
      </c>
      <c r="L32" s="8">
        <v>4.7600000000000003E-2</v>
      </c>
      <c r="M32" s="9" t="s">
        <v>33</v>
      </c>
      <c r="N32" s="10" t="s">
        <v>334</v>
      </c>
      <c r="O32" s="8">
        <v>0.05</v>
      </c>
      <c r="P32" s="9" t="s">
        <v>33</v>
      </c>
      <c r="Q32" s="10" t="s">
        <v>627</v>
      </c>
      <c r="R32" s="8">
        <v>2.7799999999999998E-2</v>
      </c>
      <c r="S32" s="9" t="s">
        <v>33</v>
      </c>
      <c r="T32" s="10" t="s">
        <v>388</v>
      </c>
      <c r="U32" s="8">
        <v>2.3300000000000001E-2</v>
      </c>
      <c r="V32" s="9" t="s">
        <v>33</v>
      </c>
    </row>
    <row r="33" spans="2:22" ht="15.75" customHeight="1">
      <c r="B33" s="10" t="s">
        <v>375</v>
      </c>
      <c r="C33" s="8">
        <v>9.9000000000000008E-3</v>
      </c>
      <c r="D33" s="9" t="s">
        <v>42</v>
      </c>
      <c r="E33" s="10" t="s">
        <v>565</v>
      </c>
      <c r="F33" s="8">
        <v>2.7E-2</v>
      </c>
      <c r="G33" s="9" t="s">
        <v>37</v>
      </c>
      <c r="H33" s="10" t="s">
        <v>628</v>
      </c>
      <c r="I33" s="8">
        <v>2.1299999999999999E-2</v>
      </c>
      <c r="J33" s="9" t="s">
        <v>37</v>
      </c>
      <c r="K33" s="10" t="s">
        <v>299</v>
      </c>
      <c r="L33" s="8">
        <v>4.7600000000000003E-2</v>
      </c>
      <c r="M33" s="9" t="s">
        <v>27</v>
      </c>
      <c r="N33" s="10" t="s">
        <v>83</v>
      </c>
      <c r="O33" s="8">
        <v>0.05</v>
      </c>
      <c r="P33" s="9" t="s">
        <v>42</v>
      </c>
      <c r="Q33" s="10" t="s">
        <v>83</v>
      </c>
      <c r="R33" s="8">
        <v>2.7799999999999998E-2</v>
      </c>
      <c r="S33" s="9" t="s">
        <v>42</v>
      </c>
      <c r="T33" s="10" t="s">
        <v>629</v>
      </c>
      <c r="U33" s="8">
        <v>2.3300000000000001E-2</v>
      </c>
      <c r="V33" s="9" t="s">
        <v>37</v>
      </c>
    </row>
    <row r="34" spans="2:22" ht="15.75" customHeight="1">
      <c r="B34" s="10" t="s">
        <v>630</v>
      </c>
      <c r="C34" s="8">
        <v>9.9000000000000008E-3</v>
      </c>
      <c r="D34" s="9" t="s">
        <v>33</v>
      </c>
      <c r="E34" s="10" t="s">
        <v>631</v>
      </c>
      <c r="F34" s="8">
        <v>2.7E-2</v>
      </c>
      <c r="G34" s="9" t="s">
        <v>42</v>
      </c>
      <c r="H34" s="10" t="s">
        <v>632</v>
      </c>
      <c r="I34" s="8">
        <v>4.2599999999999999E-2</v>
      </c>
      <c r="J34" s="9" t="s">
        <v>37</v>
      </c>
      <c r="K34" s="10" t="s">
        <v>633</v>
      </c>
      <c r="L34" s="8">
        <v>4.7600000000000003E-2</v>
      </c>
      <c r="M34" s="9" t="s">
        <v>33</v>
      </c>
      <c r="N34" s="10" t="s">
        <v>634</v>
      </c>
      <c r="O34" s="8">
        <v>0.1</v>
      </c>
      <c r="P34" s="9" t="s">
        <v>33</v>
      </c>
      <c r="Q34" s="10" t="s">
        <v>635</v>
      </c>
      <c r="R34" s="8">
        <v>2.7799999999999998E-2</v>
      </c>
      <c r="S34" s="9" t="s">
        <v>33</v>
      </c>
      <c r="T34" s="10" t="s">
        <v>636</v>
      </c>
      <c r="U34" s="8">
        <v>2.3300000000000001E-2</v>
      </c>
      <c r="V34" s="9" t="s">
        <v>37</v>
      </c>
    </row>
    <row r="35" spans="2:22" ht="15.75" customHeight="1">
      <c r="B35" s="10" t="s">
        <v>637</v>
      </c>
      <c r="C35" s="8">
        <v>9.9000000000000008E-3</v>
      </c>
      <c r="D35" s="9" t="s">
        <v>33</v>
      </c>
      <c r="E35" s="10" t="s">
        <v>638</v>
      </c>
      <c r="F35" s="8">
        <v>2.7E-2</v>
      </c>
      <c r="G35" s="9" t="s">
        <v>37</v>
      </c>
      <c r="H35" s="10" t="s">
        <v>639</v>
      </c>
      <c r="I35" s="8">
        <v>2.1299999999999999E-2</v>
      </c>
      <c r="J35" s="9" t="s">
        <v>33</v>
      </c>
      <c r="K35" s="10"/>
      <c r="L35" s="8"/>
      <c r="M35" s="9"/>
      <c r="N35" s="10" t="s">
        <v>83</v>
      </c>
      <c r="O35" s="11">
        <v>0.1</v>
      </c>
      <c r="P35" s="9" t="s">
        <v>42</v>
      </c>
      <c r="Q35" s="10" t="s">
        <v>378</v>
      </c>
      <c r="R35" s="8">
        <v>2.7799999999999998E-2</v>
      </c>
      <c r="S35" s="9" t="s">
        <v>33</v>
      </c>
      <c r="T35" s="10" t="s">
        <v>30</v>
      </c>
      <c r="U35" s="8">
        <v>2.3300000000000001E-2</v>
      </c>
      <c r="V35" s="9" t="s">
        <v>37</v>
      </c>
    </row>
    <row r="36" spans="2:22" ht="15.75" customHeight="1">
      <c r="B36" s="10" t="s">
        <v>286</v>
      </c>
      <c r="C36" s="8">
        <v>9.9000000000000008E-3</v>
      </c>
      <c r="D36" s="9" t="s">
        <v>33</v>
      </c>
      <c r="E36" s="10" t="s">
        <v>325</v>
      </c>
      <c r="F36" s="11">
        <v>2.7E-2</v>
      </c>
      <c r="G36" s="9" t="s">
        <v>33</v>
      </c>
      <c r="H36" s="10" t="s">
        <v>640</v>
      </c>
      <c r="I36" s="8">
        <v>2.1299999999999999E-2</v>
      </c>
      <c r="J36" s="9" t="s">
        <v>33</v>
      </c>
      <c r="K36" s="10"/>
      <c r="L36" s="12"/>
      <c r="M36" s="9"/>
      <c r="N36" s="10" t="s">
        <v>641</v>
      </c>
      <c r="O36" s="11">
        <v>0.05</v>
      </c>
      <c r="P36" s="9" t="s">
        <v>33</v>
      </c>
      <c r="Q36" s="10" t="s">
        <v>642</v>
      </c>
      <c r="R36" s="8">
        <v>2.7799999999999998E-2</v>
      </c>
      <c r="S36" s="9" t="s">
        <v>33</v>
      </c>
      <c r="T36" s="10" t="s">
        <v>643</v>
      </c>
      <c r="U36" s="8">
        <v>2.3300000000000001E-2</v>
      </c>
      <c r="V36" s="9" t="s">
        <v>27</v>
      </c>
    </row>
    <row r="37" spans="2:22" ht="15.75" customHeight="1">
      <c r="B37" s="10" t="s">
        <v>644</v>
      </c>
      <c r="C37" s="8">
        <v>9.9000000000000008E-3</v>
      </c>
      <c r="D37" s="9" t="s">
        <v>33</v>
      </c>
      <c r="E37" s="10" t="s">
        <v>645</v>
      </c>
      <c r="F37" s="8">
        <v>2.7E-2</v>
      </c>
      <c r="G37" s="9" t="s">
        <v>42</v>
      </c>
      <c r="H37" s="10" t="s">
        <v>619</v>
      </c>
      <c r="I37" s="8">
        <v>2.1299999999999999E-2</v>
      </c>
      <c r="J37" s="9" t="s">
        <v>33</v>
      </c>
      <c r="K37" s="10"/>
      <c r="L37" s="12"/>
      <c r="M37" s="9"/>
      <c r="N37" s="10" t="s">
        <v>646</v>
      </c>
      <c r="O37" s="11">
        <v>0.05</v>
      </c>
      <c r="P37" s="9" t="s">
        <v>37</v>
      </c>
      <c r="Q37" s="10" t="s">
        <v>647</v>
      </c>
      <c r="R37" s="8">
        <v>2.7799999999999998E-2</v>
      </c>
      <c r="S37" s="9" t="s">
        <v>37</v>
      </c>
      <c r="T37" s="10" t="s">
        <v>612</v>
      </c>
      <c r="U37" s="8">
        <v>2.3300000000000001E-2</v>
      </c>
      <c r="V37" s="9" t="s">
        <v>33</v>
      </c>
    </row>
    <row r="38" spans="2:22" ht="15.75" customHeight="1">
      <c r="B38" s="10" t="s">
        <v>334</v>
      </c>
      <c r="C38" s="8">
        <v>9.9000000000000008E-3</v>
      </c>
      <c r="D38" s="9" t="s">
        <v>33</v>
      </c>
      <c r="E38" s="10"/>
      <c r="F38" s="8"/>
      <c r="G38" s="9"/>
      <c r="H38" s="10" t="s">
        <v>293</v>
      </c>
      <c r="I38" s="8">
        <v>2.1299999999999999E-2</v>
      </c>
      <c r="J38" s="9" t="s">
        <v>33</v>
      </c>
      <c r="K38" s="10"/>
      <c r="L38" s="12"/>
      <c r="M38" s="9"/>
      <c r="N38" s="10" t="s">
        <v>612</v>
      </c>
      <c r="O38" s="11">
        <v>0.05</v>
      </c>
      <c r="P38" s="9" t="s">
        <v>33</v>
      </c>
      <c r="Q38" s="10" t="s">
        <v>648</v>
      </c>
      <c r="R38" s="8">
        <v>2.7799999999999998E-2</v>
      </c>
      <c r="S38" s="9" t="s">
        <v>33</v>
      </c>
      <c r="T38" s="10" t="s">
        <v>649</v>
      </c>
      <c r="U38" s="8">
        <v>2.3300000000000001E-2</v>
      </c>
      <c r="V38" s="9" t="s">
        <v>42</v>
      </c>
    </row>
    <row r="39" spans="2:22" ht="15.75" customHeight="1">
      <c r="B39" s="10" t="s">
        <v>588</v>
      </c>
      <c r="C39" s="8">
        <v>9.9000000000000008E-3</v>
      </c>
      <c r="D39" s="9" t="s">
        <v>33</v>
      </c>
      <c r="E39" s="10"/>
      <c r="F39" s="8"/>
      <c r="G39" s="9"/>
      <c r="H39" s="10" t="s">
        <v>650</v>
      </c>
      <c r="I39" s="8">
        <v>2.1299999999999999E-2</v>
      </c>
      <c r="J39" s="9" t="s">
        <v>33</v>
      </c>
      <c r="K39" s="10"/>
      <c r="L39" s="12"/>
      <c r="M39" s="9"/>
      <c r="N39" s="10" t="s">
        <v>30</v>
      </c>
      <c r="O39" s="11">
        <v>0.05</v>
      </c>
      <c r="P39" s="9" t="s">
        <v>37</v>
      </c>
      <c r="Q39" s="10" t="s">
        <v>651</v>
      </c>
      <c r="R39" s="8">
        <v>2.7799999999999998E-2</v>
      </c>
      <c r="S39" s="9" t="s">
        <v>42</v>
      </c>
      <c r="T39" s="10" t="s">
        <v>652</v>
      </c>
      <c r="U39" s="8">
        <v>2.3300000000000001E-2</v>
      </c>
      <c r="V39" s="9" t="s">
        <v>42</v>
      </c>
    </row>
    <row r="40" spans="2:22" ht="15.75" customHeight="1">
      <c r="B40" s="10" t="s">
        <v>137</v>
      </c>
      <c r="C40" s="8">
        <v>9.9000000000000008E-3</v>
      </c>
      <c r="D40" s="9" t="s">
        <v>42</v>
      </c>
      <c r="E40" s="10"/>
      <c r="F40" s="12"/>
      <c r="G40" s="9"/>
      <c r="H40" s="10" t="s">
        <v>30</v>
      </c>
      <c r="I40" s="8">
        <v>2.1299999999999999E-2</v>
      </c>
      <c r="J40" s="9" t="s">
        <v>37</v>
      </c>
      <c r="K40" s="10"/>
      <c r="L40" s="12"/>
      <c r="M40" s="9"/>
      <c r="N40" s="10" t="s">
        <v>71</v>
      </c>
      <c r="O40" s="11">
        <v>0.05</v>
      </c>
      <c r="P40" s="9" t="s">
        <v>27</v>
      </c>
      <c r="Q40" s="10" t="s">
        <v>391</v>
      </c>
      <c r="R40" s="8">
        <v>2.7799999999999998E-2</v>
      </c>
      <c r="S40" s="9" t="s">
        <v>37</v>
      </c>
      <c r="T40" s="10" t="s">
        <v>30</v>
      </c>
      <c r="U40" s="8">
        <v>2.3300000000000001E-2</v>
      </c>
      <c r="V40" s="9" t="s">
        <v>37</v>
      </c>
    </row>
    <row r="41" spans="2:22" ht="15.75" customHeight="1">
      <c r="B41" s="10" t="s">
        <v>30</v>
      </c>
      <c r="C41" s="8">
        <v>1.9800000000000002E-2</v>
      </c>
      <c r="D41" s="9" t="s">
        <v>37</v>
      </c>
      <c r="E41" s="10"/>
      <c r="F41" s="12"/>
      <c r="G41" s="9"/>
      <c r="H41" s="10"/>
      <c r="I41" s="12"/>
      <c r="J41" s="9"/>
      <c r="K41" s="10"/>
      <c r="L41" s="12"/>
      <c r="M41" s="9"/>
      <c r="N41" s="10"/>
      <c r="O41" s="12"/>
      <c r="P41" s="9"/>
      <c r="Q41" s="10" t="s">
        <v>83</v>
      </c>
      <c r="R41" s="8">
        <v>2.7799999999999998E-2</v>
      </c>
      <c r="S41" s="9" t="s">
        <v>42</v>
      </c>
      <c r="T41" s="10"/>
      <c r="U41" s="12"/>
      <c r="V41" s="9"/>
    </row>
    <row r="42" spans="2:22" ht="15.75" customHeight="1">
      <c r="B42" s="10" t="s">
        <v>30</v>
      </c>
      <c r="C42" s="8">
        <v>1.9800000000000002E-2</v>
      </c>
      <c r="D42" s="9" t="s">
        <v>37</v>
      </c>
      <c r="E42" s="10"/>
      <c r="F42" s="12"/>
      <c r="G42" s="9"/>
      <c r="H42" s="10"/>
      <c r="I42" s="12"/>
      <c r="J42" s="9"/>
      <c r="K42" s="10"/>
      <c r="L42" s="12"/>
      <c r="M42" s="9"/>
      <c r="N42" s="10"/>
      <c r="O42" s="12"/>
      <c r="P42" s="9"/>
      <c r="Q42" s="10" t="s">
        <v>653</v>
      </c>
      <c r="R42" s="8">
        <v>2.7799999999999998E-2</v>
      </c>
      <c r="S42" s="9" t="s">
        <v>42</v>
      </c>
      <c r="T42" s="10"/>
      <c r="U42" s="12"/>
      <c r="V42" s="9"/>
    </row>
    <row r="43" spans="2:22" ht="15.75" customHeight="1">
      <c r="B43" s="10"/>
      <c r="C43" s="8"/>
      <c r="D43" s="9"/>
      <c r="E43" s="10"/>
      <c r="F43" s="12"/>
      <c r="G43" s="9"/>
      <c r="H43" s="10"/>
      <c r="I43" s="12"/>
      <c r="J43" s="9"/>
      <c r="K43" s="10"/>
      <c r="L43" s="12"/>
      <c r="M43" s="9"/>
      <c r="N43" s="10"/>
      <c r="O43" s="12"/>
      <c r="P43" s="9"/>
      <c r="Q43" s="10" t="s">
        <v>128</v>
      </c>
      <c r="R43" s="8">
        <v>2.7799999999999998E-2</v>
      </c>
      <c r="S43" s="9" t="s">
        <v>42</v>
      </c>
      <c r="T43" s="10"/>
      <c r="U43" s="12"/>
      <c r="V43" s="9"/>
    </row>
    <row r="44" spans="2:22" ht="15.75" customHeight="1">
      <c r="B44" s="10"/>
      <c r="C44" s="8"/>
      <c r="D44" s="9"/>
      <c r="E44" s="10"/>
      <c r="F44" s="12"/>
      <c r="G44" s="9"/>
      <c r="H44" s="10"/>
      <c r="I44" s="12"/>
      <c r="J44" s="9"/>
      <c r="K44" s="10"/>
      <c r="L44" s="12"/>
      <c r="M44" s="9"/>
      <c r="N44" s="10"/>
      <c r="O44" s="12"/>
      <c r="P44" s="9"/>
      <c r="Q44" s="10" t="s">
        <v>654</v>
      </c>
      <c r="R44" s="8">
        <v>2.7799999999999998E-2</v>
      </c>
      <c r="S44" s="9" t="s">
        <v>33</v>
      </c>
      <c r="T44" s="10"/>
      <c r="U44" s="12"/>
      <c r="V44" s="9"/>
    </row>
    <row r="45" spans="2:22" ht="15.75" customHeight="1">
      <c r="B45" s="10"/>
      <c r="C45" s="12"/>
      <c r="D45" s="9"/>
      <c r="E45" s="10"/>
      <c r="F45" s="12"/>
      <c r="G45" s="9"/>
      <c r="H45" s="10"/>
      <c r="I45" s="12"/>
      <c r="J45" s="9"/>
      <c r="K45" s="10"/>
      <c r="L45" s="12"/>
      <c r="M45" s="9"/>
      <c r="N45" s="10"/>
      <c r="O45" s="12"/>
      <c r="P45" s="9"/>
      <c r="Q45" s="10" t="s">
        <v>655</v>
      </c>
      <c r="R45" s="8">
        <v>2.7799999999999998E-2</v>
      </c>
      <c r="S45" s="9" t="s">
        <v>656</v>
      </c>
      <c r="T45" s="10"/>
      <c r="U45" s="12"/>
      <c r="V45" s="9"/>
    </row>
    <row r="46" spans="2:22" ht="15.75" customHeight="1">
      <c r="B46" s="13"/>
      <c r="C46" s="14"/>
      <c r="D46" s="15"/>
      <c r="E46" s="13"/>
      <c r="F46" s="14"/>
      <c r="G46" s="15"/>
      <c r="H46" s="13"/>
      <c r="I46" s="14"/>
      <c r="J46" s="15"/>
      <c r="K46" s="13"/>
      <c r="L46" s="14"/>
      <c r="M46" s="15"/>
      <c r="N46" s="13"/>
      <c r="O46" s="14"/>
      <c r="P46" s="15"/>
      <c r="Q46" s="13"/>
      <c r="R46" s="14"/>
      <c r="S46" s="15"/>
      <c r="T46" s="13"/>
      <c r="U46" s="14"/>
      <c r="V46" s="15"/>
    </row>
    <row r="47" spans="2:22" ht="15.75" customHeight="1">
      <c r="B47" s="4" t="str">
        <f>IF(15&lt;=DAY(EOMONTH(DATE(2026,$C$1,1),0)),$C$1&amp;"월 15일","")</f>
        <v>7월 15일</v>
      </c>
      <c r="C47" s="5"/>
      <c r="D47" s="6"/>
      <c r="E47" s="4" t="str">
        <f>IF(16&lt;=DAY(EOMONTH(DATE(2026,$C$1,1),0)),$C$1&amp;"월 16일","")</f>
        <v>7월 16일</v>
      </c>
      <c r="F47" s="5"/>
      <c r="G47" s="6"/>
      <c r="H47" s="4" t="str">
        <f>IF(17&lt;=DAY(EOMONTH(DATE(2026,$C$1,1),0)),$C$1&amp;"월 17일","")</f>
        <v>7월 17일</v>
      </c>
      <c r="I47" s="5"/>
      <c r="J47" s="6"/>
      <c r="K47" s="4" t="str">
        <f>IF(18&lt;=DAY(EOMONTH(DATE(2026,$C$1,1),0)),$C$1&amp;"월 18일","")</f>
        <v>7월 18일</v>
      </c>
      <c r="L47" s="5"/>
      <c r="M47" s="6"/>
      <c r="N47" s="4" t="str">
        <f>IF(19&lt;=DAY(EOMONTH(DATE(2026,$C$1,1),0)),$C$1&amp;"월 19일","")</f>
        <v>7월 19일</v>
      </c>
      <c r="O47" s="5"/>
      <c r="P47" s="6"/>
      <c r="Q47" s="4" t="str">
        <f>IF(20&lt;=DAY(EOMONTH(DATE(2026,$C$1,1),0)),$C$1&amp;"월 20일","")</f>
        <v>7월 20일</v>
      </c>
      <c r="R47" s="5"/>
      <c r="S47" s="6"/>
      <c r="T47" s="4" t="str">
        <f>IF(21&lt;=DAY(EOMONTH(DATE(2026,$C$1,1),0)),$C$1&amp;"월 21일","")</f>
        <v>7월 21일</v>
      </c>
      <c r="U47" s="5"/>
      <c r="V47" s="6"/>
    </row>
    <row r="48" spans="2:22" ht="15.75" customHeight="1">
      <c r="B48" s="10" t="s">
        <v>657</v>
      </c>
      <c r="C48" s="8">
        <v>1.23E-2</v>
      </c>
      <c r="D48" s="9" t="s">
        <v>33</v>
      </c>
      <c r="E48" s="10" t="s">
        <v>30</v>
      </c>
      <c r="F48" s="8">
        <v>2.2200000000000001E-2</v>
      </c>
      <c r="G48" s="9" t="s">
        <v>37</v>
      </c>
      <c r="H48" s="10" t="s">
        <v>639</v>
      </c>
      <c r="I48" s="8">
        <v>0.05</v>
      </c>
      <c r="J48" s="9" t="s">
        <v>33</v>
      </c>
      <c r="K48" s="10" t="s">
        <v>658</v>
      </c>
      <c r="L48" s="8">
        <v>5.3600000000000002E-2</v>
      </c>
      <c r="M48" s="9" t="s">
        <v>37</v>
      </c>
      <c r="N48" s="10" t="s">
        <v>659</v>
      </c>
      <c r="O48" s="8">
        <v>0.04</v>
      </c>
      <c r="P48" s="9" t="s">
        <v>37</v>
      </c>
      <c r="Q48" s="10" t="s">
        <v>30</v>
      </c>
      <c r="R48" s="8">
        <v>4.0800000000000003E-2</v>
      </c>
      <c r="S48" s="9" t="s">
        <v>37</v>
      </c>
      <c r="T48" s="10" t="s">
        <v>41</v>
      </c>
      <c r="U48" s="8">
        <v>1.46E-2</v>
      </c>
      <c r="V48" s="9" t="s">
        <v>42</v>
      </c>
    </row>
    <row r="49" spans="2:22" ht="15.75" customHeight="1">
      <c r="B49" s="10" t="s">
        <v>179</v>
      </c>
      <c r="C49" s="8">
        <v>1.23E-2</v>
      </c>
      <c r="D49" s="9" t="s">
        <v>37</v>
      </c>
      <c r="E49" s="10" t="s">
        <v>660</v>
      </c>
      <c r="F49" s="8">
        <v>2.2200000000000001E-2</v>
      </c>
      <c r="G49" s="9" t="s">
        <v>42</v>
      </c>
      <c r="H49" s="10" t="s">
        <v>291</v>
      </c>
      <c r="I49" s="8">
        <v>2.5000000000000001E-2</v>
      </c>
      <c r="J49" s="9" t="s">
        <v>37</v>
      </c>
      <c r="K49" s="10" t="s">
        <v>661</v>
      </c>
      <c r="L49" s="8">
        <v>1.7899999999999999E-2</v>
      </c>
      <c r="M49" s="9" t="s">
        <v>42</v>
      </c>
      <c r="N49" s="10" t="s">
        <v>662</v>
      </c>
      <c r="O49" s="8">
        <v>0.04</v>
      </c>
      <c r="P49" s="9" t="s">
        <v>33</v>
      </c>
      <c r="Q49" s="10" t="s">
        <v>663</v>
      </c>
      <c r="R49" s="8">
        <v>1.0200000000000001E-2</v>
      </c>
      <c r="S49" s="9" t="s">
        <v>42</v>
      </c>
      <c r="T49" s="10" t="s">
        <v>664</v>
      </c>
      <c r="U49" s="8">
        <v>7.3000000000000001E-3</v>
      </c>
      <c r="V49" s="9" t="s">
        <v>42</v>
      </c>
    </row>
    <row r="50" spans="2:22" ht="15.75" customHeight="1">
      <c r="B50" s="10" t="s">
        <v>619</v>
      </c>
      <c r="C50" s="8">
        <v>1.23E-2</v>
      </c>
      <c r="D50" s="9" t="s">
        <v>33</v>
      </c>
      <c r="E50" s="10" t="s">
        <v>593</v>
      </c>
      <c r="F50" s="8">
        <v>2.2200000000000001E-2</v>
      </c>
      <c r="G50" s="9" t="s">
        <v>42</v>
      </c>
      <c r="H50" s="10" t="s">
        <v>665</v>
      </c>
      <c r="I50" s="8">
        <v>2.5000000000000001E-2</v>
      </c>
      <c r="J50" s="9" t="s">
        <v>37</v>
      </c>
      <c r="K50" s="10" t="s">
        <v>30</v>
      </c>
      <c r="L50" s="8">
        <v>1.7899999999999999E-2</v>
      </c>
      <c r="M50" s="9" t="s">
        <v>37</v>
      </c>
      <c r="N50" s="10" t="s">
        <v>666</v>
      </c>
      <c r="O50" s="8">
        <v>0.04</v>
      </c>
      <c r="P50" s="9" t="s">
        <v>37</v>
      </c>
      <c r="Q50" s="10" t="s">
        <v>658</v>
      </c>
      <c r="R50" s="8">
        <v>1.0200000000000001E-2</v>
      </c>
      <c r="S50" s="9" t="s">
        <v>37</v>
      </c>
      <c r="T50" s="10" t="s">
        <v>667</v>
      </c>
      <c r="U50" s="8">
        <v>7.3000000000000001E-3</v>
      </c>
      <c r="V50" s="9" t="s">
        <v>33</v>
      </c>
    </row>
    <row r="51" spans="2:22" ht="15.75" customHeight="1">
      <c r="B51" s="10" t="s">
        <v>334</v>
      </c>
      <c r="C51" s="8">
        <v>1.23E-2</v>
      </c>
      <c r="D51" s="9" t="s">
        <v>33</v>
      </c>
      <c r="E51" s="10" t="s">
        <v>620</v>
      </c>
      <c r="F51" s="8">
        <v>2.2200000000000001E-2</v>
      </c>
      <c r="G51" s="9" t="s">
        <v>33</v>
      </c>
      <c r="H51" s="10" t="s">
        <v>668</v>
      </c>
      <c r="I51" s="8">
        <v>2.5000000000000001E-2</v>
      </c>
      <c r="J51" s="9" t="s">
        <v>42</v>
      </c>
      <c r="K51" s="10" t="s">
        <v>442</v>
      </c>
      <c r="L51" s="8">
        <v>1.7899999999999999E-2</v>
      </c>
      <c r="M51" s="9" t="s">
        <v>27</v>
      </c>
      <c r="N51" s="10" t="s">
        <v>612</v>
      </c>
      <c r="O51" s="8">
        <v>0.04</v>
      </c>
      <c r="P51" s="9" t="s">
        <v>33</v>
      </c>
      <c r="Q51" s="10" t="s">
        <v>669</v>
      </c>
      <c r="R51" s="8">
        <v>1.0200000000000001E-2</v>
      </c>
      <c r="S51" s="9" t="s">
        <v>27</v>
      </c>
      <c r="T51" s="10" t="s">
        <v>670</v>
      </c>
      <c r="U51" s="8">
        <v>7.3000000000000001E-3</v>
      </c>
      <c r="V51" s="9" t="s">
        <v>37</v>
      </c>
    </row>
    <row r="52" spans="2:22" ht="15.75" customHeight="1">
      <c r="B52" s="10" t="s">
        <v>671</v>
      </c>
      <c r="C52" s="8">
        <v>1.23E-2</v>
      </c>
      <c r="D52" s="9" t="s">
        <v>33</v>
      </c>
      <c r="E52" s="10" t="s">
        <v>347</v>
      </c>
      <c r="F52" s="8">
        <v>2.2200000000000001E-2</v>
      </c>
      <c r="G52" s="9" t="s">
        <v>33</v>
      </c>
      <c r="H52" s="10" t="s">
        <v>30</v>
      </c>
      <c r="I52" s="8">
        <v>2.5000000000000001E-2</v>
      </c>
      <c r="J52" s="9" t="s">
        <v>37</v>
      </c>
      <c r="K52" s="10" t="s">
        <v>593</v>
      </c>
      <c r="L52" s="8">
        <v>1.7899999999999999E-2</v>
      </c>
      <c r="M52" s="9" t="s">
        <v>42</v>
      </c>
      <c r="N52" s="10" t="s">
        <v>672</v>
      </c>
      <c r="O52" s="8">
        <v>0.04</v>
      </c>
      <c r="P52" s="9" t="s">
        <v>33</v>
      </c>
      <c r="Q52" s="10" t="s">
        <v>673</v>
      </c>
      <c r="R52" s="8">
        <v>1.0200000000000001E-2</v>
      </c>
      <c r="S52" s="9" t="s">
        <v>37</v>
      </c>
      <c r="T52" s="10" t="s">
        <v>296</v>
      </c>
      <c r="U52" s="8">
        <v>7.3000000000000001E-3</v>
      </c>
      <c r="V52" s="9" t="s">
        <v>42</v>
      </c>
    </row>
    <row r="53" spans="2:22" ht="15.75" customHeight="1">
      <c r="B53" s="10" t="s">
        <v>83</v>
      </c>
      <c r="C53" s="8">
        <v>1.23E-2</v>
      </c>
      <c r="D53" s="9" t="s">
        <v>42</v>
      </c>
      <c r="E53" s="10" t="s">
        <v>674</v>
      </c>
      <c r="F53" s="8">
        <v>2.2200000000000001E-2</v>
      </c>
      <c r="G53" s="9" t="s">
        <v>33</v>
      </c>
      <c r="H53" s="10" t="s">
        <v>618</v>
      </c>
      <c r="I53" s="8">
        <v>2.5000000000000001E-2</v>
      </c>
      <c r="J53" s="9" t="s">
        <v>33</v>
      </c>
      <c r="K53" s="10" t="s">
        <v>584</v>
      </c>
      <c r="L53" s="8">
        <v>1.7899999999999999E-2</v>
      </c>
      <c r="M53" s="9" t="s">
        <v>42</v>
      </c>
      <c r="N53" s="10" t="s">
        <v>83</v>
      </c>
      <c r="O53" s="8">
        <v>0.08</v>
      </c>
      <c r="P53" s="9" t="s">
        <v>42</v>
      </c>
      <c r="Q53" s="10" t="s">
        <v>675</v>
      </c>
      <c r="R53" s="8">
        <v>1.0200000000000001E-2</v>
      </c>
      <c r="S53" s="9" t="s">
        <v>33</v>
      </c>
      <c r="T53" s="10" t="s">
        <v>30</v>
      </c>
      <c r="U53" s="8">
        <v>7.3000000000000001E-3</v>
      </c>
      <c r="V53" s="9" t="s">
        <v>37</v>
      </c>
    </row>
    <row r="54" spans="2:22" ht="15.75" customHeight="1">
      <c r="B54" s="10" t="s">
        <v>676</v>
      </c>
      <c r="C54" s="8">
        <v>1.23E-2</v>
      </c>
      <c r="D54" s="9" t="s">
        <v>33</v>
      </c>
      <c r="E54" s="10" t="s">
        <v>30</v>
      </c>
      <c r="F54" s="8">
        <v>2.2200000000000001E-2</v>
      </c>
      <c r="G54" s="9" t="s">
        <v>37</v>
      </c>
      <c r="H54" s="10" t="s">
        <v>347</v>
      </c>
      <c r="I54" s="8">
        <v>2.5000000000000001E-2</v>
      </c>
      <c r="J54" s="9" t="s">
        <v>33</v>
      </c>
      <c r="K54" s="10" t="s">
        <v>633</v>
      </c>
      <c r="L54" s="8">
        <v>1.7899999999999999E-2</v>
      </c>
      <c r="M54" s="9" t="s">
        <v>33</v>
      </c>
      <c r="N54" s="10"/>
      <c r="O54" s="8"/>
      <c r="P54" s="9"/>
      <c r="Q54" s="10" t="s">
        <v>677</v>
      </c>
      <c r="R54" s="8">
        <v>1.0200000000000001E-2</v>
      </c>
      <c r="S54" s="9" t="s">
        <v>37</v>
      </c>
      <c r="T54" s="10" t="s">
        <v>612</v>
      </c>
      <c r="U54" s="8">
        <v>7.3000000000000001E-3</v>
      </c>
      <c r="V54" s="9" t="s">
        <v>33</v>
      </c>
    </row>
    <row r="55" spans="2:22" ht="15.75" customHeight="1">
      <c r="B55" s="10" t="s">
        <v>678</v>
      </c>
      <c r="C55" s="8">
        <v>1.23E-2</v>
      </c>
      <c r="D55" s="9" t="s">
        <v>27</v>
      </c>
      <c r="E55" s="10" t="s">
        <v>679</v>
      </c>
      <c r="F55" s="8">
        <v>2.2200000000000001E-2</v>
      </c>
      <c r="G55" s="9" t="s">
        <v>37</v>
      </c>
      <c r="H55" s="10" t="s">
        <v>680</v>
      </c>
      <c r="I55" s="8">
        <v>2.5000000000000001E-2</v>
      </c>
      <c r="J55" s="9" t="s">
        <v>33</v>
      </c>
      <c r="K55" s="10" t="s">
        <v>681</v>
      </c>
      <c r="L55" s="8">
        <v>1.7899999999999999E-2</v>
      </c>
      <c r="M55" s="9" t="s">
        <v>33</v>
      </c>
      <c r="N55" s="10"/>
      <c r="O55" s="8"/>
      <c r="P55" s="9"/>
      <c r="Q55" s="10" t="s">
        <v>682</v>
      </c>
      <c r="R55" s="8">
        <v>1.0200000000000001E-2</v>
      </c>
      <c r="S55" s="9" t="s">
        <v>37</v>
      </c>
      <c r="T55" s="10" t="s">
        <v>622</v>
      </c>
      <c r="U55" s="8">
        <v>7.3000000000000001E-3</v>
      </c>
      <c r="V55" s="9" t="s">
        <v>37</v>
      </c>
    </row>
    <row r="56" spans="2:22" ht="15.75" customHeight="1">
      <c r="B56" s="10" t="s">
        <v>683</v>
      </c>
      <c r="C56" s="8">
        <v>1.23E-2</v>
      </c>
      <c r="D56" s="9" t="s">
        <v>42</v>
      </c>
      <c r="E56" s="10" t="s">
        <v>325</v>
      </c>
      <c r="F56" s="8">
        <v>2.2200000000000001E-2</v>
      </c>
      <c r="G56" s="9" t="s">
        <v>33</v>
      </c>
      <c r="H56" s="10" t="s">
        <v>30</v>
      </c>
      <c r="I56" s="8">
        <v>2.5000000000000001E-2</v>
      </c>
      <c r="J56" s="9" t="s">
        <v>37</v>
      </c>
      <c r="K56" s="10" t="s">
        <v>83</v>
      </c>
      <c r="L56" s="8">
        <v>1.7899999999999999E-2</v>
      </c>
      <c r="M56" s="9" t="s">
        <v>42</v>
      </c>
      <c r="N56" s="10"/>
      <c r="O56" s="8"/>
      <c r="P56" s="9"/>
      <c r="Q56" s="10" t="s">
        <v>684</v>
      </c>
      <c r="R56" s="8">
        <v>1.0200000000000001E-2</v>
      </c>
      <c r="S56" s="9" t="s">
        <v>33</v>
      </c>
      <c r="T56" s="10" t="s">
        <v>685</v>
      </c>
      <c r="U56" s="8">
        <v>7.3000000000000001E-3</v>
      </c>
      <c r="V56" s="9" t="s">
        <v>37</v>
      </c>
    </row>
    <row r="57" spans="2:22" ht="15.75" customHeight="1">
      <c r="B57" s="10" t="s">
        <v>686</v>
      </c>
      <c r="C57" s="8">
        <v>1.23E-2</v>
      </c>
      <c r="D57" s="9" t="s">
        <v>42</v>
      </c>
      <c r="E57" s="10" t="s">
        <v>658</v>
      </c>
      <c r="F57" s="8">
        <v>2.2200000000000001E-2</v>
      </c>
      <c r="G57" s="9" t="s">
        <v>27</v>
      </c>
      <c r="H57" s="10" t="s">
        <v>612</v>
      </c>
      <c r="I57" s="8">
        <v>2.5000000000000001E-2</v>
      </c>
      <c r="J57" s="9" t="s">
        <v>33</v>
      </c>
      <c r="K57" s="10" t="s">
        <v>169</v>
      </c>
      <c r="L57" s="8">
        <v>1.7899999999999999E-2</v>
      </c>
      <c r="M57" s="9" t="s">
        <v>37</v>
      </c>
      <c r="N57" s="10"/>
      <c r="O57" s="12"/>
      <c r="P57" s="9"/>
      <c r="Q57" s="10" t="s">
        <v>572</v>
      </c>
      <c r="R57" s="8">
        <v>1.0200000000000001E-2</v>
      </c>
      <c r="S57" s="9" t="s">
        <v>33</v>
      </c>
      <c r="T57" s="10" t="s">
        <v>105</v>
      </c>
      <c r="U57" s="8">
        <v>7.3000000000000001E-3</v>
      </c>
      <c r="V57" s="9" t="s">
        <v>42</v>
      </c>
    </row>
    <row r="58" spans="2:22" ht="15.75" customHeight="1">
      <c r="B58" s="10" t="s">
        <v>30</v>
      </c>
      <c r="C58" s="8">
        <v>1.23E-2</v>
      </c>
      <c r="D58" s="9" t="s">
        <v>37</v>
      </c>
      <c r="E58" s="10" t="s">
        <v>83</v>
      </c>
      <c r="F58" s="8">
        <v>2.2200000000000001E-2</v>
      </c>
      <c r="G58" s="9" t="s">
        <v>42</v>
      </c>
      <c r="H58" s="10" t="s">
        <v>687</v>
      </c>
      <c r="I58" s="8">
        <v>2.5000000000000001E-2</v>
      </c>
      <c r="J58" s="9" t="s">
        <v>37</v>
      </c>
      <c r="K58" s="10" t="s">
        <v>30</v>
      </c>
      <c r="L58" s="8">
        <v>1.7899999999999999E-2</v>
      </c>
      <c r="M58" s="9" t="s">
        <v>37</v>
      </c>
      <c r="N58" s="10"/>
      <c r="O58" s="12"/>
      <c r="P58" s="9"/>
      <c r="Q58" s="10" t="s">
        <v>688</v>
      </c>
      <c r="R58" s="8">
        <v>1.0200000000000001E-2</v>
      </c>
      <c r="S58" s="9" t="s">
        <v>33</v>
      </c>
      <c r="T58" s="10" t="s">
        <v>128</v>
      </c>
      <c r="U58" s="8">
        <v>7.3000000000000001E-3</v>
      </c>
      <c r="V58" s="9" t="s">
        <v>42</v>
      </c>
    </row>
    <row r="59" spans="2:22" ht="15.75" customHeight="1">
      <c r="B59" s="10"/>
      <c r="C59" s="8"/>
      <c r="D59" s="9"/>
      <c r="E59" s="10"/>
      <c r="F59" s="8"/>
      <c r="G59" s="9"/>
      <c r="H59" s="10"/>
      <c r="I59" s="12"/>
      <c r="J59" s="9"/>
      <c r="K59" s="10"/>
      <c r="L59" s="12"/>
      <c r="M59" s="9"/>
      <c r="N59" s="10"/>
      <c r="O59" s="12"/>
      <c r="P59" s="9"/>
      <c r="Q59" s="10" t="s">
        <v>689</v>
      </c>
      <c r="R59" s="8">
        <v>1.0200000000000001E-2</v>
      </c>
      <c r="S59" s="9" t="s">
        <v>33</v>
      </c>
      <c r="T59" s="10" t="s">
        <v>690</v>
      </c>
      <c r="U59" s="8">
        <v>7.3000000000000001E-3</v>
      </c>
      <c r="V59" s="9" t="s">
        <v>33</v>
      </c>
    </row>
    <row r="60" spans="2:22" ht="15.75" customHeight="1">
      <c r="B60" s="10"/>
      <c r="C60" s="8"/>
      <c r="D60" s="9"/>
      <c r="E60" s="10"/>
      <c r="F60" s="8"/>
      <c r="G60" s="9"/>
      <c r="H60" s="10"/>
      <c r="I60" s="12"/>
      <c r="J60" s="9"/>
      <c r="K60" s="10"/>
      <c r="L60" s="12"/>
      <c r="M60" s="9"/>
      <c r="N60" s="10"/>
      <c r="O60" s="12"/>
      <c r="P60" s="9"/>
      <c r="Q60" s="10" t="s">
        <v>553</v>
      </c>
      <c r="R60" s="8">
        <v>1.0200000000000001E-2</v>
      </c>
      <c r="S60" s="9" t="s">
        <v>33</v>
      </c>
      <c r="T60" s="10" t="s">
        <v>691</v>
      </c>
      <c r="U60" s="8">
        <v>7.3000000000000001E-3</v>
      </c>
      <c r="V60" s="9" t="s">
        <v>33</v>
      </c>
    </row>
    <row r="61" spans="2:22" ht="15.75" customHeight="1">
      <c r="B61" s="10"/>
      <c r="C61" s="8"/>
      <c r="D61" s="9"/>
      <c r="E61" s="10"/>
      <c r="F61" s="8"/>
      <c r="G61" s="9"/>
      <c r="H61" s="10"/>
      <c r="I61" s="12"/>
      <c r="J61" s="9"/>
      <c r="K61" s="10"/>
      <c r="L61" s="12"/>
      <c r="M61" s="9"/>
      <c r="N61" s="10"/>
      <c r="O61" s="12"/>
      <c r="P61" s="9"/>
      <c r="Q61" s="10"/>
      <c r="R61" s="12"/>
      <c r="S61" s="9"/>
      <c r="T61" s="10" t="s">
        <v>692</v>
      </c>
      <c r="U61" s="8">
        <v>7.3000000000000001E-3</v>
      </c>
      <c r="V61" s="9" t="s">
        <v>42</v>
      </c>
    </row>
    <row r="62" spans="2:22" ht="15.75" customHeight="1">
      <c r="B62" s="10"/>
      <c r="C62" s="8"/>
      <c r="D62" s="9"/>
      <c r="E62" s="10"/>
      <c r="F62" s="8"/>
      <c r="G62" s="9"/>
      <c r="H62" s="10"/>
      <c r="I62" s="12"/>
      <c r="J62" s="9"/>
      <c r="K62" s="10"/>
      <c r="L62" s="12"/>
      <c r="M62" s="9"/>
      <c r="N62" s="10"/>
      <c r="O62" s="12"/>
      <c r="P62" s="9"/>
      <c r="Q62" s="10"/>
      <c r="R62" s="12"/>
      <c r="S62" s="9"/>
      <c r="T62" s="10" t="s">
        <v>693</v>
      </c>
      <c r="U62" s="8">
        <v>7.3000000000000001E-3</v>
      </c>
      <c r="V62" s="9" t="s">
        <v>42</v>
      </c>
    </row>
    <row r="63" spans="2:22" ht="15.75" customHeight="1">
      <c r="B63" s="10"/>
      <c r="C63" s="8"/>
      <c r="D63" s="9"/>
      <c r="E63" s="10"/>
      <c r="F63" s="8"/>
      <c r="G63" s="9"/>
      <c r="H63" s="10"/>
      <c r="I63" s="12"/>
      <c r="J63" s="9"/>
      <c r="K63" s="10"/>
      <c r="L63" s="12"/>
      <c r="M63" s="9"/>
      <c r="N63" s="10"/>
      <c r="O63" s="12"/>
      <c r="P63" s="9"/>
      <c r="Q63" s="10"/>
      <c r="R63" s="12"/>
      <c r="S63" s="9"/>
      <c r="T63" s="10" t="s">
        <v>694</v>
      </c>
      <c r="U63" s="8">
        <v>7.3000000000000001E-3</v>
      </c>
      <c r="V63" s="9"/>
    </row>
    <row r="64" spans="2:22" ht="15.75" customHeight="1">
      <c r="B64" s="10"/>
      <c r="C64" s="8"/>
      <c r="D64" s="9"/>
      <c r="E64" s="10"/>
      <c r="F64" s="8"/>
      <c r="G64" s="9"/>
      <c r="H64" s="10"/>
      <c r="I64" s="12"/>
      <c r="J64" s="9"/>
      <c r="K64" s="10"/>
      <c r="L64" s="12"/>
      <c r="M64" s="9"/>
      <c r="N64" s="10"/>
      <c r="O64" s="12"/>
      <c r="P64" s="9"/>
      <c r="Q64" s="10"/>
      <c r="R64" s="12"/>
      <c r="S64" s="9"/>
      <c r="T64" s="10" t="s">
        <v>572</v>
      </c>
      <c r="U64" s="8">
        <v>7.3000000000000001E-3</v>
      </c>
      <c r="V64" s="9" t="s">
        <v>33</v>
      </c>
    </row>
    <row r="65" spans="2:22" ht="15.75" customHeight="1">
      <c r="B65" s="10"/>
      <c r="C65" s="8"/>
      <c r="D65" s="9"/>
      <c r="E65" s="10"/>
      <c r="F65" s="8"/>
      <c r="G65" s="9"/>
      <c r="H65" s="10"/>
      <c r="I65" s="12"/>
      <c r="J65" s="9"/>
      <c r="K65" s="10"/>
      <c r="L65" s="12"/>
      <c r="M65" s="9"/>
      <c r="N65" s="10"/>
      <c r="O65" s="12"/>
      <c r="P65" s="9"/>
      <c r="Q65" s="10"/>
      <c r="R65" s="12"/>
      <c r="S65" s="9"/>
      <c r="T65" s="10" t="s">
        <v>688</v>
      </c>
      <c r="U65" s="8">
        <v>7.3000000000000001E-3</v>
      </c>
      <c r="V65" s="9" t="s">
        <v>33</v>
      </c>
    </row>
    <row r="66" spans="2:22" ht="15.75" customHeight="1">
      <c r="B66" s="10"/>
      <c r="C66" s="8"/>
      <c r="D66" s="9"/>
      <c r="E66" s="10"/>
      <c r="F66" s="8"/>
      <c r="G66" s="9"/>
      <c r="H66" s="10"/>
      <c r="I66" s="12"/>
      <c r="J66" s="9"/>
      <c r="K66" s="10"/>
      <c r="L66" s="12"/>
      <c r="M66" s="9"/>
      <c r="N66" s="10"/>
      <c r="O66" s="12"/>
      <c r="P66" s="9"/>
      <c r="Q66" s="10"/>
      <c r="R66" s="12"/>
      <c r="S66" s="9"/>
      <c r="T66" s="10" t="s">
        <v>695</v>
      </c>
      <c r="U66" s="8">
        <v>7.3000000000000001E-3</v>
      </c>
      <c r="V66" s="9" t="s">
        <v>42</v>
      </c>
    </row>
    <row r="67" spans="2:22" ht="15.75" customHeight="1">
      <c r="B67" s="10"/>
      <c r="C67" s="8"/>
      <c r="D67" s="9"/>
      <c r="E67" s="10"/>
      <c r="F67" s="8"/>
      <c r="G67" s="9"/>
      <c r="H67" s="10"/>
      <c r="I67" s="12"/>
      <c r="J67" s="9"/>
      <c r="K67" s="10"/>
      <c r="L67" s="12"/>
      <c r="M67" s="9"/>
      <c r="N67" s="10"/>
      <c r="O67" s="12"/>
      <c r="P67" s="9"/>
      <c r="Q67" s="10"/>
      <c r="R67" s="12"/>
      <c r="S67" s="9"/>
      <c r="T67" s="10" t="s">
        <v>696</v>
      </c>
      <c r="U67" s="8">
        <v>7.3000000000000001E-3</v>
      </c>
      <c r="V67" s="9" t="s">
        <v>27</v>
      </c>
    </row>
    <row r="68" spans="2:22" ht="15.75" customHeight="1">
      <c r="B68" s="10"/>
      <c r="C68" s="8"/>
      <c r="D68" s="9"/>
      <c r="E68" s="10"/>
      <c r="F68" s="8"/>
      <c r="G68" s="9"/>
      <c r="H68" s="10"/>
      <c r="I68" s="12"/>
      <c r="J68" s="9"/>
      <c r="K68" s="10"/>
      <c r="L68" s="12"/>
      <c r="M68" s="9"/>
      <c r="N68" s="10"/>
      <c r="O68" s="12"/>
      <c r="P68" s="9"/>
      <c r="Q68" s="10"/>
      <c r="R68" s="12"/>
      <c r="S68" s="9"/>
      <c r="T68" s="10" t="s">
        <v>697</v>
      </c>
      <c r="U68" s="8">
        <v>2.1899999999999999E-2</v>
      </c>
      <c r="V68" s="9" t="s">
        <v>27</v>
      </c>
    </row>
    <row r="69" spans="2:22" ht="15.75" customHeight="1">
      <c r="B69" s="10"/>
      <c r="C69" s="8"/>
      <c r="D69" s="9"/>
      <c r="E69" s="10"/>
      <c r="F69" s="8"/>
      <c r="G69" s="9"/>
      <c r="H69" s="10"/>
      <c r="I69" s="12"/>
      <c r="J69" s="9"/>
      <c r="K69" s="10"/>
      <c r="L69" s="12"/>
      <c r="M69" s="9"/>
      <c r="N69" s="10"/>
      <c r="O69" s="12"/>
      <c r="P69" s="9"/>
      <c r="Q69" s="10"/>
      <c r="R69" s="12"/>
      <c r="S69" s="9"/>
      <c r="T69" s="10" t="s">
        <v>325</v>
      </c>
      <c r="U69" s="8">
        <v>7.3000000000000001E-3</v>
      </c>
      <c r="V69" s="9" t="s">
        <v>33</v>
      </c>
    </row>
    <row r="70" spans="2:22" ht="15.75" customHeight="1">
      <c r="B70" s="10"/>
      <c r="C70" s="8"/>
      <c r="D70" s="9"/>
      <c r="E70" s="10"/>
      <c r="F70" s="8"/>
      <c r="G70" s="9"/>
      <c r="H70" s="10"/>
      <c r="I70" s="12"/>
      <c r="J70" s="9"/>
      <c r="K70" s="10"/>
      <c r="L70" s="12"/>
      <c r="M70" s="9"/>
      <c r="N70" s="10"/>
      <c r="O70" s="12"/>
      <c r="P70" s="9"/>
      <c r="Q70" s="10"/>
      <c r="R70" s="12"/>
      <c r="S70" s="9"/>
      <c r="T70" s="10" t="s">
        <v>698</v>
      </c>
      <c r="U70" s="8">
        <v>7.3000000000000001E-3</v>
      </c>
      <c r="V70" s="9"/>
    </row>
    <row r="71" spans="2:22" ht="15.75" customHeight="1">
      <c r="B71" s="10"/>
      <c r="C71" s="12"/>
      <c r="D71" s="9"/>
      <c r="E71" s="10"/>
      <c r="F71" s="12"/>
      <c r="G71" s="9"/>
      <c r="H71" s="10"/>
      <c r="I71" s="12"/>
      <c r="J71" s="9"/>
      <c r="K71" s="10"/>
      <c r="L71" s="12"/>
      <c r="M71" s="9"/>
      <c r="N71" s="10"/>
      <c r="O71" s="12"/>
      <c r="P71" s="9"/>
      <c r="Q71" s="10"/>
      <c r="R71" s="12"/>
      <c r="S71" s="9"/>
      <c r="T71" s="10"/>
      <c r="U71" s="12"/>
      <c r="V71" s="9"/>
    </row>
    <row r="72" spans="2:22" ht="15.75" customHeight="1">
      <c r="B72" s="13"/>
      <c r="C72" s="14"/>
      <c r="D72" s="15"/>
      <c r="E72" s="13"/>
      <c r="F72" s="14"/>
      <c r="G72" s="15"/>
      <c r="H72" s="13"/>
      <c r="I72" s="14"/>
      <c r="J72" s="15"/>
      <c r="K72" s="13"/>
      <c r="L72" s="14"/>
      <c r="M72" s="15"/>
      <c r="N72" s="13"/>
      <c r="O72" s="14"/>
      <c r="P72" s="15"/>
      <c r="Q72" s="13"/>
      <c r="R72" s="14"/>
      <c r="S72" s="15"/>
      <c r="T72" s="13"/>
      <c r="U72" s="14"/>
      <c r="V72" s="15"/>
    </row>
    <row r="73" spans="2:22" ht="15.75" customHeight="1">
      <c r="B73" s="4" t="str">
        <f>IF(22&lt;=DAY(EOMONTH(DATE(2026,$C$1,1),0)),$C$1&amp;"월 22일","")</f>
        <v>7월 22일</v>
      </c>
      <c r="C73" s="5"/>
      <c r="D73" s="6"/>
      <c r="E73" s="4" t="str">
        <f>IF(23&lt;=DAY(EOMONTH(DATE(2026,$C$1,1),0)),$C$1&amp;"월 23일","")</f>
        <v>7월 23일</v>
      </c>
      <c r="F73" s="5"/>
      <c r="G73" s="6"/>
      <c r="H73" s="4" t="str">
        <f>IF(24&lt;=DAY(EOMONTH(DATE(2026,$C$1,1),0)),$C$1&amp;"월 24일","")</f>
        <v>7월 24일</v>
      </c>
      <c r="I73" s="5"/>
      <c r="J73" s="6"/>
      <c r="K73" s="4" t="str">
        <f>IF(25&lt;=DAY(EOMONTH(DATE(2026,$C$1,1),0)),$C$1&amp;"월 25일","")</f>
        <v>7월 25일</v>
      </c>
      <c r="L73" s="5"/>
      <c r="M73" s="6"/>
      <c r="N73" s="4" t="str">
        <f>IF(26&lt;=DAY(EOMONTH(DATE(2026,$C$1,1),0)),$C$1&amp;"월 26일","")</f>
        <v>7월 26일</v>
      </c>
      <c r="O73" s="5"/>
      <c r="P73" s="6"/>
      <c r="Q73" s="4" t="str">
        <f>IF(27&lt;=DAY(EOMONTH(DATE(2026,$C$1,1),0)),$C$1&amp;"월 27일","")</f>
        <v>7월 27일</v>
      </c>
      <c r="R73" s="5"/>
      <c r="S73" s="6"/>
      <c r="T73" s="4" t="str">
        <f>IF(28&lt;=DAY(EOMONTH(DATE(2026,$C$1,1),0)),$C$1&amp;"월 28일","")</f>
        <v>7월 28일</v>
      </c>
      <c r="U73" s="5"/>
      <c r="V73" s="6"/>
    </row>
    <row r="74" spans="2:22" ht="15.75" customHeight="1">
      <c r="B74" s="10" t="s">
        <v>699</v>
      </c>
      <c r="C74" s="8">
        <v>2.1999999999999999E-2</v>
      </c>
      <c r="D74" s="9" t="s">
        <v>37</v>
      </c>
      <c r="E74" s="10" t="s">
        <v>30</v>
      </c>
      <c r="F74" s="8">
        <v>3.8800000000000001E-2</v>
      </c>
      <c r="G74" s="9" t="s">
        <v>37</v>
      </c>
      <c r="H74" s="10" t="s">
        <v>30</v>
      </c>
      <c r="I74" s="8">
        <v>6.6699999999999995E-2</v>
      </c>
      <c r="J74" s="9" t="s">
        <v>37</v>
      </c>
      <c r="K74" s="10" t="s">
        <v>291</v>
      </c>
      <c r="L74" s="8">
        <v>0.2</v>
      </c>
      <c r="M74" s="9" t="s">
        <v>37</v>
      </c>
      <c r="N74" s="10" t="s">
        <v>423</v>
      </c>
      <c r="O74" s="8">
        <v>0.1333</v>
      </c>
      <c r="P74" s="9" t="s">
        <v>37</v>
      </c>
      <c r="Q74" s="10" t="s">
        <v>48</v>
      </c>
      <c r="R74" s="8">
        <v>3.3300000000000003E-2</v>
      </c>
      <c r="S74" s="9" t="s">
        <v>37</v>
      </c>
      <c r="T74" s="10" t="s">
        <v>700</v>
      </c>
      <c r="U74" s="8">
        <v>4.3499999999999997E-2</v>
      </c>
      <c r="V74" s="9" t="s">
        <v>42</v>
      </c>
    </row>
    <row r="75" spans="2:22" ht="15.75" customHeight="1">
      <c r="B75" s="10" t="s">
        <v>30</v>
      </c>
      <c r="C75" s="8">
        <v>2.1999999999999999E-2</v>
      </c>
      <c r="D75" s="9" t="s">
        <v>37</v>
      </c>
      <c r="E75" s="10" t="s">
        <v>701</v>
      </c>
      <c r="F75" s="8">
        <v>9.7000000000000003E-3</v>
      </c>
      <c r="G75" s="9" t="s">
        <v>37</v>
      </c>
      <c r="H75" s="10" t="s">
        <v>702</v>
      </c>
      <c r="I75" s="8">
        <v>3.3300000000000003E-2</v>
      </c>
      <c r="J75" s="9" t="s">
        <v>42</v>
      </c>
      <c r="K75" s="10" t="s">
        <v>703</v>
      </c>
      <c r="L75" s="8">
        <v>0.2</v>
      </c>
      <c r="M75" s="9" t="s">
        <v>33</v>
      </c>
      <c r="N75" s="10" t="s">
        <v>704</v>
      </c>
      <c r="O75" s="8">
        <v>6.6699999999999995E-2</v>
      </c>
      <c r="P75" s="9" t="s">
        <v>33</v>
      </c>
      <c r="Q75" s="10" t="s">
        <v>705</v>
      </c>
      <c r="R75" s="8">
        <v>3.3300000000000003E-2</v>
      </c>
      <c r="S75" s="9" t="s">
        <v>42</v>
      </c>
      <c r="T75" s="10" t="s">
        <v>706</v>
      </c>
      <c r="U75" s="11">
        <v>4.3499999999999997E-2</v>
      </c>
      <c r="V75" s="9" t="s">
        <v>33</v>
      </c>
    </row>
    <row r="76" spans="2:22" ht="15.75" customHeight="1">
      <c r="B76" s="10" t="s">
        <v>707</v>
      </c>
      <c r="C76" s="8">
        <v>2.1999999999999999E-2</v>
      </c>
      <c r="D76" s="9" t="s">
        <v>37</v>
      </c>
      <c r="E76" s="10" t="s">
        <v>369</v>
      </c>
      <c r="F76" s="8">
        <v>9.7000000000000003E-3</v>
      </c>
      <c r="G76" s="9" t="s">
        <v>35</v>
      </c>
      <c r="H76" s="10" t="s">
        <v>658</v>
      </c>
      <c r="I76" s="8">
        <v>3.3300000000000003E-2</v>
      </c>
      <c r="J76" s="9" t="s">
        <v>37</v>
      </c>
      <c r="K76" s="10" t="s">
        <v>708</v>
      </c>
      <c r="L76" s="8">
        <v>0.2</v>
      </c>
      <c r="M76" s="9" t="s">
        <v>33</v>
      </c>
      <c r="N76" s="10" t="s">
        <v>633</v>
      </c>
      <c r="O76" s="8">
        <v>6.6699999999999995E-2</v>
      </c>
      <c r="P76" s="9" t="s">
        <v>33</v>
      </c>
      <c r="Q76" s="10" t="s">
        <v>709</v>
      </c>
      <c r="R76" s="8">
        <v>3.3300000000000003E-2</v>
      </c>
      <c r="S76" s="9" t="s">
        <v>37</v>
      </c>
      <c r="T76" s="10" t="s">
        <v>710</v>
      </c>
      <c r="U76" s="11">
        <v>4.3499999999999997E-2</v>
      </c>
      <c r="V76" s="9" t="s">
        <v>33</v>
      </c>
    </row>
    <row r="77" spans="2:22" ht="15.75" customHeight="1">
      <c r="B77" s="10" t="s">
        <v>711</v>
      </c>
      <c r="C77" s="8">
        <v>1.0999999999999999E-2</v>
      </c>
      <c r="D77" s="9" t="s">
        <v>33</v>
      </c>
      <c r="E77" s="10" t="s">
        <v>712</v>
      </c>
      <c r="F77" s="8">
        <v>9.7000000000000003E-3</v>
      </c>
      <c r="G77" s="9"/>
      <c r="H77" s="10" t="s">
        <v>98</v>
      </c>
      <c r="I77" s="8">
        <v>3.3300000000000003E-2</v>
      </c>
      <c r="J77" s="9" t="s">
        <v>42</v>
      </c>
      <c r="K77" s="10"/>
      <c r="L77" s="8"/>
      <c r="M77" s="9"/>
      <c r="N77" s="10" t="s">
        <v>69</v>
      </c>
      <c r="O77" s="8">
        <v>6.6699999999999995E-2</v>
      </c>
      <c r="P77" s="9" t="s">
        <v>42</v>
      </c>
      <c r="Q77" s="10" t="s">
        <v>713</v>
      </c>
      <c r="R77" s="8">
        <v>3.3300000000000003E-2</v>
      </c>
      <c r="S77" s="9" t="s">
        <v>27</v>
      </c>
      <c r="T77" s="10" t="s">
        <v>714</v>
      </c>
      <c r="U77" s="8">
        <v>4.3499999999999997E-2</v>
      </c>
      <c r="V77" s="9" t="s">
        <v>33</v>
      </c>
    </row>
    <row r="78" spans="2:22" ht="15.75" customHeight="1">
      <c r="B78" s="10" t="s">
        <v>291</v>
      </c>
      <c r="C78" s="8">
        <v>1.0999999999999999E-2</v>
      </c>
      <c r="D78" s="9" t="s">
        <v>37</v>
      </c>
      <c r="E78" s="10" t="s">
        <v>83</v>
      </c>
      <c r="F78" s="8">
        <v>9.7000000000000003E-3</v>
      </c>
      <c r="G78" s="9" t="s">
        <v>42</v>
      </c>
      <c r="H78" s="10" t="s">
        <v>715</v>
      </c>
      <c r="I78" s="8">
        <v>3.3300000000000003E-2</v>
      </c>
      <c r="J78" s="9" t="s">
        <v>37</v>
      </c>
      <c r="K78" s="10"/>
      <c r="L78" s="8"/>
      <c r="M78" s="9"/>
      <c r="N78" s="10" t="s">
        <v>716</v>
      </c>
      <c r="O78" s="8">
        <v>6.6699999999999995E-2</v>
      </c>
      <c r="P78" s="9" t="s">
        <v>42</v>
      </c>
      <c r="Q78" s="10" t="s">
        <v>30</v>
      </c>
      <c r="R78" s="8">
        <v>3.3300000000000003E-2</v>
      </c>
      <c r="S78" s="9" t="s">
        <v>37</v>
      </c>
      <c r="T78" s="10" t="s">
        <v>717</v>
      </c>
      <c r="U78" s="8">
        <v>4.3499999999999997E-2</v>
      </c>
      <c r="V78" s="9" t="s">
        <v>37</v>
      </c>
    </row>
    <row r="79" spans="2:22" ht="15.75" customHeight="1">
      <c r="B79" s="10" t="s">
        <v>423</v>
      </c>
      <c r="C79" s="8">
        <v>1.0999999999999999E-2</v>
      </c>
      <c r="D79" s="9" t="s">
        <v>37</v>
      </c>
      <c r="E79" s="10" t="s">
        <v>617</v>
      </c>
      <c r="F79" s="8">
        <v>9.7000000000000003E-3</v>
      </c>
      <c r="G79" s="9" t="s">
        <v>33</v>
      </c>
      <c r="H79" s="10" t="s">
        <v>718</v>
      </c>
      <c r="I79" s="8">
        <v>3.3300000000000003E-2</v>
      </c>
      <c r="J79" s="9" t="s">
        <v>27</v>
      </c>
      <c r="K79" s="10"/>
      <c r="L79" s="8"/>
      <c r="M79" s="9"/>
      <c r="N79" s="10"/>
      <c r="O79" s="8"/>
      <c r="P79" s="9"/>
      <c r="Q79" s="10" t="s">
        <v>347</v>
      </c>
      <c r="R79" s="8">
        <v>3.3300000000000003E-2</v>
      </c>
      <c r="S79" s="9" t="s">
        <v>33</v>
      </c>
      <c r="T79" s="10" t="s">
        <v>719</v>
      </c>
      <c r="U79" s="8">
        <v>4.3499999999999997E-2</v>
      </c>
      <c r="V79" s="9" t="s">
        <v>33</v>
      </c>
    </row>
    <row r="80" spans="2:22" ht="15.75" customHeight="1">
      <c r="B80" s="10" t="s">
        <v>720</v>
      </c>
      <c r="C80" s="8">
        <v>1.0999999999999999E-2</v>
      </c>
      <c r="D80" s="9" t="s">
        <v>33</v>
      </c>
      <c r="E80" s="10" t="s">
        <v>721</v>
      </c>
      <c r="F80" s="8">
        <v>9.7000000000000003E-3</v>
      </c>
      <c r="G80" s="9" t="s">
        <v>33</v>
      </c>
      <c r="H80" s="10" t="s">
        <v>722</v>
      </c>
      <c r="I80" s="8">
        <v>3.3300000000000003E-2</v>
      </c>
      <c r="J80" s="9" t="s">
        <v>33</v>
      </c>
      <c r="K80" s="10"/>
      <c r="L80" s="12"/>
      <c r="M80" s="9"/>
      <c r="N80" s="10"/>
      <c r="O80" s="8"/>
      <c r="P80" s="9"/>
      <c r="Q80" s="10"/>
      <c r="R80" s="8"/>
      <c r="S80" s="9"/>
      <c r="T80" s="10" t="s">
        <v>30</v>
      </c>
      <c r="U80" s="8">
        <v>4.3499999999999997E-2</v>
      </c>
      <c r="V80" s="9" t="s">
        <v>37</v>
      </c>
    </row>
    <row r="81" spans="2:22" ht="15.75" customHeight="1">
      <c r="B81" s="10" t="s">
        <v>723</v>
      </c>
      <c r="C81" s="8">
        <v>1.0999999999999999E-2</v>
      </c>
      <c r="D81" s="9" t="s">
        <v>33</v>
      </c>
      <c r="E81" s="10" t="s">
        <v>30</v>
      </c>
      <c r="F81" s="8">
        <v>1.9400000000000001E-2</v>
      </c>
      <c r="G81" s="9" t="s">
        <v>37</v>
      </c>
      <c r="H81" s="10" t="s">
        <v>724</v>
      </c>
      <c r="I81" s="8">
        <v>3.3300000000000003E-2</v>
      </c>
      <c r="J81" s="9" t="s">
        <v>33</v>
      </c>
      <c r="K81" s="10"/>
      <c r="L81" s="12"/>
      <c r="M81" s="9"/>
      <c r="N81" s="10"/>
      <c r="O81" s="8"/>
      <c r="P81" s="9"/>
      <c r="Q81" s="10"/>
      <c r="R81" s="8"/>
      <c r="S81" s="9"/>
      <c r="T81" s="10"/>
      <c r="U81" s="8"/>
      <c r="V81" s="9"/>
    </row>
    <row r="82" spans="2:22" ht="15.75" customHeight="1">
      <c r="B82" s="10" t="s">
        <v>30</v>
      </c>
      <c r="C82" s="8">
        <v>3.3000000000000002E-2</v>
      </c>
      <c r="D82" s="9" t="s">
        <v>37</v>
      </c>
      <c r="E82" s="10" t="s">
        <v>725</v>
      </c>
      <c r="F82" s="8">
        <v>1.9400000000000001E-2</v>
      </c>
      <c r="G82" s="9" t="s">
        <v>27</v>
      </c>
      <c r="H82" s="10" t="s">
        <v>726</v>
      </c>
      <c r="I82" s="8">
        <v>3.3300000000000003E-2</v>
      </c>
      <c r="J82" s="9" t="s">
        <v>27</v>
      </c>
      <c r="K82" s="10"/>
      <c r="L82" s="12"/>
      <c r="M82" s="9"/>
      <c r="N82" s="10"/>
      <c r="O82" s="8"/>
      <c r="P82" s="9"/>
      <c r="Q82" s="10"/>
      <c r="R82" s="8"/>
      <c r="S82" s="9"/>
      <c r="T82" s="10"/>
      <c r="U82" s="8"/>
      <c r="V82" s="9"/>
    </row>
    <row r="83" spans="2:22" ht="15.75" customHeight="1">
      <c r="B83" s="10" t="s">
        <v>727</v>
      </c>
      <c r="C83" s="8">
        <v>1.0999999999999999E-2</v>
      </c>
      <c r="D83" s="9"/>
      <c r="E83" s="10" t="s">
        <v>728</v>
      </c>
      <c r="F83" s="8">
        <v>9.7000000000000003E-3</v>
      </c>
      <c r="G83" s="9" t="s">
        <v>33</v>
      </c>
      <c r="H83" s="10" t="s">
        <v>30</v>
      </c>
      <c r="I83" s="8">
        <v>3.3300000000000003E-2</v>
      </c>
      <c r="J83" s="9" t="s">
        <v>37</v>
      </c>
      <c r="K83" s="10"/>
      <c r="L83" s="12"/>
      <c r="M83" s="9"/>
      <c r="N83" s="10"/>
      <c r="O83" s="8"/>
      <c r="P83" s="9"/>
      <c r="Q83" s="10"/>
      <c r="R83" s="12"/>
      <c r="S83" s="9"/>
      <c r="T83" s="10"/>
      <c r="U83" s="12"/>
      <c r="V83" s="9"/>
    </row>
    <row r="84" spans="2:22" ht="15.75" customHeight="1">
      <c r="B84" s="10" t="s">
        <v>729</v>
      </c>
      <c r="C84" s="8">
        <v>1.0999999999999999E-2</v>
      </c>
      <c r="D84" s="9" t="s">
        <v>42</v>
      </c>
      <c r="E84" s="10" t="s">
        <v>730</v>
      </c>
      <c r="F84" s="8">
        <v>9.7000000000000003E-3</v>
      </c>
      <c r="G84" s="9" t="s">
        <v>33</v>
      </c>
      <c r="H84" s="10"/>
      <c r="I84" s="8"/>
      <c r="J84" s="9"/>
      <c r="K84" s="10"/>
      <c r="L84" s="12"/>
      <c r="M84" s="9"/>
      <c r="N84" s="10"/>
      <c r="O84" s="8"/>
      <c r="P84" s="9"/>
      <c r="Q84" s="10"/>
      <c r="R84" s="12"/>
      <c r="S84" s="9"/>
      <c r="T84" s="10"/>
      <c r="U84" s="12"/>
      <c r="V84" s="9"/>
    </row>
    <row r="85" spans="2:22" ht="15.75" customHeight="1">
      <c r="B85" s="10" t="s">
        <v>731</v>
      </c>
      <c r="C85" s="8">
        <v>1.0999999999999999E-2</v>
      </c>
      <c r="D85" s="9" t="s">
        <v>33</v>
      </c>
      <c r="E85" s="10" t="s">
        <v>612</v>
      </c>
      <c r="F85" s="8">
        <v>9.7000000000000003E-3</v>
      </c>
      <c r="G85" s="9" t="s">
        <v>33</v>
      </c>
      <c r="H85" s="10"/>
      <c r="I85" s="8"/>
      <c r="J85" s="9"/>
      <c r="K85" s="10"/>
      <c r="L85" s="12"/>
      <c r="M85" s="9"/>
      <c r="N85" s="10"/>
      <c r="O85" s="8"/>
      <c r="P85" s="9"/>
      <c r="Q85" s="10"/>
      <c r="R85" s="12"/>
      <c r="S85" s="9"/>
      <c r="T85" s="10"/>
      <c r="U85" s="12"/>
      <c r="V85" s="9"/>
    </row>
    <row r="86" spans="2:22" ht="15.75" customHeight="1">
      <c r="B86" s="10" t="s">
        <v>732</v>
      </c>
      <c r="C86" s="8">
        <v>1.0999999999999999E-2</v>
      </c>
      <c r="D86" s="9" t="s">
        <v>33</v>
      </c>
      <c r="E86" s="10" t="s">
        <v>375</v>
      </c>
      <c r="F86" s="8">
        <v>9.7000000000000003E-3</v>
      </c>
      <c r="G86" s="9" t="s">
        <v>42</v>
      </c>
      <c r="H86" s="10"/>
      <c r="I86" s="8"/>
      <c r="J86" s="9"/>
      <c r="K86" s="10"/>
      <c r="L86" s="12"/>
      <c r="M86" s="9"/>
      <c r="N86" s="10"/>
      <c r="O86" s="8"/>
      <c r="P86" s="9"/>
      <c r="Q86" s="10"/>
      <c r="R86" s="12"/>
      <c r="S86" s="9"/>
      <c r="T86" s="10"/>
      <c r="U86" s="12"/>
      <c r="V86" s="9"/>
    </row>
    <row r="87" spans="2:22" ht="15.75" customHeight="1">
      <c r="B87" s="10" t="s">
        <v>41</v>
      </c>
      <c r="C87" s="8">
        <v>1.0999999999999999E-2</v>
      </c>
      <c r="D87" s="9" t="s">
        <v>42</v>
      </c>
      <c r="E87" s="10" t="s">
        <v>733</v>
      </c>
      <c r="F87" s="8">
        <v>3.8800000000000001E-2</v>
      </c>
      <c r="G87" s="9" t="s">
        <v>37</v>
      </c>
      <c r="H87" s="10"/>
      <c r="I87" s="8"/>
      <c r="J87" s="9"/>
      <c r="K87" s="10"/>
      <c r="L87" s="12"/>
      <c r="M87" s="9"/>
      <c r="N87" s="10"/>
      <c r="O87" s="8"/>
      <c r="P87" s="9"/>
      <c r="Q87" s="10"/>
      <c r="R87" s="12"/>
      <c r="S87" s="9"/>
      <c r="T87" s="10"/>
      <c r="U87" s="12"/>
      <c r="V87" s="9"/>
    </row>
    <row r="88" spans="2:22" ht="15.75" customHeight="1">
      <c r="B88" s="10" t="s">
        <v>697</v>
      </c>
      <c r="C88" s="8">
        <v>3.3000000000000002E-2</v>
      </c>
      <c r="D88" s="9" t="s">
        <v>27</v>
      </c>
      <c r="E88" s="10"/>
      <c r="F88" s="8"/>
      <c r="G88" s="9"/>
      <c r="H88" s="10"/>
      <c r="I88" s="8"/>
      <c r="J88" s="9"/>
      <c r="K88" s="10"/>
      <c r="L88" s="12"/>
      <c r="M88" s="9"/>
      <c r="N88" s="10"/>
      <c r="O88" s="8"/>
      <c r="P88" s="9"/>
      <c r="Q88" s="10"/>
      <c r="R88" s="12"/>
      <c r="S88" s="9"/>
      <c r="T88" s="10"/>
      <c r="U88" s="12"/>
      <c r="V88" s="9"/>
    </row>
    <row r="89" spans="2:22" ht="15.75" customHeight="1">
      <c r="B89" s="10" t="s">
        <v>734</v>
      </c>
      <c r="C89" s="8">
        <v>1.0999999999999999E-2</v>
      </c>
      <c r="D89" s="9" t="s">
        <v>27</v>
      </c>
      <c r="E89" s="10"/>
      <c r="F89" s="8"/>
      <c r="G89" s="9"/>
      <c r="H89" s="10"/>
      <c r="I89" s="12"/>
      <c r="J89" s="9"/>
      <c r="K89" s="10"/>
      <c r="L89" s="12"/>
      <c r="M89" s="9"/>
      <c r="N89" s="10"/>
      <c r="O89" s="8"/>
      <c r="P89" s="9"/>
      <c r="Q89" s="10"/>
      <c r="R89" s="12"/>
      <c r="S89" s="9"/>
      <c r="T89" s="10"/>
      <c r="U89" s="12"/>
      <c r="V89" s="9"/>
    </row>
    <row r="90" spans="2:22" ht="15.75" customHeight="1">
      <c r="B90" s="10" t="s">
        <v>735</v>
      </c>
      <c r="C90" s="8">
        <v>1.0999999999999999E-2</v>
      </c>
      <c r="D90" s="9" t="s">
        <v>27</v>
      </c>
      <c r="E90" s="10"/>
      <c r="F90" s="8"/>
      <c r="G90" s="9"/>
      <c r="H90" s="10"/>
      <c r="I90" s="12"/>
      <c r="J90" s="9"/>
      <c r="K90" s="10"/>
      <c r="L90" s="12"/>
      <c r="M90" s="9"/>
      <c r="N90" s="10"/>
      <c r="O90" s="8"/>
      <c r="P90" s="9"/>
      <c r="Q90" s="10"/>
      <c r="R90" s="12"/>
      <c r="S90" s="9"/>
      <c r="T90" s="10"/>
      <c r="U90" s="12"/>
      <c r="V90" s="9"/>
    </row>
    <row r="91" spans="2:22" ht="15.75" customHeight="1">
      <c r="B91" s="10"/>
      <c r="C91" s="12"/>
      <c r="D91" s="9"/>
      <c r="E91" s="10"/>
      <c r="F91" s="8"/>
      <c r="G91" s="9"/>
      <c r="H91" s="10"/>
      <c r="I91" s="12"/>
      <c r="J91" s="9"/>
      <c r="K91" s="10"/>
      <c r="L91" s="12"/>
      <c r="M91" s="9"/>
      <c r="N91" s="10"/>
      <c r="O91" s="12"/>
      <c r="P91" s="9"/>
      <c r="Q91" s="10"/>
      <c r="R91" s="12"/>
      <c r="S91" s="9"/>
      <c r="T91" s="10"/>
      <c r="U91" s="12"/>
      <c r="V91" s="9"/>
    </row>
    <row r="92" spans="2:22" ht="15.75" customHeight="1">
      <c r="B92" s="10"/>
      <c r="C92" s="12"/>
      <c r="D92" s="9"/>
      <c r="E92" s="10"/>
      <c r="F92" s="8"/>
      <c r="G92" s="9"/>
      <c r="H92" s="10"/>
      <c r="I92" s="12"/>
      <c r="J92" s="9"/>
      <c r="K92" s="10"/>
      <c r="L92" s="12"/>
      <c r="M92" s="9"/>
      <c r="N92" s="10"/>
      <c r="O92" s="12"/>
      <c r="P92" s="9"/>
      <c r="Q92" s="10"/>
      <c r="R92" s="12"/>
      <c r="S92" s="9"/>
      <c r="T92" s="10"/>
      <c r="U92" s="12"/>
      <c r="V92" s="9"/>
    </row>
    <row r="93" spans="2:22" ht="15.75" customHeight="1">
      <c r="B93" s="16"/>
      <c r="C93" s="17"/>
      <c r="D93" s="18"/>
      <c r="E93" s="16"/>
      <c r="F93" s="19"/>
      <c r="G93" s="18"/>
      <c r="H93" s="16"/>
      <c r="I93" s="17"/>
      <c r="J93" s="18"/>
      <c r="K93" s="16"/>
      <c r="L93" s="17"/>
      <c r="M93" s="18"/>
      <c r="N93" s="16"/>
      <c r="O93" s="17"/>
      <c r="P93" s="18"/>
      <c r="Q93" s="16"/>
      <c r="R93" s="17"/>
      <c r="S93" s="18"/>
      <c r="T93" s="16"/>
      <c r="U93" s="17"/>
      <c r="V93" s="18"/>
    </row>
    <row r="94" spans="2:22" ht="15.75" customHeight="1">
      <c r="B94" s="13"/>
      <c r="C94" s="14"/>
      <c r="D94" s="15"/>
      <c r="E94" s="13"/>
      <c r="F94" s="14"/>
      <c r="G94" s="15"/>
      <c r="H94" s="13"/>
      <c r="I94" s="14"/>
      <c r="J94" s="15"/>
      <c r="K94" s="13"/>
      <c r="L94" s="14"/>
      <c r="M94" s="15"/>
      <c r="N94" s="13"/>
      <c r="O94" s="14"/>
      <c r="P94" s="15"/>
      <c r="Q94" s="13"/>
      <c r="R94" s="14"/>
      <c r="S94" s="15"/>
      <c r="T94" s="13"/>
      <c r="U94" s="14"/>
      <c r="V94" s="15"/>
    </row>
    <row r="95" spans="2:22" ht="15.75" customHeight="1">
      <c r="B95" s="4" t="str">
        <f>IF(29&lt;=DAY(EOMONTH(DATE(2026,$C$1,1),0)),$C$1&amp;"월 29일","")</f>
        <v>7월 29일</v>
      </c>
      <c r="C95" s="5"/>
      <c r="D95" s="6"/>
      <c r="E95" s="4" t="str">
        <f>IF(30&lt;=DAY(EOMONTH(DATE(2026,$C$1,1),0)),$C$1&amp;"월 30일","")</f>
        <v>7월 30일</v>
      </c>
      <c r="F95" s="5"/>
      <c r="G95" s="6"/>
      <c r="H95" s="4" t="str">
        <f>IF(31&lt;=DAY(EOMONTH(DATE(2026,$C$1,1),0)),$C$1&amp;"월 31일","")</f>
        <v>7월 31일</v>
      </c>
      <c r="I95" s="5"/>
      <c r="J95" s="6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2:22" ht="15.75" customHeight="1">
      <c r="B96" s="10" t="s">
        <v>736</v>
      </c>
      <c r="C96" s="8">
        <v>1.41E-2</v>
      </c>
      <c r="D96" s="9" t="s">
        <v>37</v>
      </c>
      <c r="E96" s="10" t="s">
        <v>737</v>
      </c>
      <c r="F96" s="8">
        <v>2.5600000000000001E-2</v>
      </c>
      <c r="G96" s="9" t="s">
        <v>33</v>
      </c>
      <c r="H96" s="10" t="s">
        <v>30</v>
      </c>
      <c r="I96" s="8">
        <v>7.6899999999999996E-2</v>
      </c>
      <c r="J96" s="9" t="s">
        <v>37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2:22" ht="15.75" customHeight="1">
      <c r="B97" s="10" t="s">
        <v>30</v>
      </c>
      <c r="C97" s="8">
        <v>1.41E-2</v>
      </c>
      <c r="D97" s="9" t="s">
        <v>37</v>
      </c>
      <c r="E97" s="10" t="s">
        <v>30</v>
      </c>
      <c r="F97" s="8">
        <v>1.2800000000000001E-2</v>
      </c>
      <c r="G97" s="9" t="s">
        <v>37</v>
      </c>
      <c r="H97" s="10" t="s">
        <v>738</v>
      </c>
      <c r="I97" s="8">
        <v>3.85E-2</v>
      </c>
      <c r="J97" s="9" t="s">
        <v>42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2:22" ht="15.75" customHeight="1">
      <c r="B98" s="10" t="s">
        <v>83</v>
      </c>
      <c r="C98" s="8">
        <v>1.41E-2</v>
      </c>
      <c r="D98" s="9" t="s">
        <v>42</v>
      </c>
      <c r="E98" s="10" t="s">
        <v>658</v>
      </c>
      <c r="F98" s="8">
        <v>1.2800000000000001E-2</v>
      </c>
      <c r="G98" s="9" t="s">
        <v>27</v>
      </c>
      <c r="H98" s="10" t="s">
        <v>83</v>
      </c>
      <c r="I98" s="8">
        <v>3.85E-2</v>
      </c>
      <c r="J98" s="9" t="s">
        <v>42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2:22" ht="15.75" customHeight="1">
      <c r="B99" s="10" t="s">
        <v>739</v>
      </c>
      <c r="C99" s="8">
        <v>1.41E-2</v>
      </c>
      <c r="D99" s="9" t="s">
        <v>42</v>
      </c>
      <c r="E99" s="10" t="s">
        <v>740</v>
      </c>
      <c r="F99" s="8">
        <v>1.2800000000000001E-2</v>
      </c>
      <c r="G99" s="9" t="s">
        <v>37</v>
      </c>
      <c r="H99" s="10" t="s">
        <v>741</v>
      </c>
      <c r="I99" s="8">
        <v>3.85E-2</v>
      </c>
      <c r="J99" s="9" t="s">
        <v>42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2:22" ht="15.75" customHeight="1">
      <c r="B100" s="10" t="s">
        <v>742</v>
      </c>
      <c r="C100" s="8">
        <v>1.41E-2</v>
      </c>
      <c r="D100" s="9" t="s">
        <v>42</v>
      </c>
      <c r="E100" s="10" t="s">
        <v>296</v>
      </c>
      <c r="F100" s="8">
        <v>1.2800000000000001E-2</v>
      </c>
      <c r="G100" s="9" t="s">
        <v>42</v>
      </c>
      <c r="H100" s="10" t="s">
        <v>133</v>
      </c>
      <c r="I100" s="8">
        <v>3.85E-2</v>
      </c>
      <c r="J100" s="9" t="s">
        <v>42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2:22" ht="15.75" customHeight="1">
      <c r="B101" s="10" t="s">
        <v>30</v>
      </c>
      <c r="C101" s="8">
        <v>1.41E-2</v>
      </c>
      <c r="D101" s="9" t="s">
        <v>37</v>
      </c>
      <c r="E101" s="10" t="s">
        <v>30</v>
      </c>
      <c r="F101" s="8">
        <v>1.2800000000000001E-2</v>
      </c>
      <c r="G101" s="9" t="s">
        <v>37</v>
      </c>
      <c r="H101" s="10" t="s">
        <v>296</v>
      </c>
      <c r="I101" s="8">
        <v>3.85E-2</v>
      </c>
      <c r="J101" s="9" t="s">
        <v>42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2:22" ht="15.75" customHeight="1">
      <c r="B102" s="10" t="s">
        <v>423</v>
      </c>
      <c r="C102" s="8">
        <v>1.41E-2</v>
      </c>
      <c r="D102" s="9" t="s">
        <v>37</v>
      </c>
      <c r="E102" s="10" t="s">
        <v>743</v>
      </c>
      <c r="F102" s="8">
        <v>1.2800000000000001E-2</v>
      </c>
      <c r="G102" s="9" t="s">
        <v>37</v>
      </c>
      <c r="H102" s="10" t="s">
        <v>744</v>
      </c>
      <c r="I102" s="8">
        <v>3.85E-2</v>
      </c>
      <c r="J102" s="9" t="s">
        <v>33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2:22" ht="15.75" customHeight="1">
      <c r="B103" s="10" t="s">
        <v>69</v>
      </c>
      <c r="C103" s="8">
        <v>1.41E-2</v>
      </c>
      <c r="D103" s="9" t="s">
        <v>42</v>
      </c>
      <c r="E103" s="10" t="s">
        <v>30</v>
      </c>
      <c r="F103" s="8">
        <v>1.2800000000000001E-2</v>
      </c>
      <c r="G103" s="9" t="s">
        <v>37</v>
      </c>
      <c r="H103" s="10" t="s">
        <v>124</v>
      </c>
      <c r="I103" s="8">
        <v>3.85E-2</v>
      </c>
      <c r="J103" s="9" t="s">
        <v>33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2:22" ht="15.75" customHeight="1">
      <c r="B104" s="10"/>
      <c r="C104" s="8"/>
      <c r="D104" s="9"/>
      <c r="E104" s="10"/>
      <c r="F104" s="8"/>
      <c r="G104" s="9"/>
      <c r="H104" s="10" t="s">
        <v>41</v>
      </c>
      <c r="I104" s="8">
        <v>3.85E-2</v>
      </c>
      <c r="J104" s="9" t="s">
        <v>42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2:22" ht="15.75" customHeight="1">
      <c r="B105" s="10"/>
      <c r="C105" s="8"/>
      <c r="D105" s="9"/>
      <c r="E105" s="10"/>
      <c r="F105" s="8"/>
      <c r="G105" s="9"/>
      <c r="H105" s="10" t="s">
        <v>745</v>
      </c>
      <c r="I105" s="8">
        <v>3.85E-2</v>
      </c>
      <c r="J105" s="9" t="s">
        <v>27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2:22" ht="15.75" customHeight="1">
      <c r="B106" s="10"/>
      <c r="C106" s="8"/>
      <c r="D106" s="9"/>
      <c r="E106" s="10"/>
      <c r="F106" s="8"/>
      <c r="G106" s="9"/>
      <c r="H106" s="10"/>
      <c r="I106" s="12"/>
      <c r="J106" s="9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2:22" ht="15.75" customHeight="1">
      <c r="B107" s="10"/>
      <c r="C107" s="8"/>
      <c r="D107" s="9"/>
      <c r="E107" s="10"/>
      <c r="F107" s="8"/>
      <c r="G107" s="9"/>
      <c r="H107" s="10"/>
      <c r="I107" s="12"/>
      <c r="J107" s="9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2:22" ht="15.75" customHeight="1">
      <c r="B108" s="10"/>
      <c r="C108" s="8"/>
      <c r="D108" s="9"/>
      <c r="E108" s="10"/>
      <c r="F108" s="8"/>
      <c r="G108" s="9"/>
      <c r="H108" s="10"/>
      <c r="I108" s="12"/>
      <c r="J108" s="9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2:22" ht="15.75" customHeight="1">
      <c r="B109" s="10"/>
      <c r="C109" s="8"/>
      <c r="D109" s="9"/>
      <c r="E109" s="10"/>
      <c r="F109" s="8"/>
      <c r="G109" s="9"/>
      <c r="H109" s="10"/>
      <c r="I109" s="12"/>
      <c r="J109" s="9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2:22" ht="15.75" customHeight="1">
      <c r="B110" s="10"/>
      <c r="C110" s="8"/>
      <c r="D110" s="9"/>
      <c r="E110" s="10"/>
      <c r="F110" s="8"/>
      <c r="G110" s="9"/>
      <c r="H110" s="10"/>
      <c r="I110" s="12"/>
      <c r="J110" s="9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2:22" ht="15.75" customHeight="1">
      <c r="B111" s="10"/>
      <c r="C111" s="12"/>
      <c r="D111" s="9"/>
      <c r="E111" s="10"/>
      <c r="F111" s="8"/>
      <c r="G111" s="9"/>
      <c r="H111" s="10"/>
      <c r="I111" s="12"/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2:22" ht="15.75" customHeight="1">
      <c r="B112" s="10"/>
      <c r="C112" s="12"/>
      <c r="D112" s="9"/>
      <c r="E112" s="10"/>
      <c r="F112" s="8"/>
      <c r="G112" s="9"/>
      <c r="H112" s="10"/>
      <c r="I112" s="12"/>
      <c r="J112" s="9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2:22" ht="15.75" customHeight="1">
      <c r="B113" s="10"/>
      <c r="C113" s="12"/>
      <c r="D113" s="9"/>
      <c r="E113" s="10"/>
      <c r="F113" s="8"/>
      <c r="G113" s="9"/>
      <c r="H113" s="10"/>
      <c r="I113" s="12"/>
      <c r="J113" s="9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2:22" ht="15.75" customHeight="1">
      <c r="B114" s="10"/>
      <c r="C114" s="12"/>
      <c r="D114" s="9"/>
      <c r="E114" s="10"/>
      <c r="F114" s="8"/>
      <c r="G114" s="9"/>
      <c r="H114" s="10"/>
      <c r="I114" s="12"/>
      <c r="J114" s="9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2:22" ht="15.75" customHeight="1">
      <c r="B115" s="10"/>
      <c r="C115" s="12"/>
      <c r="D115" s="9"/>
      <c r="E115" s="10"/>
      <c r="F115" s="8"/>
      <c r="G115" s="9"/>
      <c r="H115" s="10"/>
      <c r="I115" s="12"/>
      <c r="J115" s="9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2:22" ht="15.75" customHeight="1">
      <c r="B116" s="13"/>
      <c r="C116" s="14"/>
      <c r="D116" s="15"/>
      <c r="E116" s="13"/>
      <c r="F116" s="14"/>
      <c r="G116" s="15"/>
      <c r="H116" s="13"/>
      <c r="I116" s="14"/>
      <c r="J116" s="15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</sheetData>
  <mergeCells count="1">
    <mergeCell ref="D1:V1"/>
  </mergeCells>
  <phoneticPr fontId="19" type="noConversion"/>
  <dataValidations count="2">
    <dataValidation type="list" sqref="C1">
      <formula1>"1,2,3,4,5,6,7,8,9,10,11,12"</formula1>
      <formula2>0</formula2>
    </dataValidation>
    <dataValidation type="list" allowBlank="1" sqref="D3:D136 G3:G136 J3:J136 M3:M136 P3:P136 S3:S136 V3:V136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zoomScaleNormal="100" workbookViewId="0">
      <selection activeCell="K16" sqref="K16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3.33203125" style="150" customWidth="1"/>
    <col min="5" max="5" width="20" style="150" customWidth="1"/>
    <col min="6" max="6" width="10" style="150" customWidth="1"/>
    <col min="7" max="7" width="3" style="150" customWidth="1"/>
    <col min="8" max="8" width="14.88671875" style="150" customWidth="1"/>
    <col min="11" max="11" width="52.5546875" style="150" customWidth="1"/>
  </cols>
  <sheetData>
    <row r="1" spans="2:14" ht="27.75" customHeight="1">
      <c r="B1" s="166" t="s">
        <v>5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2:14" ht="18.600000000000001" customHeight="1" thickBot="1"/>
    <row r="3" spans="2:14" ht="19.5" customHeight="1" thickBot="1">
      <c r="B3" s="164" t="s">
        <v>6</v>
      </c>
      <c r="C3" s="165"/>
      <c r="E3" s="164" t="s">
        <v>7</v>
      </c>
      <c r="F3" s="165"/>
      <c r="H3" s="164" t="s">
        <v>8</v>
      </c>
      <c r="I3" s="171"/>
      <c r="J3" s="171"/>
      <c r="K3" s="165"/>
      <c r="L3" s="44" t="s">
        <v>9</v>
      </c>
    </row>
    <row r="4" spans="2:14" ht="16.5" customHeight="1" thickBot="1">
      <c r="B4" s="21" t="s">
        <v>9</v>
      </c>
      <c r="C4" s="33">
        <v>1815</v>
      </c>
      <c r="E4" s="23" t="s">
        <v>189</v>
      </c>
      <c r="F4" s="34">
        <v>0.40329999999999999</v>
      </c>
      <c r="H4" s="29">
        <v>1</v>
      </c>
      <c r="I4" s="129" t="s">
        <v>204</v>
      </c>
      <c r="L4" s="47">
        <v>120</v>
      </c>
    </row>
    <row r="5" spans="2:14" ht="16.5" customHeight="1" thickBot="1">
      <c r="B5" s="7" t="s">
        <v>10</v>
      </c>
      <c r="C5" s="24">
        <v>787</v>
      </c>
      <c r="E5" s="10" t="s">
        <v>195</v>
      </c>
      <c r="F5" s="35">
        <v>0.13780000000000001</v>
      </c>
      <c r="H5" s="30">
        <v>2</v>
      </c>
      <c r="I5" s="127" t="s">
        <v>746</v>
      </c>
      <c r="L5" s="48">
        <v>113</v>
      </c>
    </row>
    <row r="6" spans="2:14" ht="16.5" customHeight="1" thickBot="1">
      <c r="B6" s="21" t="s">
        <v>11</v>
      </c>
      <c r="C6" s="33">
        <v>1015</v>
      </c>
      <c r="E6" s="23" t="s">
        <v>191</v>
      </c>
      <c r="F6" s="34">
        <v>0.13589999999999999</v>
      </c>
      <c r="H6" s="29">
        <v>3</v>
      </c>
      <c r="I6" s="127" t="s">
        <v>747</v>
      </c>
      <c r="L6" s="47">
        <v>104</v>
      </c>
    </row>
    <row r="7" spans="2:14" ht="16.5" customHeight="1" thickBot="1">
      <c r="B7" s="7" t="s">
        <v>12</v>
      </c>
      <c r="C7" s="35">
        <v>0.14899999999999999</v>
      </c>
      <c r="E7" s="10" t="s">
        <v>198</v>
      </c>
      <c r="F7" s="35">
        <v>0.104</v>
      </c>
      <c r="H7" s="30">
        <v>4</v>
      </c>
      <c r="I7" s="127" t="s">
        <v>748</v>
      </c>
      <c r="L7" s="48">
        <v>90</v>
      </c>
    </row>
    <row r="8" spans="2:14" ht="16.5" customHeight="1" thickBot="1">
      <c r="B8" s="25" t="s">
        <v>13</v>
      </c>
      <c r="C8" s="125" t="s">
        <v>749</v>
      </c>
      <c r="E8" s="27" t="s">
        <v>750</v>
      </c>
      <c r="F8" s="37">
        <v>0.06</v>
      </c>
      <c r="H8" s="29">
        <v>5</v>
      </c>
      <c r="I8" s="127" t="s">
        <v>202</v>
      </c>
      <c r="L8" s="47">
        <v>83</v>
      </c>
    </row>
    <row r="9" spans="2:14" ht="17.399999999999999" customHeight="1" thickBot="1">
      <c r="H9" s="30">
        <v>6</v>
      </c>
      <c r="I9" s="127" t="s">
        <v>200</v>
      </c>
      <c r="L9" s="48">
        <v>74</v>
      </c>
    </row>
    <row r="10" spans="2:14" ht="19.5" customHeight="1" thickBot="1">
      <c r="B10" s="164" t="s">
        <v>14</v>
      </c>
      <c r="C10" s="165"/>
      <c r="E10" s="164" t="s">
        <v>15</v>
      </c>
      <c r="F10" s="165"/>
      <c r="H10" s="29">
        <v>7</v>
      </c>
      <c r="I10" s="127" t="s">
        <v>751</v>
      </c>
      <c r="L10" s="47">
        <v>50</v>
      </c>
    </row>
    <row r="11" spans="2:14" ht="16.5" customHeight="1" thickBot="1">
      <c r="B11" s="10" t="s">
        <v>752</v>
      </c>
      <c r="C11" s="38">
        <v>2216</v>
      </c>
      <c r="E11" s="21" t="s">
        <v>16</v>
      </c>
      <c r="F11" s="34">
        <v>0.254</v>
      </c>
      <c r="H11" s="30">
        <v>7</v>
      </c>
      <c r="I11" s="127" t="s">
        <v>753</v>
      </c>
      <c r="L11" s="49">
        <v>36</v>
      </c>
    </row>
    <row r="12" spans="2:14" ht="19.2" customHeight="1" thickBot="1">
      <c r="B12" s="40" t="s">
        <v>446</v>
      </c>
      <c r="C12" s="41">
        <v>1835</v>
      </c>
      <c r="E12" s="13" t="s">
        <v>17</v>
      </c>
      <c r="F12" s="39">
        <v>0.746</v>
      </c>
      <c r="H12" s="29">
        <v>9</v>
      </c>
      <c r="I12" s="127" t="s">
        <v>754</v>
      </c>
      <c r="L12" s="50">
        <v>35</v>
      </c>
    </row>
    <row r="13" spans="2:14" ht="18" customHeight="1">
      <c r="B13" s="42">
        <v>2026.05</v>
      </c>
      <c r="C13" s="43">
        <v>1114</v>
      </c>
      <c r="E13" s="116"/>
      <c r="F13" s="117"/>
      <c r="H13" s="51">
        <v>10</v>
      </c>
      <c r="I13" s="127" t="s">
        <v>755</v>
      </c>
      <c r="L13" s="52">
        <v>34</v>
      </c>
    </row>
    <row r="14" spans="2:14" ht="19.5" customHeight="1" thickBot="1">
      <c r="B14" s="45">
        <v>2026.06</v>
      </c>
      <c r="C14" s="46">
        <v>1686</v>
      </c>
    </row>
    <row r="15" spans="2:14" ht="16.5" customHeight="1" thickBot="1">
      <c r="B15" s="27">
        <v>2026.07</v>
      </c>
      <c r="C15" s="33">
        <v>1815</v>
      </c>
      <c r="E15" s="164" t="s">
        <v>18</v>
      </c>
      <c r="F15" s="165"/>
    </row>
    <row r="16" spans="2:14" ht="16.5" customHeight="1" thickBot="1">
      <c r="E16" s="21" t="s">
        <v>756</v>
      </c>
      <c r="F16" s="22"/>
    </row>
    <row r="17" spans="2:6" ht="16.5" customHeight="1" thickBot="1">
      <c r="B17" s="164" t="s">
        <v>20</v>
      </c>
      <c r="C17" s="165"/>
      <c r="E17" s="114" t="s">
        <v>21</v>
      </c>
      <c r="F17" s="115"/>
    </row>
    <row r="18" spans="2:6" ht="16.5" customHeight="1">
      <c r="B18" s="23" t="s">
        <v>30</v>
      </c>
      <c r="C18" s="34">
        <v>0.14019999999999999</v>
      </c>
    </row>
    <row r="19" spans="2:6" ht="16.5" customHeight="1">
      <c r="B19" s="10" t="s">
        <v>83</v>
      </c>
      <c r="C19" s="35">
        <v>7.3599999999999999E-2</v>
      </c>
    </row>
    <row r="20" spans="2:6" ht="16.5" customHeight="1">
      <c r="B20" s="23" t="s">
        <v>41</v>
      </c>
      <c r="C20" s="34">
        <v>2.07E-2</v>
      </c>
    </row>
    <row r="21" spans="2:6" ht="16.5" customHeight="1">
      <c r="B21" s="10" t="s">
        <v>71</v>
      </c>
      <c r="C21" s="35">
        <v>1.84E-2</v>
      </c>
    </row>
    <row r="22" spans="2:6" ht="16.5" customHeight="1">
      <c r="B22" s="23" t="s">
        <v>334</v>
      </c>
      <c r="C22" s="34">
        <v>1.84E-2</v>
      </c>
    </row>
    <row r="23" spans="2:6" ht="16.5" customHeight="1">
      <c r="B23" s="10" t="s">
        <v>658</v>
      </c>
      <c r="C23" s="35">
        <v>1.61E-2</v>
      </c>
    </row>
    <row r="24" spans="2:6" ht="16.5" customHeight="1">
      <c r="B24" s="23" t="s">
        <v>612</v>
      </c>
      <c r="C24" s="34">
        <v>1.61E-2</v>
      </c>
    </row>
    <row r="25" spans="2:6" ht="16.5" customHeight="1">
      <c r="B25" s="10" t="s">
        <v>388</v>
      </c>
      <c r="C25" s="35">
        <v>1.61E-2</v>
      </c>
    </row>
    <row r="26" spans="2:6" ht="16.5" customHeight="1">
      <c r="B26" s="23" t="s">
        <v>291</v>
      </c>
      <c r="C26" s="34">
        <v>1.38E-2</v>
      </c>
    </row>
    <row r="27" spans="2:6" ht="16.5" customHeight="1" thickBot="1">
      <c r="B27" s="13" t="s">
        <v>697</v>
      </c>
      <c r="C27" s="39">
        <v>1.38E-2</v>
      </c>
    </row>
    <row r="28" spans="2:6" ht="15" customHeight="1">
      <c r="B28" s="131" t="s">
        <v>128</v>
      </c>
      <c r="C28" s="132">
        <v>1.38E-2</v>
      </c>
    </row>
  </sheetData>
  <mergeCells count="8">
    <mergeCell ref="B17:C17"/>
    <mergeCell ref="E3:F3"/>
    <mergeCell ref="E15:F15"/>
    <mergeCell ref="B1:N1"/>
    <mergeCell ref="H3:K3"/>
    <mergeCell ref="E10:F10"/>
    <mergeCell ref="B3:C3"/>
    <mergeCell ref="B10:C10"/>
  </mergeCells>
  <phoneticPr fontId="19" type="noConversion"/>
  <hyperlinks>
    <hyperlink ref="I4" r:id="rId1" display="https://blog.stat.naver.com/blog/article/224340024984/cv"/>
    <hyperlink ref="I5" r:id="rId2" display="https://blog.stat.naver.com/blog/article/224326696550/cv"/>
    <hyperlink ref="I6" r:id="rId3" display="https://blog.stat.naver.com/blog/article/224328204507/cv"/>
    <hyperlink ref="I7" r:id="rId4" display="https://blog.stat.naver.com/blog/article/224330876026/cv"/>
    <hyperlink ref="I8" r:id="rId5" display="https://blog.stat.naver.com/blog/article/224361394929/cv"/>
    <hyperlink ref="I9" r:id="rId6" display="https://blog.stat.naver.com/blog/article/224290016541/cv"/>
    <hyperlink ref="I10" r:id="rId7" display="https://blog.stat.naver.com/blog/article/224333246156/cv"/>
    <hyperlink ref="I11" r:id="rId8" display="https://blog.stat.naver.com/blog/article/224346471369/cv"/>
    <hyperlink ref="I12" r:id="rId9" display="https://blog.stat.naver.com/blog/article/224313089932/cv"/>
    <hyperlink ref="I13" r:id="rId10" display="https://blog.stat.naver.com/blog/article/224324845160/cv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5"/>
  <sheetViews>
    <sheetView zoomScaleNormal="100" workbookViewId="0">
      <selection activeCell="E31" sqref="E31"/>
    </sheetView>
  </sheetViews>
  <sheetFormatPr defaultColWidth="8.6640625" defaultRowHeight="14.4"/>
  <cols>
    <col min="1" max="1" width="16" style="150" customWidth="1"/>
    <col min="2" max="2" width="10" style="150" customWidth="1"/>
    <col min="3" max="3" width="46" style="150" customWidth="1"/>
    <col min="4" max="6" width="10" style="150" customWidth="1"/>
  </cols>
  <sheetData>
    <row r="1" spans="1:6" ht="19.5" customHeight="1">
      <c r="A1" s="1" t="s">
        <v>22</v>
      </c>
      <c r="B1" s="1" t="s">
        <v>23</v>
      </c>
      <c r="C1" s="1" t="s">
        <v>2</v>
      </c>
      <c r="D1" s="1" t="s">
        <v>24</v>
      </c>
      <c r="E1" s="1" t="s">
        <v>25</v>
      </c>
      <c r="F1" s="1" t="s">
        <v>4</v>
      </c>
    </row>
    <row r="2" spans="1:6" ht="15.75" customHeight="1">
      <c r="A2" s="137" t="s">
        <v>30</v>
      </c>
      <c r="B2" s="137" t="s">
        <v>757</v>
      </c>
      <c r="C2" s="137" t="s">
        <v>71</v>
      </c>
      <c r="D2" s="137" t="s">
        <v>489</v>
      </c>
      <c r="E2" s="137">
        <v>3</v>
      </c>
      <c r="F2" s="146" t="s">
        <v>27</v>
      </c>
    </row>
    <row r="3" spans="1:6" ht="15.75" customHeight="1">
      <c r="A3" s="137" t="s">
        <v>30</v>
      </c>
      <c r="B3" s="137" t="s">
        <v>757</v>
      </c>
      <c r="C3" s="137" t="s">
        <v>30</v>
      </c>
      <c r="D3" s="137" t="s">
        <v>521</v>
      </c>
      <c r="E3" s="137">
        <v>2</v>
      </c>
      <c r="F3" s="157" t="s">
        <v>37</v>
      </c>
    </row>
    <row r="4" spans="1:6" ht="15.75" customHeight="1">
      <c r="A4" s="137" t="s">
        <v>30</v>
      </c>
      <c r="B4" s="137" t="s">
        <v>757</v>
      </c>
      <c r="C4" s="137" t="s">
        <v>567</v>
      </c>
      <c r="D4" s="137" t="s">
        <v>490</v>
      </c>
      <c r="E4" s="137">
        <v>1</v>
      </c>
      <c r="F4" s="157" t="s">
        <v>37</v>
      </c>
    </row>
    <row r="5" spans="1:6" ht="15.75" customHeight="1">
      <c r="A5" s="137" t="s">
        <v>30</v>
      </c>
      <c r="B5" s="137" t="s">
        <v>757</v>
      </c>
      <c r="C5" s="137" t="s">
        <v>595</v>
      </c>
      <c r="D5" s="137" t="s">
        <v>490</v>
      </c>
      <c r="E5" s="137">
        <v>1</v>
      </c>
      <c r="F5" s="157" t="s">
        <v>37</v>
      </c>
    </row>
    <row r="6" spans="1:6" ht="15.75" customHeight="1">
      <c r="A6" s="137" t="s">
        <v>30</v>
      </c>
      <c r="B6" s="137" t="s">
        <v>757</v>
      </c>
      <c r="C6" s="137" t="s">
        <v>30</v>
      </c>
      <c r="D6" s="137" t="s">
        <v>490</v>
      </c>
      <c r="E6" s="137">
        <v>1</v>
      </c>
      <c r="F6" s="157" t="s">
        <v>37</v>
      </c>
    </row>
    <row r="7" spans="1:6" ht="15.75" customHeight="1">
      <c r="A7" s="137" t="s">
        <v>30</v>
      </c>
      <c r="B7" s="137" t="s">
        <v>758</v>
      </c>
      <c r="C7" s="137" t="s">
        <v>71</v>
      </c>
      <c r="D7" s="137" t="s">
        <v>759</v>
      </c>
      <c r="E7" s="137">
        <v>2</v>
      </c>
      <c r="F7" s="146" t="s">
        <v>27</v>
      </c>
    </row>
    <row r="8" spans="1:6" ht="15.75" customHeight="1">
      <c r="A8" s="137" t="s">
        <v>30</v>
      </c>
      <c r="B8" s="137" t="s">
        <v>758</v>
      </c>
      <c r="C8" s="137" t="s">
        <v>557</v>
      </c>
      <c r="D8" s="137" t="s">
        <v>760</v>
      </c>
      <c r="E8" s="137">
        <v>1</v>
      </c>
      <c r="F8" s="157" t="s">
        <v>37</v>
      </c>
    </row>
    <row r="9" spans="1:6" ht="15.75" customHeight="1">
      <c r="A9" s="137" t="s">
        <v>30</v>
      </c>
      <c r="B9" s="137" t="s">
        <v>758</v>
      </c>
      <c r="C9" s="137" t="s">
        <v>568</v>
      </c>
      <c r="D9" s="137" t="s">
        <v>760</v>
      </c>
      <c r="E9" s="137">
        <v>1</v>
      </c>
      <c r="F9" s="157" t="s">
        <v>37</v>
      </c>
    </row>
    <row r="10" spans="1:6" ht="15.75" customHeight="1">
      <c r="A10" s="137" t="s">
        <v>30</v>
      </c>
      <c r="B10" s="137" t="s">
        <v>758</v>
      </c>
      <c r="C10" s="137" t="s">
        <v>592</v>
      </c>
      <c r="D10" s="137" t="s">
        <v>760</v>
      </c>
      <c r="E10" s="137">
        <v>1</v>
      </c>
      <c r="F10" s="157" t="s">
        <v>37</v>
      </c>
    </row>
    <row r="11" spans="1:6" ht="15.75" customHeight="1">
      <c r="A11" s="137" t="s">
        <v>30</v>
      </c>
      <c r="B11" s="137" t="s">
        <v>761</v>
      </c>
      <c r="C11" s="137" t="s">
        <v>30</v>
      </c>
      <c r="D11" s="137" t="s">
        <v>452</v>
      </c>
      <c r="E11" s="137">
        <v>1</v>
      </c>
      <c r="F11" s="157" t="s">
        <v>37</v>
      </c>
    </row>
    <row r="12" spans="1:6" ht="15.75" customHeight="1">
      <c r="A12" s="137" t="s">
        <v>30</v>
      </c>
      <c r="B12" s="137" t="s">
        <v>762</v>
      </c>
      <c r="C12" s="137" t="s">
        <v>30</v>
      </c>
      <c r="D12" s="137" t="s">
        <v>763</v>
      </c>
      <c r="E12" s="137">
        <v>5</v>
      </c>
      <c r="F12" s="157" t="s">
        <v>37</v>
      </c>
    </row>
    <row r="13" spans="1:6" ht="15.75" customHeight="1">
      <c r="A13" s="137" t="s">
        <v>30</v>
      </c>
      <c r="B13" s="137" t="s">
        <v>762</v>
      </c>
      <c r="C13" s="137" t="s">
        <v>565</v>
      </c>
      <c r="D13" s="137" t="s">
        <v>764</v>
      </c>
      <c r="E13" s="137">
        <v>1</v>
      </c>
      <c r="F13" s="146" t="s">
        <v>27</v>
      </c>
    </row>
    <row r="14" spans="1:6" ht="15.75" customHeight="1">
      <c r="A14" s="137" t="s">
        <v>30</v>
      </c>
      <c r="B14" s="137" t="s">
        <v>762</v>
      </c>
      <c r="C14" s="137" t="s">
        <v>596</v>
      </c>
      <c r="D14" s="137" t="s">
        <v>764</v>
      </c>
      <c r="E14" s="137">
        <v>1</v>
      </c>
      <c r="F14" s="157" t="s">
        <v>37</v>
      </c>
    </row>
    <row r="15" spans="1:6" ht="15.75" customHeight="1">
      <c r="A15" s="137" t="s">
        <v>30</v>
      </c>
      <c r="B15" s="137" t="s">
        <v>765</v>
      </c>
      <c r="C15" s="137" t="s">
        <v>30</v>
      </c>
      <c r="D15" s="137" t="s">
        <v>766</v>
      </c>
      <c r="E15" s="137">
        <v>3</v>
      </c>
      <c r="F15" s="157" t="s">
        <v>37</v>
      </c>
    </row>
    <row r="16" spans="1:6" ht="15.75" customHeight="1">
      <c r="A16" s="137" t="s">
        <v>30</v>
      </c>
      <c r="B16" s="137" t="s">
        <v>765</v>
      </c>
      <c r="C16" s="137" t="s">
        <v>314</v>
      </c>
      <c r="D16" s="137" t="s">
        <v>767</v>
      </c>
      <c r="E16" s="137">
        <v>1</v>
      </c>
      <c r="F16" s="157" t="s">
        <v>37</v>
      </c>
    </row>
    <row r="17" spans="1:6" ht="15.75" customHeight="1">
      <c r="A17" s="137" t="s">
        <v>30</v>
      </c>
      <c r="B17" s="137" t="s">
        <v>765</v>
      </c>
      <c r="C17" s="137" t="s">
        <v>30</v>
      </c>
      <c r="D17" s="137" t="s">
        <v>767</v>
      </c>
      <c r="E17" s="137">
        <v>1</v>
      </c>
      <c r="F17" s="157" t="s">
        <v>37</v>
      </c>
    </row>
    <row r="18" spans="1:6" ht="15.75" customHeight="1">
      <c r="A18" s="137" t="s">
        <v>30</v>
      </c>
      <c r="B18" s="137" t="s">
        <v>765</v>
      </c>
      <c r="C18" s="137" t="s">
        <v>48</v>
      </c>
      <c r="D18" s="137" t="s">
        <v>767</v>
      </c>
      <c r="E18" s="137">
        <v>1</v>
      </c>
      <c r="F18" s="157" t="s">
        <v>37</v>
      </c>
    </row>
    <row r="19" spans="1:6" ht="15.75" customHeight="1">
      <c r="A19" s="137" t="s">
        <v>30</v>
      </c>
      <c r="B19" s="137" t="s">
        <v>765</v>
      </c>
      <c r="C19" s="137" t="s">
        <v>30</v>
      </c>
      <c r="D19" s="137" t="s">
        <v>768</v>
      </c>
      <c r="E19" s="137">
        <v>2</v>
      </c>
      <c r="F19" s="157" t="s">
        <v>37</v>
      </c>
    </row>
    <row r="20" spans="1:6" ht="15.75" customHeight="1">
      <c r="A20" s="137" t="s">
        <v>30</v>
      </c>
      <c r="B20" s="137" t="s">
        <v>765</v>
      </c>
      <c r="C20" s="137" t="s">
        <v>30</v>
      </c>
      <c r="D20" s="137" t="s">
        <v>768</v>
      </c>
      <c r="E20" s="137">
        <v>2</v>
      </c>
      <c r="F20" s="157" t="s">
        <v>37</v>
      </c>
    </row>
    <row r="21" spans="1:6" ht="15.75" customHeight="1">
      <c r="A21" s="137" t="s">
        <v>30</v>
      </c>
      <c r="B21" s="137" t="s">
        <v>769</v>
      </c>
      <c r="C21" s="137" t="s">
        <v>291</v>
      </c>
      <c r="D21" s="137" t="s">
        <v>770</v>
      </c>
      <c r="E21" s="137">
        <v>1</v>
      </c>
      <c r="F21" s="157" t="s">
        <v>37</v>
      </c>
    </row>
    <row r="22" spans="1:6" ht="15.75" customHeight="1">
      <c r="A22" s="137" t="s">
        <v>30</v>
      </c>
      <c r="B22" s="137" t="s">
        <v>769</v>
      </c>
      <c r="C22" s="137" t="s">
        <v>565</v>
      </c>
      <c r="D22" s="137" t="s">
        <v>770</v>
      </c>
      <c r="E22" s="137">
        <v>1</v>
      </c>
      <c r="F22" s="157" t="s">
        <v>37</v>
      </c>
    </row>
    <row r="23" spans="1:6" ht="15.75" customHeight="1">
      <c r="A23" s="137" t="s">
        <v>30</v>
      </c>
      <c r="B23" s="137" t="s">
        <v>769</v>
      </c>
      <c r="C23" s="137" t="s">
        <v>638</v>
      </c>
      <c r="D23" s="137" t="s">
        <v>770</v>
      </c>
      <c r="E23" s="137">
        <v>1</v>
      </c>
      <c r="F23" s="157" t="s">
        <v>37</v>
      </c>
    </row>
    <row r="24" spans="1:6" ht="15.75" customHeight="1">
      <c r="A24" s="137" t="s">
        <v>30</v>
      </c>
      <c r="B24" s="137" t="s">
        <v>771</v>
      </c>
      <c r="C24" s="137" t="s">
        <v>291</v>
      </c>
      <c r="D24" s="137" t="s">
        <v>228</v>
      </c>
      <c r="E24" s="137">
        <v>2</v>
      </c>
      <c r="F24" s="157" t="s">
        <v>37</v>
      </c>
    </row>
    <row r="25" spans="1:6" ht="15.75" customHeight="1">
      <c r="A25" s="137" t="s">
        <v>30</v>
      </c>
      <c r="B25" s="137" t="s">
        <v>771</v>
      </c>
      <c r="C25" s="137" t="s">
        <v>30</v>
      </c>
      <c r="D25" s="137" t="s">
        <v>228</v>
      </c>
      <c r="E25" s="137">
        <v>2</v>
      </c>
      <c r="F25" s="157" t="s">
        <v>37</v>
      </c>
    </row>
    <row r="26" spans="1:6" ht="15.75" customHeight="1">
      <c r="A26" s="137" t="s">
        <v>30</v>
      </c>
      <c r="B26" s="137" t="s">
        <v>771</v>
      </c>
      <c r="C26" s="137" t="s">
        <v>622</v>
      </c>
      <c r="D26" s="137" t="s">
        <v>229</v>
      </c>
      <c r="E26" s="137">
        <v>1</v>
      </c>
      <c r="F26" s="157" t="s">
        <v>37</v>
      </c>
    </row>
    <row r="27" spans="1:6" ht="15.75" customHeight="1">
      <c r="A27" s="137" t="s">
        <v>30</v>
      </c>
      <c r="B27" s="137" t="s">
        <v>771</v>
      </c>
      <c r="C27" s="137" t="s">
        <v>628</v>
      </c>
      <c r="D27" s="137" t="s">
        <v>229</v>
      </c>
      <c r="E27" s="137">
        <v>1</v>
      </c>
      <c r="F27" s="157" t="s">
        <v>37</v>
      </c>
    </row>
    <row r="28" spans="1:6" ht="15.75" customHeight="1">
      <c r="A28" s="137" t="s">
        <v>30</v>
      </c>
      <c r="B28" s="137" t="s">
        <v>771</v>
      </c>
      <c r="C28" s="137" t="s">
        <v>632</v>
      </c>
      <c r="D28" s="137" t="s">
        <v>228</v>
      </c>
      <c r="E28" s="137">
        <v>2</v>
      </c>
      <c r="F28" s="157" t="s">
        <v>37</v>
      </c>
    </row>
    <row r="29" spans="1:6" ht="15.75" customHeight="1">
      <c r="A29" s="137" t="s">
        <v>30</v>
      </c>
      <c r="B29" s="137" t="s">
        <v>771</v>
      </c>
      <c r="C29" s="137" t="s">
        <v>30</v>
      </c>
      <c r="D29" s="137" t="s">
        <v>229</v>
      </c>
      <c r="E29" s="137">
        <v>1</v>
      </c>
      <c r="F29" s="157" t="s">
        <v>37</v>
      </c>
    </row>
    <row r="30" spans="1:6" ht="15.75" customHeight="1">
      <c r="A30" s="137" t="s">
        <v>30</v>
      </c>
      <c r="B30" s="137" t="s">
        <v>772</v>
      </c>
      <c r="C30" s="137" t="s">
        <v>30</v>
      </c>
      <c r="D30" s="137" t="s">
        <v>773</v>
      </c>
      <c r="E30" s="137">
        <v>1</v>
      </c>
      <c r="F30" s="157" t="s">
        <v>37</v>
      </c>
    </row>
    <row r="31" spans="1:6" ht="15.75" customHeight="1">
      <c r="A31" s="137" t="s">
        <v>30</v>
      </c>
      <c r="B31" s="137" t="s">
        <v>772</v>
      </c>
      <c r="C31" s="137" t="s">
        <v>299</v>
      </c>
      <c r="D31" s="137" t="s">
        <v>773</v>
      </c>
      <c r="E31" s="137">
        <v>1</v>
      </c>
      <c r="F31" s="146" t="s">
        <v>27</v>
      </c>
    </row>
    <row r="32" spans="1:6">
      <c r="A32" s="139" t="s">
        <v>30</v>
      </c>
      <c r="B32" s="139" t="s">
        <v>774</v>
      </c>
      <c r="C32" s="139" t="s">
        <v>30</v>
      </c>
      <c r="D32" s="139" t="s">
        <v>275</v>
      </c>
      <c r="E32" s="139">
        <v>1</v>
      </c>
      <c r="F32" s="158" t="s">
        <v>37</v>
      </c>
    </row>
    <row r="33" spans="1:6">
      <c r="A33" s="139" t="s">
        <v>30</v>
      </c>
      <c r="B33" s="139" t="s">
        <v>774</v>
      </c>
      <c r="C33" s="139" t="s">
        <v>71</v>
      </c>
      <c r="D33" s="139" t="s">
        <v>275</v>
      </c>
      <c r="E33" s="139">
        <v>1</v>
      </c>
      <c r="F33" s="142" t="s">
        <v>27</v>
      </c>
    </row>
    <row r="34" spans="1:6">
      <c r="A34" s="139" t="s">
        <v>30</v>
      </c>
      <c r="B34" s="139" t="s">
        <v>775</v>
      </c>
      <c r="C34" s="139" t="s">
        <v>391</v>
      </c>
      <c r="D34" s="139" t="s">
        <v>272</v>
      </c>
      <c r="E34" s="139">
        <v>1</v>
      </c>
      <c r="F34" s="158" t="s">
        <v>37</v>
      </c>
    </row>
    <row r="35" spans="1:6">
      <c r="A35" s="139" t="s">
        <v>30</v>
      </c>
      <c r="B35" s="139" t="s">
        <v>776</v>
      </c>
      <c r="C35" s="139" t="s">
        <v>30</v>
      </c>
      <c r="D35" s="139" t="s">
        <v>223</v>
      </c>
      <c r="E35" s="139">
        <v>2</v>
      </c>
      <c r="F35" s="158" t="s">
        <v>37</v>
      </c>
    </row>
    <row r="36" spans="1:6">
      <c r="A36" s="139" t="s">
        <v>30</v>
      </c>
      <c r="B36" s="139" t="s">
        <v>776</v>
      </c>
      <c r="C36" s="139" t="s">
        <v>71</v>
      </c>
      <c r="D36" s="139" t="s">
        <v>223</v>
      </c>
      <c r="E36" s="139">
        <v>2</v>
      </c>
      <c r="F36" s="142" t="s">
        <v>27</v>
      </c>
    </row>
    <row r="37" spans="1:6">
      <c r="A37" s="139" t="s">
        <v>30</v>
      </c>
      <c r="B37" s="139" t="s">
        <v>776</v>
      </c>
      <c r="C37" s="139" t="s">
        <v>616</v>
      </c>
      <c r="D37" s="139" t="s">
        <v>224</v>
      </c>
      <c r="E37" s="139">
        <v>1</v>
      </c>
      <c r="F37" s="142" t="s">
        <v>27</v>
      </c>
    </row>
    <row r="38" spans="1:6">
      <c r="A38" s="139" t="s">
        <v>30</v>
      </c>
      <c r="B38" s="139" t="s">
        <v>776</v>
      </c>
      <c r="C38" s="139" t="s">
        <v>629</v>
      </c>
      <c r="D38" s="139" t="s">
        <v>224</v>
      </c>
      <c r="E38" s="139">
        <v>1</v>
      </c>
      <c r="F38" s="158" t="s">
        <v>37</v>
      </c>
    </row>
    <row r="39" spans="1:6">
      <c r="A39" s="139" t="s">
        <v>30</v>
      </c>
      <c r="B39" s="139" t="s">
        <v>776</v>
      </c>
      <c r="C39" s="139" t="s">
        <v>30</v>
      </c>
      <c r="D39" s="139" t="s">
        <v>224</v>
      </c>
      <c r="E39" s="139">
        <v>1</v>
      </c>
      <c r="F39" s="158" t="s">
        <v>37</v>
      </c>
    </row>
    <row r="40" spans="1:6">
      <c r="A40" s="139" t="s">
        <v>30</v>
      </c>
      <c r="B40" s="139" t="s">
        <v>776</v>
      </c>
      <c r="C40" s="139" t="s">
        <v>643</v>
      </c>
      <c r="D40" s="139" t="s">
        <v>224</v>
      </c>
      <c r="E40" s="139">
        <v>1</v>
      </c>
      <c r="F40" s="142" t="s">
        <v>27</v>
      </c>
    </row>
    <row r="41" spans="1:6">
      <c r="A41" s="139" t="s">
        <v>30</v>
      </c>
      <c r="B41" s="139" t="s">
        <v>776</v>
      </c>
      <c r="C41" s="139" t="s">
        <v>30</v>
      </c>
      <c r="D41" s="139" t="s">
        <v>224</v>
      </c>
      <c r="E41" s="139">
        <v>1</v>
      </c>
      <c r="F41" s="158" t="s">
        <v>37</v>
      </c>
    </row>
    <row r="42" spans="1:6">
      <c r="A42" s="139" t="s">
        <v>30</v>
      </c>
      <c r="B42" s="139" t="s">
        <v>777</v>
      </c>
      <c r="C42" s="139" t="s">
        <v>678</v>
      </c>
      <c r="D42" s="139" t="s">
        <v>778</v>
      </c>
      <c r="E42" s="139">
        <v>1</v>
      </c>
      <c r="F42" s="142" t="s">
        <v>27</v>
      </c>
    </row>
    <row r="43" spans="1:6">
      <c r="A43" s="139" t="s">
        <v>30</v>
      </c>
      <c r="B43" s="139" t="s">
        <v>777</v>
      </c>
      <c r="C43" s="139" t="s">
        <v>30</v>
      </c>
      <c r="D43" s="139" t="s">
        <v>778</v>
      </c>
      <c r="E43" s="139">
        <v>1</v>
      </c>
      <c r="F43" s="158" t="s">
        <v>37</v>
      </c>
    </row>
    <row r="44" spans="1:6">
      <c r="A44" s="139" t="s">
        <v>30</v>
      </c>
      <c r="B44" s="139" t="s">
        <v>779</v>
      </c>
      <c r="C44" s="139" t="s">
        <v>30</v>
      </c>
      <c r="D44" s="139" t="s">
        <v>506</v>
      </c>
      <c r="E44" s="139">
        <v>1</v>
      </c>
      <c r="F44" s="158" t="s">
        <v>37</v>
      </c>
    </row>
    <row r="45" spans="1:6">
      <c r="A45" s="139" t="s">
        <v>30</v>
      </c>
      <c r="B45" s="139" t="s">
        <v>779</v>
      </c>
      <c r="C45" s="139" t="s">
        <v>30</v>
      </c>
      <c r="D45" s="139" t="s">
        <v>506</v>
      </c>
      <c r="E45" s="139">
        <v>1</v>
      </c>
      <c r="F45" s="158" t="s">
        <v>37</v>
      </c>
    </row>
    <row r="46" spans="1:6">
      <c r="A46" s="139" t="s">
        <v>30</v>
      </c>
      <c r="B46" s="139" t="s">
        <v>779</v>
      </c>
      <c r="C46" s="139" t="s">
        <v>658</v>
      </c>
      <c r="D46" s="139" t="s">
        <v>506</v>
      </c>
      <c r="E46" s="139">
        <v>1</v>
      </c>
      <c r="F46" s="142" t="s">
        <v>27</v>
      </c>
    </row>
    <row r="47" spans="1:6">
      <c r="A47" s="139" t="s">
        <v>30</v>
      </c>
      <c r="B47" s="139" t="s">
        <v>780</v>
      </c>
      <c r="C47" s="139" t="s">
        <v>291</v>
      </c>
      <c r="D47" s="139" t="s">
        <v>214</v>
      </c>
      <c r="E47" s="139">
        <v>1</v>
      </c>
      <c r="F47" s="158" t="s">
        <v>37</v>
      </c>
    </row>
    <row r="48" spans="1:6">
      <c r="A48" s="139" t="s">
        <v>30</v>
      </c>
      <c r="B48" s="139" t="s">
        <v>780</v>
      </c>
      <c r="C48" s="139" t="s">
        <v>30</v>
      </c>
      <c r="D48" s="139" t="s">
        <v>214</v>
      </c>
      <c r="E48" s="139">
        <v>1</v>
      </c>
      <c r="F48" s="158" t="s">
        <v>37</v>
      </c>
    </row>
    <row r="49" spans="1:6">
      <c r="A49" s="139" t="s">
        <v>30</v>
      </c>
      <c r="B49" s="139" t="s">
        <v>780</v>
      </c>
      <c r="C49" s="139" t="s">
        <v>30</v>
      </c>
      <c r="D49" s="139" t="s">
        <v>214</v>
      </c>
      <c r="E49" s="139">
        <v>1</v>
      </c>
      <c r="F49" s="158" t="s">
        <v>37</v>
      </c>
    </row>
    <row r="50" spans="1:6">
      <c r="A50" s="139" t="s">
        <v>30</v>
      </c>
      <c r="B50" s="139" t="s">
        <v>781</v>
      </c>
      <c r="C50" s="139" t="s">
        <v>658</v>
      </c>
      <c r="D50" s="139" t="s">
        <v>455</v>
      </c>
      <c r="E50" s="139">
        <v>3</v>
      </c>
      <c r="F50" s="158" t="s">
        <v>37</v>
      </c>
    </row>
    <row r="51" spans="1:6">
      <c r="A51" s="139" t="s">
        <v>30</v>
      </c>
      <c r="B51" s="139" t="s">
        <v>781</v>
      </c>
      <c r="C51" s="139" t="s">
        <v>30</v>
      </c>
      <c r="D51" s="139" t="s">
        <v>453</v>
      </c>
      <c r="E51" s="139">
        <v>1</v>
      </c>
      <c r="F51" s="158" t="s">
        <v>37</v>
      </c>
    </row>
    <row r="52" spans="1:6">
      <c r="A52" s="139" t="s">
        <v>30</v>
      </c>
      <c r="B52" s="139" t="s">
        <v>781</v>
      </c>
      <c r="C52" s="139" t="s">
        <v>442</v>
      </c>
      <c r="D52" s="139" t="s">
        <v>453</v>
      </c>
      <c r="E52" s="139">
        <v>1</v>
      </c>
      <c r="F52" s="142" t="s">
        <v>27</v>
      </c>
    </row>
    <row r="53" spans="1:6">
      <c r="A53" s="139" t="s">
        <v>30</v>
      </c>
      <c r="B53" s="139" t="s">
        <v>781</v>
      </c>
      <c r="C53" s="139" t="s">
        <v>169</v>
      </c>
      <c r="D53" s="139" t="s">
        <v>453</v>
      </c>
      <c r="E53" s="139">
        <v>1</v>
      </c>
      <c r="F53" s="158" t="s">
        <v>37</v>
      </c>
    </row>
    <row r="54" spans="1:6">
      <c r="A54" s="139" t="s">
        <v>30</v>
      </c>
      <c r="B54" s="139" t="s">
        <v>781</v>
      </c>
      <c r="C54" s="139" t="s">
        <v>30</v>
      </c>
      <c r="D54" s="139" t="s">
        <v>453</v>
      </c>
      <c r="E54" s="139">
        <v>1</v>
      </c>
      <c r="F54" s="158" t="s">
        <v>37</v>
      </c>
    </row>
    <row r="55" spans="1:6">
      <c r="A55" s="139" t="s">
        <v>30</v>
      </c>
      <c r="B55" s="139" t="s">
        <v>782</v>
      </c>
      <c r="C55" s="139" t="s">
        <v>659</v>
      </c>
      <c r="D55" s="139" t="s">
        <v>502</v>
      </c>
      <c r="E55" s="139">
        <v>1</v>
      </c>
      <c r="F55" s="158" t="s">
        <v>37</v>
      </c>
    </row>
    <row r="56" spans="1:6">
      <c r="A56" s="139" t="s">
        <v>30</v>
      </c>
      <c r="B56" s="139" t="s">
        <v>783</v>
      </c>
      <c r="C56" s="139" t="s">
        <v>30</v>
      </c>
      <c r="D56" s="139" t="s">
        <v>543</v>
      </c>
      <c r="E56" s="139">
        <v>4</v>
      </c>
      <c r="F56" s="158" t="s">
        <v>37</v>
      </c>
    </row>
    <row r="57" spans="1:6">
      <c r="A57" s="139" t="s">
        <v>30</v>
      </c>
      <c r="B57" s="139" t="s">
        <v>783</v>
      </c>
      <c r="C57" s="139" t="s">
        <v>658</v>
      </c>
      <c r="D57" s="139" t="s">
        <v>784</v>
      </c>
      <c r="E57" s="139">
        <v>1</v>
      </c>
      <c r="F57" s="158" t="s">
        <v>37</v>
      </c>
    </row>
    <row r="58" spans="1:6">
      <c r="A58" s="139" t="s">
        <v>30</v>
      </c>
      <c r="B58" s="139" t="s">
        <v>783</v>
      </c>
      <c r="C58" s="139" t="s">
        <v>669</v>
      </c>
      <c r="D58" s="139" t="s">
        <v>784</v>
      </c>
      <c r="E58" s="139">
        <v>1</v>
      </c>
      <c r="F58" s="142" t="s">
        <v>27</v>
      </c>
    </row>
    <row r="59" spans="1:6">
      <c r="A59" s="139" t="s">
        <v>30</v>
      </c>
      <c r="B59" s="139" t="s">
        <v>783</v>
      </c>
      <c r="C59" s="139" t="s">
        <v>682</v>
      </c>
      <c r="D59" s="139" t="s">
        <v>784</v>
      </c>
      <c r="E59" s="139">
        <v>1</v>
      </c>
      <c r="F59" s="158" t="s">
        <v>37</v>
      </c>
    </row>
    <row r="60" spans="1:6">
      <c r="A60" s="139" t="s">
        <v>30</v>
      </c>
      <c r="B60" s="139" t="s">
        <v>785</v>
      </c>
      <c r="C60" s="139" t="s">
        <v>667</v>
      </c>
      <c r="D60" s="139" t="s">
        <v>786</v>
      </c>
      <c r="E60" s="139">
        <v>1</v>
      </c>
      <c r="F60" s="140" t="s">
        <v>33</v>
      </c>
    </row>
    <row r="61" spans="1:6">
      <c r="A61" s="139" t="s">
        <v>30</v>
      </c>
      <c r="B61" s="139" t="s">
        <v>785</v>
      </c>
      <c r="C61" s="139" t="s">
        <v>30</v>
      </c>
      <c r="D61" s="139" t="s">
        <v>786</v>
      </c>
      <c r="E61" s="139">
        <v>1</v>
      </c>
      <c r="F61" s="158" t="s">
        <v>37</v>
      </c>
    </row>
    <row r="62" spans="1:6">
      <c r="A62" s="139" t="s">
        <v>30</v>
      </c>
      <c r="B62" s="139" t="s">
        <v>785</v>
      </c>
      <c r="C62" s="139" t="s">
        <v>622</v>
      </c>
      <c r="D62" s="139" t="s">
        <v>786</v>
      </c>
      <c r="E62" s="139">
        <v>1</v>
      </c>
      <c r="F62" s="158" t="s">
        <v>37</v>
      </c>
    </row>
    <row r="63" spans="1:6">
      <c r="A63" s="139" t="s">
        <v>30</v>
      </c>
      <c r="B63" s="139" t="s">
        <v>785</v>
      </c>
      <c r="C63" s="139" t="s">
        <v>685</v>
      </c>
      <c r="D63" s="139" t="s">
        <v>786</v>
      </c>
      <c r="E63" s="139">
        <v>1</v>
      </c>
      <c r="F63" s="158" t="s">
        <v>37</v>
      </c>
    </row>
    <row r="64" spans="1:6">
      <c r="A64" s="139" t="s">
        <v>30</v>
      </c>
      <c r="B64" s="139" t="s">
        <v>785</v>
      </c>
      <c r="C64" s="139" t="s">
        <v>696</v>
      </c>
      <c r="D64" s="139" t="s">
        <v>786</v>
      </c>
      <c r="E64" s="139">
        <v>1</v>
      </c>
      <c r="F64" s="142" t="s">
        <v>27</v>
      </c>
    </row>
    <row r="65" spans="1:6">
      <c r="A65" s="139" t="s">
        <v>30</v>
      </c>
      <c r="B65" s="139" t="s">
        <v>785</v>
      </c>
      <c r="C65" s="139" t="s">
        <v>697</v>
      </c>
      <c r="D65" s="139" t="s">
        <v>787</v>
      </c>
      <c r="E65" s="139">
        <v>3</v>
      </c>
      <c r="F65" s="142" t="s">
        <v>27</v>
      </c>
    </row>
    <row r="66" spans="1:6">
      <c r="A66" s="139" t="s">
        <v>30</v>
      </c>
      <c r="B66" s="139" t="s">
        <v>788</v>
      </c>
      <c r="C66" s="139" t="s">
        <v>699</v>
      </c>
      <c r="D66" s="139" t="s">
        <v>789</v>
      </c>
      <c r="E66" s="139">
        <v>2</v>
      </c>
      <c r="F66" s="158" t="s">
        <v>37</v>
      </c>
    </row>
    <row r="67" spans="1:6">
      <c r="A67" s="139" t="s">
        <v>30</v>
      </c>
      <c r="B67" s="139" t="s">
        <v>788</v>
      </c>
      <c r="C67" s="139" t="s">
        <v>30</v>
      </c>
      <c r="D67" s="139" t="s">
        <v>789</v>
      </c>
      <c r="E67" s="139">
        <v>2</v>
      </c>
      <c r="F67" s="158" t="s">
        <v>37</v>
      </c>
    </row>
    <row r="68" spans="1:6">
      <c r="A68" s="139" t="s">
        <v>30</v>
      </c>
      <c r="B68" s="139" t="s">
        <v>788</v>
      </c>
      <c r="C68" s="139" t="s">
        <v>707</v>
      </c>
      <c r="D68" s="139" t="s">
        <v>789</v>
      </c>
      <c r="E68" s="139">
        <v>2</v>
      </c>
      <c r="F68" s="158" t="s">
        <v>37</v>
      </c>
    </row>
    <row r="69" spans="1:6">
      <c r="A69" s="139" t="s">
        <v>30</v>
      </c>
      <c r="B69" s="139" t="s">
        <v>788</v>
      </c>
      <c r="C69" s="139" t="s">
        <v>291</v>
      </c>
      <c r="D69" s="139" t="s">
        <v>790</v>
      </c>
      <c r="E69" s="139">
        <v>1</v>
      </c>
      <c r="F69" s="158" t="s">
        <v>37</v>
      </c>
    </row>
    <row r="70" spans="1:6">
      <c r="A70" s="139" t="s">
        <v>30</v>
      </c>
      <c r="B70" s="139" t="s">
        <v>788</v>
      </c>
      <c r="C70" s="139" t="s">
        <v>423</v>
      </c>
      <c r="D70" s="139" t="s">
        <v>790</v>
      </c>
      <c r="E70" s="139">
        <v>1</v>
      </c>
      <c r="F70" s="158" t="s">
        <v>37</v>
      </c>
    </row>
    <row r="71" spans="1:6">
      <c r="A71" s="139" t="s">
        <v>30</v>
      </c>
      <c r="B71" s="139" t="s">
        <v>788</v>
      </c>
      <c r="C71" s="139" t="s">
        <v>30</v>
      </c>
      <c r="D71" s="139" t="s">
        <v>791</v>
      </c>
      <c r="E71" s="139">
        <v>3</v>
      </c>
      <c r="F71" s="158" t="s">
        <v>37</v>
      </c>
    </row>
    <row r="72" spans="1:6">
      <c r="A72" s="139" t="s">
        <v>30</v>
      </c>
      <c r="B72" s="139" t="s">
        <v>788</v>
      </c>
      <c r="C72" s="139" t="s">
        <v>697</v>
      </c>
      <c r="D72" s="139" t="s">
        <v>791</v>
      </c>
      <c r="E72" s="139">
        <v>3</v>
      </c>
      <c r="F72" s="142" t="s">
        <v>27</v>
      </c>
    </row>
    <row r="73" spans="1:6">
      <c r="A73" s="139" t="s">
        <v>30</v>
      </c>
      <c r="B73" s="139" t="s">
        <v>788</v>
      </c>
      <c r="C73" s="139" t="s">
        <v>734</v>
      </c>
      <c r="D73" s="139" t="s">
        <v>790</v>
      </c>
      <c r="E73" s="139">
        <v>1</v>
      </c>
      <c r="F73" s="142" t="s">
        <v>27</v>
      </c>
    </row>
    <row r="74" spans="1:6">
      <c r="A74" s="139" t="s">
        <v>30</v>
      </c>
      <c r="B74" s="139" t="s">
        <v>788</v>
      </c>
      <c r="C74" s="139" t="s">
        <v>735</v>
      </c>
      <c r="D74" s="139" t="s">
        <v>790</v>
      </c>
      <c r="E74" s="139">
        <v>1</v>
      </c>
      <c r="F74" s="142" t="s">
        <v>27</v>
      </c>
    </row>
    <row r="75" spans="1:6">
      <c r="A75" s="139" t="s">
        <v>30</v>
      </c>
      <c r="B75" s="139" t="s">
        <v>792</v>
      </c>
      <c r="C75" s="139" t="s">
        <v>30</v>
      </c>
      <c r="D75" s="139" t="s">
        <v>793</v>
      </c>
      <c r="E75" s="139">
        <v>4</v>
      </c>
      <c r="F75" s="158" t="s">
        <v>37</v>
      </c>
    </row>
    <row r="76" spans="1:6">
      <c r="A76" s="139" t="s">
        <v>30</v>
      </c>
      <c r="B76" s="139" t="s">
        <v>792</v>
      </c>
      <c r="C76" s="139" t="s">
        <v>30</v>
      </c>
      <c r="D76" s="139" t="s">
        <v>531</v>
      </c>
      <c r="E76" s="139">
        <v>2</v>
      </c>
      <c r="F76" s="158" t="s">
        <v>37</v>
      </c>
    </row>
    <row r="77" spans="1:6">
      <c r="A77" s="139" t="s">
        <v>30</v>
      </c>
      <c r="B77" s="139" t="s">
        <v>792</v>
      </c>
      <c r="C77" s="139" t="s">
        <v>725</v>
      </c>
      <c r="D77" s="139" t="s">
        <v>531</v>
      </c>
      <c r="E77" s="139">
        <v>2</v>
      </c>
      <c r="F77" s="142" t="s">
        <v>27</v>
      </c>
    </row>
    <row r="78" spans="1:6">
      <c r="A78" s="139" t="s">
        <v>30</v>
      </c>
      <c r="B78" s="139" t="s">
        <v>792</v>
      </c>
      <c r="C78" s="139" t="s">
        <v>733</v>
      </c>
      <c r="D78" s="139" t="s">
        <v>793</v>
      </c>
      <c r="E78" s="139">
        <v>4</v>
      </c>
      <c r="F78" s="158" t="s">
        <v>37</v>
      </c>
    </row>
    <row r="79" spans="1:6">
      <c r="A79" s="139" t="s">
        <v>30</v>
      </c>
      <c r="B79" s="139" t="s">
        <v>794</v>
      </c>
      <c r="C79" s="139" t="s">
        <v>30</v>
      </c>
      <c r="D79" s="139" t="s">
        <v>256</v>
      </c>
      <c r="E79" s="139">
        <v>2</v>
      </c>
      <c r="F79" s="158" t="s">
        <v>37</v>
      </c>
    </row>
    <row r="80" spans="1:6">
      <c r="A80" s="139" t="s">
        <v>30</v>
      </c>
      <c r="B80" s="139" t="s">
        <v>794</v>
      </c>
      <c r="C80" s="139" t="s">
        <v>658</v>
      </c>
      <c r="D80" s="139" t="s">
        <v>237</v>
      </c>
      <c r="E80" s="139">
        <v>1</v>
      </c>
      <c r="F80" s="158" t="s">
        <v>37</v>
      </c>
    </row>
    <row r="81" spans="1:6">
      <c r="A81" s="139" t="s">
        <v>30</v>
      </c>
      <c r="B81" s="139" t="s">
        <v>794</v>
      </c>
      <c r="C81" s="139" t="s">
        <v>715</v>
      </c>
      <c r="D81" s="139" t="s">
        <v>237</v>
      </c>
      <c r="E81" s="139">
        <v>1</v>
      </c>
      <c r="F81" s="158" t="s">
        <v>37</v>
      </c>
    </row>
    <row r="82" spans="1:6">
      <c r="A82" s="139" t="s">
        <v>30</v>
      </c>
      <c r="B82" s="139" t="s">
        <v>794</v>
      </c>
      <c r="C82" s="139" t="s">
        <v>718</v>
      </c>
      <c r="D82" s="139" t="s">
        <v>237</v>
      </c>
      <c r="E82" s="139">
        <v>1</v>
      </c>
      <c r="F82" s="142" t="s">
        <v>27</v>
      </c>
    </row>
    <row r="83" spans="1:6">
      <c r="A83" s="139" t="s">
        <v>30</v>
      </c>
      <c r="B83" s="139" t="s">
        <v>794</v>
      </c>
      <c r="C83" s="139" t="s">
        <v>726</v>
      </c>
      <c r="D83" s="139" t="s">
        <v>237</v>
      </c>
      <c r="E83" s="139">
        <v>1</v>
      </c>
      <c r="F83" s="142" t="s">
        <v>27</v>
      </c>
    </row>
    <row r="84" spans="1:6">
      <c r="A84" s="139" t="s">
        <v>30</v>
      </c>
      <c r="B84" s="139" t="s">
        <v>794</v>
      </c>
      <c r="C84" s="139" t="s">
        <v>30</v>
      </c>
      <c r="D84" s="139" t="s">
        <v>237</v>
      </c>
      <c r="E84" s="139">
        <v>1</v>
      </c>
      <c r="F84" s="158" t="s">
        <v>37</v>
      </c>
    </row>
    <row r="85" spans="1:6">
      <c r="A85" s="139" t="s">
        <v>30</v>
      </c>
      <c r="B85" s="139" t="s">
        <v>795</v>
      </c>
      <c r="C85" s="139" t="s">
        <v>291</v>
      </c>
      <c r="D85" s="139" t="s">
        <v>241</v>
      </c>
      <c r="E85" s="139">
        <v>1</v>
      </c>
      <c r="F85" s="158" t="s">
        <v>37</v>
      </c>
    </row>
    <row r="86" spans="1:6">
      <c r="A86" s="139" t="s">
        <v>30</v>
      </c>
      <c r="B86" s="139" t="s">
        <v>795</v>
      </c>
      <c r="C86" s="139" t="s">
        <v>708</v>
      </c>
      <c r="D86" s="139" t="s">
        <v>241</v>
      </c>
      <c r="E86" s="139">
        <v>1</v>
      </c>
      <c r="F86" s="140" t="s">
        <v>33</v>
      </c>
    </row>
    <row r="87" spans="1:6">
      <c r="A87" s="139" t="s">
        <v>30</v>
      </c>
      <c r="B87" s="139" t="s">
        <v>796</v>
      </c>
      <c r="C87" s="139" t="s">
        <v>423</v>
      </c>
      <c r="D87" s="139" t="s">
        <v>797</v>
      </c>
      <c r="E87" s="139">
        <v>2</v>
      </c>
      <c r="F87" s="158" t="s">
        <v>37</v>
      </c>
    </row>
    <row r="88" spans="1:6">
      <c r="A88" s="139" t="s">
        <v>30</v>
      </c>
      <c r="B88" s="139" t="s">
        <v>798</v>
      </c>
      <c r="C88" s="139" t="s">
        <v>48</v>
      </c>
      <c r="D88" s="139" t="s">
        <v>237</v>
      </c>
      <c r="E88" s="139">
        <v>1</v>
      </c>
      <c r="F88" s="158" t="s">
        <v>37</v>
      </c>
    </row>
    <row r="89" spans="1:6">
      <c r="A89" s="139" t="s">
        <v>30</v>
      </c>
      <c r="B89" s="139" t="s">
        <v>798</v>
      </c>
      <c r="C89" s="139" t="s">
        <v>713</v>
      </c>
      <c r="D89" s="139" t="s">
        <v>237</v>
      </c>
      <c r="E89" s="139">
        <v>1</v>
      </c>
      <c r="F89" s="142" t="s">
        <v>27</v>
      </c>
    </row>
    <row r="90" spans="1:6">
      <c r="A90" s="139" t="s">
        <v>30</v>
      </c>
      <c r="B90" s="139" t="s">
        <v>798</v>
      </c>
      <c r="C90" s="139" t="s">
        <v>30</v>
      </c>
      <c r="D90" s="139" t="s">
        <v>237</v>
      </c>
      <c r="E90" s="139">
        <v>1</v>
      </c>
      <c r="F90" s="158" t="s">
        <v>37</v>
      </c>
    </row>
    <row r="91" spans="1:6">
      <c r="A91" s="139" t="s">
        <v>30</v>
      </c>
      <c r="B91" s="139" t="s">
        <v>799</v>
      </c>
      <c r="C91" s="139" t="s">
        <v>30</v>
      </c>
      <c r="D91" s="139" t="s">
        <v>260</v>
      </c>
      <c r="E91" s="139">
        <v>1</v>
      </c>
      <c r="F91" s="158" t="s">
        <v>37</v>
      </c>
    </row>
    <row r="92" spans="1:6">
      <c r="A92" s="139" t="s">
        <v>30</v>
      </c>
      <c r="B92" s="139" t="s">
        <v>800</v>
      </c>
      <c r="C92" s="139" t="s">
        <v>30</v>
      </c>
      <c r="D92" s="139" t="s">
        <v>258</v>
      </c>
      <c r="E92" s="139">
        <v>1</v>
      </c>
      <c r="F92" s="158" t="s">
        <v>37</v>
      </c>
    </row>
    <row r="93" spans="1:6">
      <c r="A93" s="139" t="s">
        <v>30</v>
      </c>
      <c r="B93" s="139" t="s">
        <v>800</v>
      </c>
      <c r="C93" s="139" t="s">
        <v>30</v>
      </c>
      <c r="D93" s="139" t="s">
        <v>258</v>
      </c>
      <c r="E93" s="139">
        <v>1</v>
      </c>
      <c r="F93" s="158" t="s">
        <v>37</v>
      </c>
    </row>
    <row r="94" spans="1:6">
      <c r="A94" s="139" t="s">
        <v>30</v>
      </c>
      <c r="B94" s="139" t="s">
        <v>800</v>
      </c>
      <c r="C94" s="139" t="s">
        <v>423</v>
      </c>
      <c r="D94" s="139" t="s">
        <v>258</v>
      </c>
      <c r="E94" s="139">
        <v>1</v>
      </c>
      <c r="F94" s="158" t="s">
        <v>37</v>
      </c>
    </row>
    <row r="95" spans="1:6">
      <c r="A95" s="139" t="s">
        <v>30</v>
      </c>
      <c r="B95" s="139" t="s">
        <v>801</v>
      </c>
      <c r="C95" s="139" t="s">
        <v>30</v>
      </c>
      <c r="D95" s="139" t="s">
        <v>802</v>
      </c>
      <c r="E95" s="139">
        <v>1</v>
      </c>
      <c r="F95" s="158" t="s">
        <v>37</v>
      </c>
    </row>
    <row r="96" spans="1:6">
      <c r="A96" s="139" t="s">
        <v>30</v>
      </c>
      <c r="B96" s="139" t="s">
        <v>801</v>
      </c>
      <c r="C96" s="139" t="s">
        <v>658</v>
      </c>
      <c r="D96" s="139" t="s">
        <v>802</v>
      </c>
      <c r="E96" s="139">
        <v>1</v>
      </c>
      <c r="F96" s="142" t="s">
        <v>27</v>
      </c>
    </row>
    <row r="97" spans="1:6">
      <c r="A97" s="139" t="s">
        <v>30</v>
      </c>
      <c r="B97" s="139" t="s">
        <v>801</v>
      </c>
      <c r="C97" s="139" t="s">
        <v>30</v>
      </c>
      <c r="D97" s="139" t="s">
        <v>802</v>
      </c>
      <c r="E97" s="139">
        <v>1</v>
      </c>
      <c r="F97" s="158" t="s">
        <v>37</v>
      </c>
    </row>
    <row r="98" spans="1:6">
      <c r="A98" s="139" t="s">
        <v>30</v>
      </c>
      <c r="B98" s="139" t="s">
        <v>801</v>
      </c>
      <c r="C98" s="139" t="s">
        <v>743</v>
      </c>
      <c r="D98" s="139" t="s">
        <v>802</v>
      </c>
      <c r="E98" s="139">
        <v>1</v>
      </c>
      <c r="F98" s="158" t="s">
        <v>37</v>
      </c>
    </row>
    <row r="99" spans="1:6">
      <c r="A99" s="139" t="s">
        <v>30</v>
      </c>
      <c r="B99" s="139" t="s">
        <v>801</v>
      </c>
      <c r="C99" s="139" t="s">
        <v>30</v>
      </c>
      <c r="D99" s="139" t="s">
        <v>802</v>
      </c>
      <c r="E99" s="139">
        <v>1</v>
      </c>
      <c r="F99" s="158" t="s">
        <v>37</v>
      </c>
    </row>
    <row r="100" spans="1:6">
      <c r="A100" s="139" t="s">
        <v>30</v>
      </c>
      <c r="B100" s="139" t="s">
        <v>803</v>
      </c>
      <c r="C100" s="139" t="s">
        <v>30</v>
      </c>
      <c r="D100" s="139" t="s">
        <v>804</v>
      </c>
      <c r="E100" s="139">
        <v>2</v>
      </c>
      <c r="F100" s="158" t="s">
        <v>37</v>
      </c>
    </row>
    <row r="101" spans="1:6">
      <c r="A101" s="139" t="s">
        <v>334</v>
      </c>
      <c r="B101" s="139" t="s">
        <v>757</v>
      </c>
      <c r="C101" s="139" t="s">
        <v>556</v>
      </c>
      <c r="D101" s="139" t="s">
        <v>490</v>
      </c>
      <c r="E101" s="139">
        <v>1</v>
      </c>
      <c r="F101" s="140" t="s">
        <v>33</v>
      </c>
    </row>
    <row r="102" spans="1:6">
      <c r="A102" s="139" t="s">
        <v>334</v>
      </c>
      <c r="B102" s="139" t="s">
        <v>757</v>
      </c>
      <c r="C102" s="139" t="s">
        <v>577</v>
      </c>
      <c r="D102" s="139" t="s">
        <v>490</v>
      </c>
      <c r="E102" s="139">
        <v>1</v>
      </c>
      <c r="F102" s="140" t="s">
        <v>33</v>
      </c>
    </row>
    <row r="103" spans="1:6">
      <c r="A103" s="139" t="s">
        <v>334</v>
      </c>
      <c r="B103" s="139" t="s">
        <v>757</v>
      </c>
      <c r="C103" s="139" t="s">
        <v>334</v>
      </c>
      <c r="D103" s="139" t="s">
        <v>490</v>
      </c>
      <c r="E103" s="139">
        <v>1</v>
      </c>
      <c r="F103" s="140" t="s">
        <v>33</v>
      </c>
    </row>
    <row r="104" spans="1:6">
      <c r="A104" s="139" t="s">
        <v>334</v>
      </c>
      <c r="B104" s="139" t="s">
        <v>757</v>
      </c>
      <c r="C104" s="139" t="s">
        <v>588</v>
      </c>
      <c r="D104" s="139" t="s">
        <v>490</v>
      </c>
      <c r="E104" s="139">
        <v>1</v>
      </c>
      <c r="F104" s="140" t="s">
        <v>33</v>
      </c>
    </row>
    <row r="105" spans="1:6">
      <c r="A105" s="139" t="s">
        <v>334</v>
      </c>
      <c r="B105" s="139" t="s">
        <v>758</v>
      </c>
      <c r="C105" s="139" t="s">
        <v>552</v>
      </c>
      <c r="D105" s="139" t="s">
        <v>759</v>
      </c>
      <c r="E105" s="139">
        <v>2</v>
      </c>
      <c r="F105" s="140" t="s">
        <v>33</v>
      </c>
    </row>
    <row r="106" spans="1:6">
      <c r="A106" s="139" t="s">
        <v>334</v>
      </c>
      <c r="B106" s="139" t="s">
        <v>758</v>
      </c>
      <c r="C106" s="139" t="s">
        <v>573</v>
      </c>
      <c r="D106" s="139" t="s">
        <v>760</v>
      </c>
      <c r="E106" s="139">
        <v>1</v>
      </c>
      <c r="F106" s="140" t="s">
        <v>33</v>
      </c>
    </row>
    <row r="107" spans="1:6">
      <c r="A107" s="139" t="s">
        <v>334</v>
      </c>
      <c r="B107" s="139" t="s">
        <v>758</v>
      </c>
      <c r="C107" s="139" t="s">
        <v>334</v>
      </c>
      <c r="D107" s="139" t="s">
        <v>760</v>
      </c>
      <c r="E107" s="139">
        <v>1</v>
      </c>
      <c r="F107" s="140" t="s">
        <v>33</v>
      </c>
    </row>
    <row r="108" spans="1:6">
      <c r="A108" s="139" t="s">
        <v>334</v>
      </c>
      <c r="B108" s="139" t="s">
        <v>758</v>
      </c>
      <c r="C108" s="139" t="s">
        <v>581</v>
      </c>
      <c r="D108" s="139" t="s">
        <v>760</v>
      </c>
      <c r="E108" s="139">
        <v>1</v>
      </c>
      <c r="F108" s="140" t="s">
        <v>33</v>
      </c>
    </row>
    <row r="109" spans="1:6">
      <c r="A109" s="139" t="s">
        <v>334</v>
      </c>
      <c r="B109" s="139" t="s">
        <v>761</v>
      </c>
      <c r="C109" s="139" t="s">
        <v>332</v>
      </c>
      <c r="D109" s="139" t="s">
        <v>452</v>
      </c>
      <c r="E109" s="139">
        <v>1</v>
      </c>
      <c r="F109" s="140" t="s">
        <v>33</v>
      </c>
    </row>
    <row r="110" spans="1:6">
      <c r="A110" s="139" t="s">
        <v>334</v>
      </c>
      <c r="B110" s="139" t="s">
        <v>805</v>
      </c>
      <c r="C110" s="139" t="s">
        <v>548</v>
      </c>
      <c r="D110" s="139" t="s">
        <v>218</v>
      </c>
      <c r="E110" s="139">
        <v>1</v>
      </c>
      <c r="F110" s="140" t="s">
        <v>33</v>
      </c>
    </row>
    <row r="111" spans="1:6">
      <c r="A111" s="139" t="s">
        <v>334</v>
      </c>
      <c r="B111" s="139" t="s">
        <v>805</v>
      </c>
      <c r="C111" s="139" t="s">
        <v>550</v>
      </c>
      <c r="D111" s="139" t="s">
        <v>218</v>
      </c>
      <c r="E111" s="139">
        <v>1</v>
      </c>
      <c r="F111" s="140" t="s">
        <v>33</v>
      </c>
    </row>
    <row r="112" spans="1:6">
      <c r="A112" s="139" t="s">
        <v>334</v>
      </c>
      <c r="B112" s="139" t="s">
        <v>806</v>
      </c>
      <c r="C112" s="139" t="s">
        <v>549</v>
      </c>
      <c r="D112" s="139" t="s">
        <v>270</v>
      </c>
      <c r="E112" s="139">
        <v>1</v>
      </c>
      <c r="F112" s="140" t="s">
        <v>33</v>
      </c>
    </row>
    <row r="113" spans="1:6">
      <c r="A113" s="139" t="s">
        <v>334</v>
      </c>
      <c r="B113" s="139" t="s">
        <v>806</v>
      </c>
      <c r="C113" s="139" t="s">
        <v>334</v>
      </c>
      <c r="D113" s="139" t="s">
        <v>270</v>
      </c>
      <c r="E113" s="139">
        <v>1</v>
      </c>
      <c r="F113" s="140" t="s">
        <v>33</v>
      </c>
    </row>
    <row r="114" spans="1:6">
      <c r="A114" s="139" t="s">
        <v>334</v>
      </c>
      <c r="B114" s="139" t="s">
        <v>806</v>
      </c>
      <c r="C114" s="139" t="s">
        <v>553</v>
      </c>
      <c r="D114" s="139" t="s">
        <v>270</v>
      </c>
      <c r="E114" s="139">
        <v>1</v>
      </c>
      <c r="F114" s="140" t="s">
        <v>33</v>
      </c>
    </row>
    <row r="115" spans="1:6">
      <c r="A115" s="139" t="s">
        <v>334</v>
      </c>
      <c r="B115" s="139" t="s">
        <v>806</v>
      </c>
      <c r="C115" s="139" t="s">
        <v>388</v>
      </c>
      <c r="D115" s="139" t="s">
        <v>270</v>
      </c>
      <c r="E115" s="139">
        <v>1</v>
      </c>
      <c r="F115" s="140" t="s">
        <v>33</v>
      </c>
    </row>
    <row r="116" spans="1:6">
      <c r="A116" s="139" t="s">
        <v>334</v>
      </c>
      <c r="B116" s="139" t="s">
        <v>762</v>
      </c>
      <c r="C116" s="139" t="s">
        <v>388</v>
      </c>
      <c r="D116" s="139" t="s">
        <v>249</v>
      </c>
      <c r="E116" s="139">
        <v>2</v>
      </c>
      <c r="F116" s="140" t="s">
        <v>33</v>
      </c>
    </row>
    <row r="117" spans="1:6">
      <c r="A117" s="139" t="s">
        <v>334</v>
      </c>
      <c r="B117" s="139" t="s">
        <v>762</v>
      </c>
      <c r="C117" s="139" t="s">
        <v>334</v>
      </c>
      <c r="D117" s="139" t="s">
        <v>249</v>
      </c>
      <c r="E117" s="139">
        <v>2</v>
      </c>
      <c r="F117" s="140" t="s">
        <v>33</v>
      </c>
    </row>
    <row r="118" spans="1:6">
      <c r="A118" s="139" t="s">
        <v>334</v>
      </c>
      <c r="B118" s="139" t="s">
        <v>762</v>
      </c>
      <c r="C118" s="139" t="s">
        <v>597</v>
      </c>
      <c r="D118" s="139" t="s">
        <v>764</v>
      </c>
      <c r="E118" s="139">
        <v>1</v>
      </c>
      <c r="F118" s="140" t="s">
        <v>33</v>
      </c>
    </row>
    <row r="119" spans="1:6">
      <c r="A119" s="139" t="s">
        <v>334</v>
      </c>
      <c r="B119" s="139" t="s">
        <v>762</v>
      </c>
      <c r="C119" s="139" t="s">
        <v>598</v>
      </c>
      <c r="D119" s="139" t="s">
        <v>764</v>
      </c>
      <c r="E119" s="139">
        <v>1</v>
      </c>
      <c r="F119" s="140" t="s">
        <v>33</v>
      </c>
    </row>
    <row r="120" spans="1:6">
      <c r="A120" s="139" t="s">
        <v>334</v>
      </c>
      <c r="B120" s="139" t="s">
        <v>762</v>
      </c>
      <c r="C120" s="139" t="s">
        <v>598</v>
      </c>
      <c r="D120" s="139" t="s">
        <v>764</v>
      </c>
      <c r="E120" s="139">
        <v>1</v>
      </c>
      <c r="F120" s="140" t="s">
        <v>33</v>
      </c>
    </row>
    <row r="121" spans="1:6">
      <c r="A121" s="139" t="s">
        <v>334</v>
      </c>
      <c r="B121" s="139" t="s">
        <v>807</v>
      </c>
      <c r="C121" s="139" t="s">
        <v>559</v>
      </c>
      <c r="D121" s="139" t="s">
        <v>808</v>
      </c>
      <c r="E121" s="139">
        <v>1</v>
      </c>
      <c r="F121" s="140" t="s">
        <v>33</v>
      </c>
    </row>
    <row r="122" spans="1:6">
      <c r="A122" s="139" t="s">
        <v>334</v>
      </c>
      <c r="B122" s="139" t="s">
        <v>765</v>
      </c>
      <c r="C122" s="139" t="s">
        <v>604</v>
      </c>
      <c r="D122" s="139" t="s">
        <v>767</v>
      </c>
      <c r="E122" s="139">
        <v>1</v>
      </c>
      <c r="F122" s="140" t="s">
        <v>33</v>
      </c>
    </row>
    <row r="123" spans="1:6">
      <c r="A123" s="139" t="s">
        <v>334</v>
      </c>
      <c r="B123" s="139" t="s">
        <v>765</v>
      </c>
      <c r="C123" s="139" t="s">
        <v>312</v>
      </c>
      <c r="D123" s="139" t="s">
        <v>767</v>
      </c>
      <c r="E123" s="139">
        <v>1</v>
      </c>
      <c r="F123" s="140" t="s">
        <v>33</v>
      </c>
    </row>
    <row r="124" spans="1:6">
      <c r="A124" s="139" t="s">
        <v>334</v>
      </c>
      <c r="B124" s="139" t="s">
        <v>765</v>
      </c>
      <c r="C124" s="139" t="s">
        <v>637</v>
      </c>
      <c r="D124" s="139" t="s">
        <v>767</v>
      </c>
      <c r="E124" s="139">
        <v>1</v>
      </c>
      <c r="F124" s="140" t="s">
        <v>33</v>
      </c>
    </row>
    <row r="125" spans="1:6">
      <c r="A125" s="139" t="s">
        <v>334</v>
      </c>
      <c r="B125" s="139" t="s">
        <v>765</v>
      </c>
      <c r="C125" s="139" t="s">
        <v>286</v>
      </c>
      <c r="D125" s="139" t="s">
        <v>767</v>
      </c>
      <c r="E125" s="139">
        <v>1</v>
      </c>
      <c r="F125" s="140" t="s">
        <v>33</v>
      </c>
    </row>
    <row r="126" spans="1:6">
      <c r="A126" s="139" t="s">
        <v>334</v>
      </c>
      <c r="B126" s="139" t="s">
        <v>765</v>
      </c>
      <c r="C126" s="139" t="s">
        <v>644</v>
      </c>
      <c r="D126" s="139" t="s">
        <v>767</v>
      </c>
      <c r="E126" s="139">
        <v>1</v>
      </c>
      <c r="F126" s="140" t="s">
        <v>33</v>
      </c>
    </row>
    <row r="127" spans="1:6">
      <c r="A127" s="139" t="s">
        <v>334</v>
      </c>
      <c r="B127" s="139" t="s">
        <v>765</v>
      </c>
      <c r="C127" s="139" t="s">
        <v>334</v>
      </c>
      <c r="D127" s="139" t="s">
        <v>767</v>
      </c>
      <c r="E127" s="139">
        <v>1</v>
      </c>
      <c r="F127" s="140" t="s">
        <v>33</v>
      </c>
    </row>
    <row r="128" spans="1:6">
      <c r="A128" s="139" t="s">
        <v>334</v>
      </c>
      <c r="B128" s="139" t="s">
        <v>765</v>
      </c>
      <c r="C128" s="139" t="s">
        <v>588</v>
      </c>
      <c r="D128" s="139" t="s">
        <v>767</v>
      </c>
      <c r="E128" s="139">
        <v>1</v>
      </c>
      <c r="F128" s="140" t="s">
        <v>33</v>
      </c>
    </row>
    <row r="129" spans="1:6">
      <c r="A129" s="139" t="s">
        <v>334</v>
      </c>
      <c r="B129" s="139" t="s">
        <v>769</v>
      </c>
      <c r="C129" s="139" t="s">
        <v>605</v>
      </c>
      <c r="D129" s="139" t="s">
        <v>770</v>
      </c>
      <c r="E129" s="139">
        <v>1</v>
      </c>
      <c r="F129" s="140" t="s">
        <v>33</v>
      </c>
    </row>
    <row r="130" spans="1:6">
      <c r="A130" s="139" t="s">
        <v>334</v>
      </c>
      <c r="B130" s="139" t="s">
        <v>769</v>
      </c>
      <c r="C130" s="139" t="s">
        <v>608</v>
      </c>
      <c r="D130" s="139" t="s">
        <v>770</v>
      </c>
      <c r="E130" s="139">
        <v>1</v>
      </c>
      <c r="F130" s="140" t="s">
        <v>33</v>
      </c>
    </row>
    <row r="131" spans="1:6">
      <c r="A131" s="139" t="s">
        <v>334</v>
      </c>
      <c r="B131" s="139" t="s">
        <v>769</v>
      </c>
      <c r="C131" s="139" t="s">
        <v>617</v>
      </c>
      <c r="D131" s="139" t="s">
        <v>770</v>
      </c>
      <c r="E131" s="139">
        <v>1</v>
      </c>
      <c r="F131" s="140" t="s">
        <v>33</v>
      </c>
    </row>
    <row r="132" spans="1:6">
      <c r="A132" s="139" t="s">
        <v>334</v>
      </c>
      <c r="B132" s="139" t="s">
        <v>769</v>
      </c>
      <c r="C132" s="139" t="s">
        <v>625</v>
      </c>
      <c r="D132" s="139" t="s">
        <v>770</v>
      </c>
      <c r="E132" s="139">
        <v>1</v>
      </c>
      <c r="F132" s="140" t="s">
        <v>33</v>
      </c>
    </row>
    <row r="133" spans="1:6">
      <c r="A133" s="139" t="s">
        <v>334</v>
      </c>
      <c r="B133" s="139" t="s">
        <v>771</v>
      </c>
      <c r="C133" s="139" t="s">
        <v>618</v>
      </c>
      <c r="D133" s="139" t="s">
        <v>229</v>
      </c>
      <c r="E133" s="139">
        <v>1</v>
      </c>
      <c r="F133" s="140" t="s">
        <v>33</v>
      </c>
    </row>
    <row r="134" spans="1:6">
      <c r="A134" s="139" t="s">
        <v>334</v>
      </c>
      <c r="B134" s="139" t="s">
        <v>771</v>
      </c>
      <c r="C134" s="139" t="s">
        <v>639</v>
      </c>
      <c r="D134" s="139" t="s">
        <v>229</v>
      </c>
      <c r="E134" s="139">
        <v>1</v>
      </c>
      <c r="F134" s="140" t="s">
        <v>33</v>
      </c>
    </row>
    <row r="135" spans="1:6">
      <c r="A135" s="139" t="s">
        <v>334</v>
      </c>
      <c r="B135" s="139" t="s">
        <v>771</v>
      </c>
      <c r="C135" s="139" t="s">
        <v>640</v>
      </c>
      <c r="D135" s="139" t="s">
        <v>229</v>
      </c>
      <c r="E135" s="139">
        <v>1</v>
      </c>
      <c r="F135" s="140" t="s">
        <v>33</v>
      </c>
    </row>
    <row r="136" spans="1:6">
      <c r="A136" s="139" t="s">
        <v>334</v>
      </c>
      <c r="B136" s="139" t="s">
        <v>771</v>
      </c>
      <c r="C136" s="139" t="s">
        <v>619</v>
      </c>
      <c r="D136" s="139" t="s">
        <v>229</v>
      </c>
      <c r="E136" s="139">
        <v>1</v>
      </c>
      <c r="F136" s="140" t="s">
        <v>33</v>
      </c>
    </row>
    <row r="137" spans="1:6">
      <c r="A137" s="139" t="s">
        <v>334</v>
      </c>
      <c r="B137" s="139" t="s">
        <v>771</v>
      </c>
      <c r="C137" s="139" t="s">
        <v>293</v>
      </c>
      <c r="D137" s="139" t="s">
        <v>229</v>
      </c>
      <c r="E137" s="139">
        <v>1</v>
      </c>
      <c r="F137" s="140" t="s">
        <v>33</v>
      </c>
    </row>
    <row r="138" spans="1:6">
      <c r="A138" s="139" t="s">
        <v>334</v>
      </c>
      <c r="B138" s="139" t="s">
        <v>771</v>
      </c>
      <c r="C138" s="139" t="s">
        <v>650</v>
      </c>
      <c r="D138" s="139" t="s">
        <v>229</v>
      </c>
      <c r="E138" s="139">
        <v>1</v>
      </c>
      <c r="F138" s="140" t="s">
        <v>33</v>
      </c>
    </row>
    <row r="139" spans="1:6">
      <c r="A139" s="139" t="s">
        <v>334</v>
      </c>
      <c r="B139" s="139" t="s">
        <v>772</v>
      </c>
      <c r="C139" s="139" t="s">
        <v>294</v>
      </c>
      <c r="D139" s="139" t="s">
        <v>454</v>
      </c>
      <c r="E139" s="139">
        <v>3</v>
      </c>
      <c r="F139" s="140" t="s">
        <v>33</v>
      </c>
    </row>
    <row r="140" spans="1:6">
      <c r="A140" s="139" t="s">
        <v>334</v>
      </c>
      <c r="B140" s="139" t="s">
        <v>772</v>
      </c>
      <c r="C140" s="139" t="s">
        <v>388</v>
      </c>
      <c r="D140" s="139" t="s">
        <v>454</v>
      </c>
      <c r="E140" s="139">
        <v>3</v>
      </c>
      <c r="F140" s="140" t="s">
        <v>33</v>
      </c>
    </row>
    <row r="141" spans="1:6">
      <c r="A141" s="139" t="s">
        <v>334</v>
      </c>
      <c r="B141" s="139" t="s">
        <v>772</v>
      </c>
      <c r="C141" s="139" t="s">
        <v>610</v>
      </c>
      <c r="D141" s="139" t="s">
        <v>773</v>
      </c>
      <c r="E141" s="139">
        <v>1</v>
      </c>
      <c r="F141" s="140" t="s">
        <v>33</v>
      </c>
    </row>
    <row r="142" spans="1:6">
      <c r="A142" s="139" t="s">
        <v>334</v>
      </c>
      <c r="B142" s="139" t="s">
        <v>772</v>
      </c>
      <c r="C142" s="139" t="s">
        <v>286</v>
      </c>
      <c r="D142" s="139" t="s">
        <v>773</v>
      </c>
      <c r="E142" s="139">
        <v>1</v>
      </c>
      <c r="F142" s="140" t="s">
        <v>33</v>
      </c>
    </row>
    <row r="143" spans="1:6">
      <c r="A143" s="139" t="s">
        <v>334</v>
      </c>
      <c r="B143" s="139" t="s">
        <v>772</v>
      </c>
      <c r="C143" s="139" t="s">
        <v>619</v>
      </c>
      <c r="D143" s="139" t="s">
        <v>773</v>
      </c>
      <c r="E143" s="139">
        <v>1</v>
      </c>
      <c r="F143" s="140" t="s">
        <v>33</v>
      </c>
    </row>
    <row r="144" spans="1:6">
      <c r="A144" s="139" t="s">
        <v>334</v>
      </c>
      <c r="B144" s="139" t="s">
        <v>772</v>
      </c>
      <c r="C144" s="139" t="s">
        <v>626</v>
      </c>
      <c r="D144" s="139" t="s">
        <v>773</v>
      </c>
      <c r="E144" s="139">
        <v>1</v>
      </c>
      <c r="F144" s="140" t="s">
        <v>33</v>
      </c>
    </row>
    <row r="145" spans="1:6">
      <c r="A145" s="139" t="s">
        <v>334</v>
      </c>
      <c r="B145" s="139" t="s">
        <v>774</v>
      </c>
      <c r="C145" s="139" t="s">
        <v>620</v>
      </c>
      <c r="D145" s="139" t="s">
        <v>275</v>
      </c>
      <c r="E145" s="139">
        <v>1</v>
      </c>
      <c r="F145" s="140" t="s">
        <v>33</v>
      </c>
    </row>
    <row r="146" spans="1:6">
      <c r="A146" s="139" t="s">
        <v>334</v>
      </c>
      <c r="B146" s="139" t="s">
        <v>774</v>
      </c>
      <c r="C146" s="139" t="s">
        <v>623</v>
      </c>
      <c r="D146" s="139" t="s">
        <v>275</v>
      </c>
      <c r="E146" s="139">
        <v>1</v>
      </c>
      <c r="F146" s="140" t="s">
        <v>33</v>
      </c>
    </row>
    <row r="147" spans="1:6">
      <c r="A147" s="139" t="s">
        <v>334</v>
      </c>
      <c r="B147" s="139" t="s">
        <v>774</v>
      </c>
      <c r="C147" s="139" t="s">
        <v>334</v>
      </c>
      <c r="D147" s="139" t="s">
        <v>275</v>
      </c>
      <c r="E147" s="139">
        <v>1</v>
      </c>
      <c r="F147" s="140" t="s">
        <v>33</v>
      </c>
    </row>
    <row r="148" spans="1:6">
      <c r="A148" s="139" t="s">
        <v>334</v>
      </c>
      <c r="B148" s="139" t="s">
        <v>774</v>
      </c>
      <c r="C148" s="139" t="s">
        <v>634</v>
      </c>
      <c r="D148" s="139" t="s">
        <v>809</v>
      </c>
      <c r="E148" s="139">
        <v>2</v>
      </c>
      <c r="F148" s="140" t="s">
        <v>33</v>
      </c>
    </row>
    <row r="149" spans="1:6">
      <c r="A149" s="139" t="s">
        <v>334</v>
      </c>
      <c r="B149" s="139" t="s">
        <v>774</v>
      </c>
      <c r="C149" s="139" t="s">
        <v>641</v>
      </c>
      <c r="D149" s="139" t="s">
        <v>275</v>
      </c>
      <c r="E149" s="139">
        <v>1</v>
      </c>
      <c r="F149" s="140" t="s">
        <v>33</v>
      </c>
    </row>
    <row r="150" spans="1:6">
      <c r="A150" s="139" t="s">
        <v>334</v>
      </c>
      <c r="B150" s="139" t="s">
        <v>775</v>
      </c>
      <c r="C150" s="139" t="s">
        <v>600</v>
      </c>
      <c r="D150" s="139" t="s">
        <v>276</v>
      </c>
      <c r="E150" s="139">
        <v>3</v>
      </c>
      <c r="F150" s="140" t="s">
        <v>33</v>
      </c>
    </row>
    <row r="151" spans="1:6">
      <c r="A151" s="139" t="s">
        <v>334</v>
      </c>
      <c r="B151" s="139" t="s">
        <v>775</v>
      </c>
      <c r="C151" s="139" t="s">
        <v>603</v>
      </c>
      <c r="D151" s="139" t="s">
        <v>500</v>
      </c>
      <c r="E151" s="139">
        <v>2</v>
      </c>
      <c r="F151" s="140" t="s">
        <v>33</v>
      </c>
    </row>
    <row r="152" spans="1:6">
      <c r="A152" s="139" t="s">
        <v>334</v>
      </c>
      <c r="B152" s="139" t="s">
        <v>775</v>
      </c>
      <c r="C152" s="139" t="s">
        <v>607</v>
      </c>
      <c r="D152" s="139" t="s">
        <v>272</v>
      </c>
      <c r="E152" s="139">
        <v>1</v>
      </c>
      <c r="F152" s="140" t="s">
        <v>33</v>
      </c>
    </row>
    <row r="153" spans="1:6">
      <c r="A153" s="139" t="s">
        <v>334</v>
      </c>
      <c r="B153" s="139" t="s">
        <v>775</v>
      </c>
      <c r="C153" s="139" t="s">
        <v>624</v>
      </c>
      <c r="D153" s="139" t="s">
        <v>272</v>
      </c>
      <c r="E153" s="139">
        <v>1</v>
      </c>
      <c r="F153" s="140" t="s">
        <v>33</v>
      </c>
    </row>
    <row r="154" spans="1:6">
      <c r="A154" s="139" t="s">
        <v>334</v>
      </c>
      <c r="B154" s="139" t="s">
        <v>775</v>
      </c>
      <c r="C154" s="139" t="s">
        <v>627</v>
      </c>
      <c r="D154" s="139" t="s">
        <v>272</v>
      </c>
      <c r="E154" s="139">
        <v>1</v>
      </c>
      <c r="F154" s="140" t="s">
        <v>33</v>
      </c>
    </row>
    <row r="155" spans="1:6">
      <c r="A155" s="139" t="s">
        <v>334</v>
      </c>
      <c r="B155" s="139" t="s">
        <v>775</v>
      </c>
      <c r="C155" s="139" t="s">
        <v>635</v>
      </c>
      <c r="D155" s="139" t="s">
        <v>272</v>
      </c>
      <c r="E155" s="139">
        <v>1</v>
      </c>
      <c r="F155" s="140" t="s">
        <v>33</v>
      </c>
    </row>
    <row r="156" spans="1:6">
      <c r="A156" s="139" t="s">
        <v>334</v>
      </c>
      <c r="B156" s="139" t="s">
        <v>775</v>
      </c>
      <c r="C156" s="139" t="s">
        <v>378</v>
      </c>
      <c r="D156" s="139" t="s">
        <v>272</v>
      </c>
      <c r="E156" s="139">
        <v>1</v>
      </c>
      <c r="F156" s="140" t="s">
        <v>33</v>
      </c>
    </row>
    <row r="157" spans="1:6">
      <c r="A157" s="139" t="s">
        <v>334</v>
      </c>
      <c r="B157" s="139" t="s">
        <v>775</v>
      </c>
      <c r="C157" s="139" t="s">
        <v>642</v>
      </c>
      <c r="D157" s="139" t="s">
        <v>272</v>
      </c>
      <c r="E157" s="139">
        <v>1</v>
      </c>
      <c r="F157" s="140" t="s">
        <v>33</v>
      </c>
    </row>
    <row r="158" spans="1:6">
      <c r="A158" s="139" t="s">
        <v>334</v>
      </c>
      <c r="B158" s="139" t="s">
        <v>776</v>
      </c>
      <c r="C158" s="139" t="s">
        <v>431</v>
      </c>
      <c r="D158" s="139" t="s">
        <v>223</v>
      </c>
      <c r="E158" s="139">
        <v>2</v>
      </c>
      <c r="F158" s="140" t="s">
        <v>33</v>
      </c>
    </row>
    <row r="159" spans="1:6">
      <c r="A159" s="139" t="s">
        <v>334</v>
      </c>
      <c r="B159" s="139" t="s">
        <v>776</v>
      </c>
      <c r="C159" s="139" t="s">
        <v>581</v>
      </c>
      <c r="D159" s="139" t="s">
        <v>224</v>
      </c>
      <c r="E159" s="139">
        <v>1</v>
      </c>
      <c r="F159" s="140" t="s">
        <v>33</v>
      </c>
    </row>
    <row r="160" spans="1:6">
      <c r="A160" s="139" t="s">
        <v>334</v>
      </c>
      <c r="B160" s="139" t="s">
        <v>776</v>
      </c>
      <c r="C160" s="139" t="s">
        <v>388</v>
      </c>
      <c r="D160" s="139" t="s">
        <v>224</v>
      </c>
      <c r="E160" s="139">
        <v>1</v>
      </c>
      <c r="F160" s="140" t="s">
        <v>33</v>
      </c>
    </row>
    <row r="161" spans="1:6">
      <c r="A161" s="139" t="s">
        <v>334</v>
      </c>
      <c r="B161" s="139" t="s">
        <v>777</v>
      </c>
      <c r="C161" s="139" t="s">
        <v>657</v>
      </c>
      <c r="D161" s="139" t="s">
        <v>778</v>
      </c>
      <c r="E161" s="139">
        <v>1</v>
      </c>
      <c r="F161" s="140" t="s">
        <v>33</v>
      </c>
    </row>
    <row r="162" spans="1:6">
      <c r="A162" s="139" t="s">
        <v>334</v>
      </c>
      <c r="B162" s="139" t="s">
        <v>777</v>
      </c>
      <c r="C162" s="139" t="s">
        <v>619</v>
      </c>
      <c r="D162" s="139" t="s">
        <v>778</v>
      </c>
      <c r="E162" s="139">
        <v>1</v>
      </c>
      <c r="F162" s="140" t="s">
        <v>33</v>
      </c>
    </row>
    <row r="163" spans="1:6">
      <c r="A163" s="139" t="s">
        <v>334</v>
      </c>
      <c r="B163" s="139" t="s">
        <v>777</v>
      </c>
      <c r="C163" s="139" t="s">
        <v>334</v>
      </c>
      <c r="D163" s="139" t="s">
        <v>778</v>
      </c>
      <c r="E163" s="139">
        <v>1</v>
      </c>
      <c r="F163" s="140" t="s">
        <v>33</v>
      </c>
    </row>
    <row r="164" spans="1:6">
      <c r="A164" s="139" t="s">
        <v>334</v>
      </c>
      <c r="B164" s="139" t="s">
        <v>777</v>
      </c>
      <c r="C164" s="139" t="s">
        <v>671</v>
      </c>
      <c r="D164" s="139" t="s">
        <v>778</v>
      </c>
      <c r="E164" s="139">
        <v>1</v>
      </c>
      <c r="F164" s="140" t="s">
        <v>33</v>
      </c>
    </row>
    <row r="165" spans="1:6">
      <c r="A165" s="139" t="s">
        <v>334</v>
      </c>
      <c r="B165" s="139" t="s">
        <v>777</v>
      </c>
      <c r="C165" s="139" t="s">
        <v>676</v>
      </c>
      <c r="D165" s="139" t="s">
        <v>778</v>
      </c>
      <c r="E165" s="139">
        <v>1</v>
      </c>
      <c r="F165" s="140" t="s">
        <v>33</v>
      </c>
    </row>
    <row r="166" spans="1:6">
      <c r="A166" s="139" t="s">
        <v>334</v>
      </c>
      <c r="B166" s="139" t="s">
        <v>779</v>
      </c>
      <c r="C166" s="139" t="s">
        <v>620</v>
      </c>
      <c r="D166" s="139" t="s">
        <v>506</v>
      </c>
      <c r="E166" s="139">
        <v>1</v>
      </c>
      <c r="F166" s="140" t="s">
        <v>33</v>
      </c>
    </row>
    <row r="167" spans="1:6">
      <c r="A167" s="139" t="s">
        <v>334</v>
      </c>
      <c r="B167" s="139" t="s">
        <v>779</v>
      </c>
      <c r="C167" s="139" t="s">
        <v>347</v>
      </c>
      <c r="D167" s="139" t="s">
        <v>506</v>
      </c>
      <c r="E167" s="139">
        <v>1</v>
      </c>
      <c r="F167" s="140" t="s">
        <v>33</v>
      </c>
    </row>
    <row r="168" spans="1:6">
      <c r="A168" s="139" t="s">
        <v>334</v>
      </c>
      <c r="B168" s="139" t="s">
        <v>779</v>
      </c>
      <c r="C168" s="139" t="s">
        <v>674</v>
      </c>
      <c r="D168" s="139" t="s">
        <v>506</v>
      </c>
      <c r="E168" s="139">
        <v>1</v>
      </c>
      <c r="F168" s="140" t="s">
        <v>33</v>
      </c>
    </row>
    <row r="169" spans="1:6">
      <c r="A169" s="139" t="s">
        <v>334</v>
      </c>
      <c r="B169" s="139" t="s">
        <v>780</v>
      </c>
      <c r="C169" s="139" t="s">
        <v>639</v>
      </c>
      <c r="D169" s="139" t="s">
        <v>275</v>
      </c>
      <c r="E169" s="139">
        <v>2</v>
      </c>
      <c r="F169" s="140" t="s">
        <v>33</v>
      </c>
    </row>
    <row r="170" spans="1:6">
      <c r="A170" s="139" t="s">
        <v>334</v>
      </c>
      <c r="B170" s="139" t="s">
        <v>780</v>
      </c>
      <c r="C170" s="139" t="s">
        <v>618</v>
      </c>
      <c r="D170" s="139" t="s">
        <v>214</v>
      </c>
      <c r="E170" s="139">
        <v>1</v>
      </c>
      <c r="F170" s="140" t="s">
        <v>33</v>
      </c>
    </row>
    <row r="171" spans="1:6">
      <c r="A171" s="139" t="s">
        <v>334</v>
      </c>
      <c r="B171" s="139" t="s">
        <v>780</v>
      </c>
      <c r="C171" s="139" t="s">
        <v>347</v>
      </c>
      <c r="D171" s="139" t="s">
        <v>214</v>
      </c>
      <c r="E171" s="139">
        <v>1</v>
      </c>
      <c r="F171" s="140" t="s">
        <v>33</v>
      </c>
    </row>
    <row r="172" spans="1:6">
      <c r="A172" s="139" t="s">
        <v>334</v>
      </c>
      <c r="B172" s="139" t="s">
        <v>780</v>
      </c>
      <c r="C172" s="139" t="s">
        <v>680</v>
      </c>
      <c r="D172" s="139" t="s">
        <v>214</v>
      </c>
      <c r="E172" s="139">
        <v>1</v>
      </c>
      <c r="F172" s="140" t="s">
        <v>33</v>
      </c>
    </row>
    <row r="173" spans="1:6">
      <c r="A173" s="139" t="s">
        <v>334</v>
      </c>
      <c r="B173" s="139" t="s">
        <v>782</v>
      </c>
      <c r="C173" s="139" t="s">
        <v>672</v>
      </c>
      <c r="D173" s="139" t="s">
        <v>502</v>
      </c>
      <c r="E173" s="139">
        <v>1</v>
      </c>
      <c r="F173" s="140" t="s">
        <v>33</v>
      </c>
    </row>
    <row r="174" spans="1:6">
      <c r="A174" s="139" t="s">
        <v>334</v>
      </c>
      <c r="B174" s="139" t="s">
        <v>783</v>
      </c>
      <c r="C174" s="139" t="s">
        <v>684</v>
      </c>
      <c r="D174" s="139" t="s">
        <v>784</v>
      </c>
      <c r="E174" s="139">
        <v>1</v>
      </c>
      <c r="F174" s="140" t="s">
        <v>33</v>
      </c>
    </row>
    <row r="175" spans="1:6">
      <c r="A175" s="139" t="s">
        <v>334</v>
      </c>
      <c r="B175" s="139" t="s">
        <v>783</v>
      </c>
      <c r="C175" s="139" t="s">
        <v>688</v>
      </c>
      <c r="D175" s="139" t="s">
        <v>784</v>
      </c>
      <c r="E175" s="139">
        <v>1</v>
      </c>
      <c r="F175" s="140" t="s">
        <v>33</v>
      </c>
    </row>
    <row r="176" spans="1:6">
      <c r="A176" s="139" t="s">
        <v>334</v>
      </c>
      <c r="B176" s="139" t="s">
        <v>783</v>
      </c>
      <c r="C176" s="139" t="s">
        <v>689</v>
      </c>
      <c r="D176" s="139" t="s">
        <v>784</v>
      </c>
      <c r="E176" s="139">
        <v>1</v>
      </c>
      <c r="F176" s="140" t="s">
        <v>33</v>
      </c>
    </row>
    <row r="177" spans="1:6">
      <c r="A177" s="139" t="s">
        <v>334</v>
      </c>
      <c r="B177" s="139" t="s">
        <v>783</v>
      </c>
      <c r="C177" s="139" t="s">
        <v>553</v>
      </c>
      <c r="D177" s="139" t="s">
        <v>784</v>
      </c>
      <c r="E177" s="139">
        <v>1</v>
      </c>
      <c r="F177" s="140" t="s">
        <v>33</v>
      </c>
    </row>
    <row r="178" spans="1:6">
      <c r="A178" s="139" t="s">
        <v>334</v>
      </c>
      <c r="B178" s="139" t="s">
        <v>785</v>
      </c>
      <c r="C178" s="139" t="s">
        <v>690</v>
      </c>
      <c r="D178" s="139" t="s">
        <v>786</v>
      </c>
      <c r="E178" s="139">
        <v>1</v>
      </c>
      <c r="F178" s="140" t="s">
        <v>33</v>
      </c>
    </row>
    <row r="179" spans="1:6">
      <c r="A179" s="139" t="s">
        <v>334</v>
      </c>
      <c r="B179" s="139" t="s">
        <v>785</v>
      </c>
      <c r="C179" s="139" t="s">
        <v>691</v>
      </c>
      <c r="D179" s="139" t="s">
        <v>786</v>
      </c>
      <c r="E179" s="139">
        <v>1</v>
      </c>
      <c r="F179" s="140" t="s">
        <v>33</v>
      </c>
    </row>
    <row r="180" spans="1:6">
      <c r="A180" s="139" t="s">
        <v>334</v>
      </c>
      <c r="B180" s="139" t="s">
        <v>785</v>
      </c>
      <c r="C180" s="139" t="s">
        <v>688</v>
      </c>
      <c r="D180" s="139" t="s">
        <v>786</v>
      </c>
      <c r="E180" s="139">
        <v>1</v>
      </c>
      <c r="F180" s="140" t="s">
        <v>33</v>
      </c>
    </row>
    <row r="181" spans="1:6">
      <c r="A181" s="139" t="s">
        <v>334</v>
      </c>
      <c r="B181" s="139" t="s">
        <v>788</v>
      </c>
      <c r="C181" s="139" t="s">
        <v>720</v>
      </c>
      <c r="D181" s="139" t="s">
        <v>790</v>
      </c>
      <c r="E181" s="139">
        <v>1</v>
      </c>
      <c r="F181" s="140" t="s">
        <v>33</v>
      </c>
    </row>
    <row r="182" spans="1:6">
      <c r="A182" s="139" t="s">
        <v>334</v>
      </c>
      <c r="B182" s="139" t="s">
        <v>788</v>
      </c>
      <c r="C182" s="139" t="s">
        <v>723</v>
      </c>
      <c r="D182" s="139" t="s">
        <v>790</v>
      </c>
      <c r="E182" s="139">
        <v>1</v>
      </c>
      <c r="F182" s="140" t="s">
        <v>33</v>
      </c>
    </row>
    <row r="183" spans="1:6">
      <c r="A183" s="139" t="s">
        <v>334</v>
      </c>
      <c r="B183" s="139" t="s">
        <v>788</v>
      </c>
      <c r="C183" s="139" t="s">
        <v>732</v>
      </c>
      <c r="D183" s="139" t="s">
        <v>790</v>
      </c>
      <c r="E183" s="139">
        <v>1</v>
      </c>
      <c r="F183" s="140" t="s">
        <v>33</v>
      </c>
    </row>
    <row r="184" spans="1:6">
      <c r="A184" s="139" t="s">
        <v>334</v>
      </c>
      <c r="B184" s="139" t="s">
        <v>792</v>
      </c>
      <c r="C184" s="139" t="s">
        <v>617</v>
      </c>
      <c r="D184" s="139" t="s">
        <v>483</v>
      </c>
      <c r="E184" s="139">
        <v>1</v>
      </c>
      <c r="F184" s="140" t="s">
        <v>33</v>
      </c>
    </row>
    <row r="185" spans="1:6">
      <c r="A185" s="139" t="s">
        <v>334</v>
      </c>
      <c r="B185" s="139" t="s">
        <v>792</v>
      </c>
      <c r="C185" s="139" t="s">
        <v>730</v>
      </c>
      <c r="D185" s="139" t="s">
        <v>483</v>
      </c>
      <c r="E185" s="139">
        <v>1</v>
      </c>
      <c r="F185" s="140" t="s">
        <v>33</v>
      </c>
    </row>
    <row r="186" spans="1:6">
      <c r="A186" s="139" t="s">
        <v>334</v>
      </c>
      <c r="B186" s="139" t="s">
        <v>794</v>
      </c>
      <c r="C186" s="139" t="s">
        <v>722</v>
      </c>
      <c r="D186" s="139" t="s">
        <v>237</v>
      </c>
      <c r="E186" s="139">
        <v>1</v>
      </c>
      <c r="F186" s="140" t="s">
        <v>33</v>
      </c>
    </row>
    <row r="187" spans="1:6">
      <c r="A187" s="139" t="s">
        <v>334</v>
      </c>
      <c r="B187" s="139" t="s">
        <v>795</v>
      </c>
      <c r="C187" s="139" t="s">
        <v>703</v>
      </c>
      <c r="D187" s="139" t="s">
        <v>241</v>
      </c>
      <c r="E187" s="139">
        <v>1</v>
      </c>
      <c r="F187" s="140" t="s">
        <v>33</v>
      </c>
    </row>
    <row r="188" spans="1:6">
      <c r="A188" s="139" t="s">
        <v>334</v>
      </c>
      <c r="B188" s="139" t="s">
        <v>796</v>
      </c>
      <c r="C188" s="139" t="s">
        <v>704</v>
      </c>
      <c r="D188" s="139" t="s">
        <v>256</v>
      </c>
      <c r="E188" s="139">
        <v>1</v>
      </c>
      <c r="F188" s="140" t="s">
        <v>33</v>
      </c>
    </row>
    <row r="189" spans="1:6">
      <c r="A189" s="139" t="s">
        <v>334</v>
      </c>
      <c r="B189" s="139" t="s">
        <v>798</v>
      </c>
      <c r="C189" s="139" t="s">
        <v>347</v>
      </c>
      <c r="D189" s="139" t="s">
        <v>237</v>
      </c>
      <c r="E189" s="139">
        <v>1</v>
      </c>
      <c r="F189" s="140" t="s">
        <v>33</v>
      </c>
    </row>
    <row r="190" spans="1:6">
      <c r="A190" s="139" t="s">
        <v>334</v>
      </c>
      <c r="B190" s="139" t="s">
        <v>799</v>
      </c>
      <c r="C190" s="139" t="s">
        <v>710</v>
      </c>
      <c r="D190" s="139" t="s">
        <v>260</v>
      </c>
      <c r="E190" s="139">
        <v>1</v>
      </c>
      <c r="F190" s="140" t="s">
        <v>33</v>
      </c>
    </row>
    <row r="191" spans="1:6">
      <c r="A191" s="139" t="s">
        <v>334</v>
      </c>
      <c r="B191" s="139" t="s">
        <v>799</v>
      </c>
      <c r="C191" s="139" t="s">
        <v>714</v>
      </c>
      <c r="D191" s="139" t="s">
        <v>260</v>
      </c>
      <c r="E191" s="139">
        <v>1</v>
      </c>
      <c r="F191" s="140" t="s">
        <v>33</v>
      </c>
    </row>
    <row r="192" spans="1:6">
      <c r="A192" s="139" t="s">
        <v>334</v>
      </c>
      <c r="B192" s="139" t="s">
        <v>801</v>
      </c>
      <c r="C192" s="139" t="s">
        <v>737</v>
      </c>
      <c r="D192" s="139" t="s">
        <v>810</v>
      </c>
      <c r="E192" s="139">
        <v>2</v>
      </c>
      <c r="F192" s="140" t="s">
        <v>33</v>
      </c>
    </row>
    <row r="193" spans="1:6">
      <c r="A193" s="139" t="s">
        <v>83</v>
      </c>
      <c r="B193" s="139" t="s">
        <v>757</v>
      </c>
      <c r="C193" s="139" t="s">
        <v>83</v>
      </c>
      <c r="D193" s="139" t="s">
        <v>521</v>
      </c>
      <c r="E193" s="139">
        <v>2</v>
      </c>
      <c r="F193" s="143" t="s">
        <v>42</v>
      </c>
    </row>
    <row r="194" spans="1:6">
      <c r="A194" s="139" t="s">
        <v>83</v>
      </c>
      <c r="B194" s="139" t="s">
        <v>758</v>
      </c>
      <c r="C194" s="139" t="s">
        <v>83</v>
      </c>
      <c r="D194" s="139" t="s">
        <v>260</v>
      </c>
      <c r="E194" s="139">
        <v>3</v>
      </c>
      <c r="F194" s="143" t="s">
        <v>42</v>
      </c>
    </row>
    <row r="195" spans="1:6">
      <c r="A195" s="139" t="s">
        <v>83</v>
      </c>
      <c r="B195" s="139" t="s">
        <v>758</v>
      </c>
      <c r="C195" s="139" t="s">
        <v>83</v>
      </c>
      <c r="D195" s="139" t="s">
        <v>760</v>
      </c>
      <c r="E195" s="139">
        <v>1</v>
      </c>
      <c r="F195" s="143" t="s">
        <v>42</v>
      </c>
    </row>
    <row r="196" spans="1:6">
      <c r="A196" s="139" t="s">
        <v>83</v>
      </c>
      <c r="B196" s="139" t="s">
        <v>761</v>
      </c>
      <c r="C196" s="139" t="s">
        <v>83</v>
      </c>
      <c r="D196" s="139" t="s">
        <v>811</v>
      </c>
      <c r="E196" s="139">
        <v>3</v>
      </c>
      <c r="F196" s="143" t="s">
        <v>42</v>
      </c>
    </row>
    <row r="197" spans="1:6">
      <c r="A197" s="139" t="s">
        <v>83</v>
      </c>
      <c r="B197" s="139" t="s">
        <v>761</v>
      </c>
      <c r="C197" s="139" t="s">
        <v>41</v>
      </c>
      <c r="D197" s="139" t="s">
        <v>452</v>
      </c>
      <c r="E197" s="139">
        <v>1</v>
      </c>
      <c r="F197" s="143" t="s">
        <v>42</v>
      </c>
    </row>
    <row r="198" spans="1:6">
      <c r="A198" s="139" t="s">
        <v>83</v>
      </c>
      <c r="B198" s="139" t="s">
        <v>761</v>
      </c>
      <c r="C198" s="139" t="s">
        <v>140</v>
      </c>
      <c r="D198" s="139" t="s">
        <v>452</v>
      </c>
      <c r="E198" s="139">
        <v>1</v>
      </c>
      <c r="F198" s="143" t="s">
        <v>42</v>
      </c>
    </row>
    <row r="199" spans="1:6">
      <c r="A199" s="139" t="s">
        <v>83</v>
      </c>
      <c r="B199" s="139" t="s">
        <v>805</v>
      </c>
      <c r="C199" s="139" t="s">
        <v>83</v>
      </c>
      <c r="D199" s="139" t="s">
        <v>218</v>
      </c>
      <c r="E199" s="139">
        <v>1</v>
      </c>
      <c r="F199" s="143" t="s">
        <v>42</v>
      </c>
    </row>
    <row r="200" spans="1:6">
      <c r="A200" s="139" t="s">
        <v>83</v>
      </c>
      <c r="B200" s="139" t="s">
        <v>805</v>
      </c>
      <c r="C200" s="139" t="s">
        <v>574</v>
      </c>
      <c r="D200" s="139" t="s">
        <v>218</v>
      </c>
      <c r="E200" s="139">
        <v>1</v>
      </c>
      <c r="F200" s="143" t="s">
        <v>42</v>
      </c>
    </row>
    <row r="201" spans="1:6">
      <c r="A201" s="139" t="s">
        <v>83</v>
      </c>
      <c r="B201" s="139" t="s">
        <v>806</v>
      </c>
      <c r="C201" s="139" t="s">
        <v>83</v>
      </c>
      <c r="D201" s="139" t="s">
        <v>270</v>
      </c>
      <c r="E201" s="139">
        <v>1</v>
      </c>
      <c r="F201" s="143" t="s">
        <v>42</v>
      </c>
    </row>
    <row r="202" spans="1:6">
      <c r="A202" s="139" t="s">
        <v>83</v>
      </c>
      <c r="B202" s="139" t="s">
        <v>762</v>
      </c>
      <c r="C202" s="139" t="s">
        <v>583</v>
      </c>
      <c r="D202" s="139" t="s">
        <v>764</v>
      </c>
      <c r="E202" s="139">
        <v>1</v>
      </c>
      <c r="F202" s="143" t="s">
        <v>42</v>
      </c>
    </row>
    <row r="203" spans="1:6">
      <c r="A203" s="139" t="s">
        <v>83</v>
      </c>
      <c r="B203" s="139" t="s">
        <v>762</v>
      </c>
      <c r="C203" s="139" t="s">
        <v>587</v>
      </c>
      <c r="D203" s="139" t="s">
        <v>764</v>
      </c>
      <c r="E203" s="139">
        <v>1</v>
      </c>
      <c r="F203" s="143" t="s">
        <v>42</v>
      </c>
    </row>
    <row r="204" spans="1:6">
      <c r="A204" s="139" t="s">
        <v>83</v>
      </c>
      <c r="B204" s="139" t="s">
        <v>762</v>
      </c>
      <c r="C204" s="139" t="s">
        <v>140</v>
      </c>
      <c r="D204" s="139" t="s">
        <v>764</v>
      </c>
      <c r="E204" s="139">
        <v>1</v>
      </c>
      <c r="F204" s="143" t="s">
        <v>42</v>
      </c>
    </row>
    <row r="205" spans="1:6">
      <c r="A205" s="139" t="s">
        <v>83</v>
      </c>
      <c r="B205" s="139" t="s">
        <v>807</v>
      </c>
      <c r="C205" s="139" t="s">
        <v>83</v>
      </c>
      <c r="D205" s="139" t="s">
        <v>812</v>
      </c>
      <c r="E205" s="139">
        <v>4</v>
      </c>
      <c r="F205" s="143" t="s">
        <v>42</v>
      </c>
    </row>
    <row r="206" spans="1:6">
      <c r="A206" s="139" t="s">
        <v>83</v>
      </c>
      <c r="B206" s="139" t="s">
        <v>807</v>
      </c>
      <c r="C206" s="139" t="s">
        <v>584</v>
      </c>
      <c r="D206" s="139" t="s">
        <v>808</v>
      </c>
      <c r="E206" s="139">
        <v>1</v>
      </c>
      <c r="F206" s="143" t="s">
        <v>42</v>
      </c>
    </row>
    <row r="207" spans="1:6">
      <c r="A207" s="139" t="s">
        <v>83</v>
      </c>
      <c r="B207" s="139" t="s">
        <v>765</v>
      </c>
      <c r="C207" s="139" t="s">
        <v>83</v>
      </c>
      <c r="D207" s="139" t="s">
        <v>767</v>
      </c>
      <c r="E207" s="139">
        <v>1</v>
      </c>
      <c r="F207" s="143" t="s">
        <v>42</v>
      </c>
    </row>
    <row r="208" spans="1:6">
      <c r="A208" s="139" t="s">
        <v>83</v>
      </c>
      <c r="B208" s="139" t="s">
        <v>765</v>
      </c>
      <c r="C208" s="139" t="s">
        <v>41</v>
      </c>
      <c r="D208" s="139" t="s">
        <v>767</v>
      </c>
      <c r="E208" s="139">
        <v>1</v>
      </c>
      <c r="F208" s="143" t="s">
        <v>42</v>
      </c>
    </row>
    <row r="209" spans="1:6">
      <c r="A209" s="139" t="s">
        <v>83</v>
      </c>
      <c r="B209" s="139" t="s">
        <v>765</v>
      </c>
      <c r="C209" s="139" t="s">
        <v>137</v>
      </c>
      <c r="D209" s="139" t="s">
        <v>767</v>
      </c>
      <c r="E209" s="139">
        <v>1</v>
      </c>
      <c r="F209" s="143" t="s">
        <v>42</v>
      </c>
    </row>
    <row r="210" spans="1:6">
      <c r="A210" s="139" t="s">
        <v>83</v>
      </c>
      <c r="B210" s="139" t="s">
        <v>769</v>
      </c>
      <c r="C210" s="139" t="s">
        <v>41</v>
      </c>
      <c r="D210" s="139" t="s">
        <v>813</v>
      </c>
      <c r="E210" s="139">
        <v>2</v>
      </c>
      <c r="F210" s="143" t="s">
        <v>42</v>
      </c>
    </row>
    <row r="211" spans="1:6">
      <c r="A211" s="139" t="s">
        <v>83</v>
      </c>
      <c r="B211" s="139" t="s">
        <v>771</v>
      </c>
      <c r="C211" s="139" t="s">
        <v>83</v>
      </c>
      <c r="D211" s="139" t="s">
        <v>228</v>
      </c>
      <c r="E211" s="139">
        <v>2</v>
      </c>
      <c r="F211" s="143" t="s">
        <v>42</v>
      </c>
    </row>
    <row r="212" spans="1:6">
      <c r="A212" s="139" t="s">
        <v>83</v>
      </c>
      <c r="B212" s="139" t="s">
        <v>771</v>
      </c>
      <c r="C212" s="139" t="s">
        <v>41</v>
      </c>
      <c r="D212" s="139" t="s">
        <v>229</v>
      </c>
      <c r="E212" s="139">
        <v>1</v>
      </c>
      <c r="F212" s="143" t="s">
        <v>42</v>
      </c>
    </row>
    <row r="213" spans="1:6">
      <c r="A213" s="139" t="s">
        <v>83</v>
      </c>
      <c r="B213" s="139" t="s">
        <v>772</v>
      </c>
      <c r="C213" s="139" t="s">
        <v>83</v>
      </c>
      <c r="D213" s="139" t="s">
        <v>773</v>
      </c>
      <c r="E213" s="139">
        <v>1</v>
      </c>
      <c r="F213" s="143" t="s">
        <v>42</v>
      </c>
    </row>
    <row r="214" spans="1:6">
      <c r="A214" s="139" t="s">
        <v>83</v>
      </c>
      <c r="B214" s="139" t="s">
        <v>774</v>
      </c>
      <c r="C214" s="139" t="s">
        <v>83</v>
      </c>
      <c r="D214" s="139" t="s">
        <v>275</v>
      </c>
      <c r="E214" s="139">
        <v>1</v>
      </c>
      <c r="F214" s="143" t="s">
        <v>42</v>
      </c>
    </row>
    <row r="215" spans="1:6">
      <c r="A215" s="139" t="s">
        <v>83</v>
      </c>
      <c r="B215" s="139" t="s">
        <v>774</v>
      </c>
      <c r="C215" s="139" t="s">
        <v>83</v>
      </c>
      <c r="D215" s="139" t="s">
        <v>809</v>
      </c>
      <c r="E215" s="139">
        <v>2</v>
      </c>
      <c r="F215" s="143" t="s">
        <v>42</v>
      </c>
    </row>
    <row r="216" spans="1:6">
      <c r="A216" s="139" t="s">
        <v>83</v>
      </c>
      <c r="B216" s="139" t="s">
        <v>775</v>
      </c>
      <c r="C216" s="139" t="s">
        <v>83</v>
      </c>
      <c r="D216" s="139" t="s">
        <v>272</v>
      </c>
      <c r="E216" s="139">
        <v>1</v>
      </c>
      <c r="F216" s="143" t="s">
        <v>42</v>
      </c>
    </row>
    <row r="217" spans="1:6">
      <c r="A217" s="139" t="s">
        <v>83</v>
      </c>
      <c r="B217" s="139" t="s">
        <v>775</v>
      </c>
      <c r="C217" s="139" t="s">
        <v>83</v>
      </c>
      <c r="D217" s="139" t="s">
        <v>272</v>
      </c>
      <c r="E217" s="139">
        <v>1</v>
      </c>
      <c r="F217" s="143" t="s">
        <v>42</v>
      </c>
    </row>
    <row r="218" spans="1:6">
      <c r="A218" s="139" t="s">
        <v>83</v>
      </c>
      <c r="B218" s="139" t="s">
        <v>775</v>
      </c>
      <c r="C218" s="139" t="s">
        <v>653</v>
      </c>
      <c r="D218" s="139" t="s">
        <v>272</v>
      </c>
      <c r="E218" s="139">
        <v>1</v>
      </c>
      <c r="F218" s="143" t="s">
        <v>42</v>
      </c>
    </row>
    <row r="219" spans="1:6">
      <c r="A219" s="139" t="s">
        <v>83</v>
      </c>
      <c r="B219" s="139" t="s">
        <v>776</v>
      </c>
      <c r="C219" s="139" t="s">
        <v>137</v>
      </c>
      <c r="D219" s="139" t="s">
        <v>223</v>
      </c>
      <c r="E219" s="139">
        <v>2</v>
      </c>
      <c r="F219" s="143" t="s">
        <v>42</v>
      </c>
    </row>
    <row r="220" spans="1:6">
      <c r="A220" s="139" t="s">
        <v>83</v>
      </c>
      <c r="B220" s="139" t="s">
        <v>776</v>
      </c>
      <c r="C220" s="139" t="s">
        <v>649</v>
      </c>
      <c r="D220" s="139" t="s">
        <v>224</v>
      </c>
      <c r="E220" s="139">
        <v>1</v>
      </c>
      <c r="F220" s="143" t="s">
        <v>42</v>
      </c>
    </row>
    <row r="221" spans="1:6">
      <c r="A221" s="139" t="s">
        <v>83</v>
      </c>
      <c r="B221" s="139" t="s">
        <v>777</v>
      </c>
      <c r="C221" s="139" t="s">
        <v>83</v>
      </c>
      <c r="D221" s="139" t="s">
        <v>778</v>
      </c>
      <c r="E221" s="139">
        <v>1</v>
      </c>
      <c r="F221" s="143" t="s">
        <v>42</v>
      </c>
    </row>
    <row r="222" spans="1:6">
      <c r="A222" s="139" t="s">
        <v>83</v>
      </c>
      <c r="B222" s="139" t="s">
        <v>777</v>
      </c>
      <c r="C222" s="139" t="s">
        <v>686</v>
      </c>
      <c r="D222" s="139" t="s">
        <v>778</v>
      </c>
      <c r="E222" s="139">
        <v>1</v>
      </c>
      <c r="F222" s="143" t="s">
        <v>42</v>
      </c>
    </row>
    <row r="223" spans="1:6">
      <c r="A223" s="139" t="s">
        <v>83</v>
      </c>
      <c r="B223" s="139" t="s">
        <v>779</v>
      </c>
      <c r="C223" s="139" t="s">
        <v>83</v>
      </c>
      <c r="D223" s="139" t="s">
        <v>506</v>
      </c>
      <c r="E223" s="139">
        <v>1</v>
      </c>
      <c r="F223" s="143" t="s">
        <v>42</v>
      </c>
    </row>
    <row r="224" spans="1:6">
      <c r="A224" s="139" t="s">
        <v>83</v>
      </c>
      <c r="B224" s="139" t="s">
        <v>781</v>
      </c>
      <c r="C224" s="139" t="s">
        <v>661</v>
      </c>
      <c r="D224" s="139" t="s">
        <v>453</v>
      </c>
      <c r="E224" s="139">
        <v>1</v>
      </c>
      <c r="F224" s="143" t="s">
        <v>42</v>
      </c>
    </row>
    <row r="225" spans="1:6">
      <c r="A225" s="139" t="s">
        <v>83</v>
      </c>
      <c r="B225" s="139" t="s">
        <v>781</v>
      </c>
      <c r="C225" s="139" t="s">
        <v>584</v>
      </c>
      <c r="D225" s="139" t="s">
        <v>453</v>
      </c>
      <c r="E225" s="139">
        <v>1</v>
      </c>
      <c r="F225" s="143" t="s">
        <v>42</v>
      </c>
    </row>
    <row r="226" spans="1:6">
      <c r="A226" s="139" t="s">
        <v>83</v>
      </c>
      <c r="B226" s="139" t="s">
        <v>781</v>
      </c>
      <c r="C226" s="139" t="s">
        <v>83</v>
      </c>
      <c r="D226" s="139" t="s">
        <v>453</v>
      </c>
      <c r="E226" s="139">
        <v>1</v>
      </c>
      <c r="F226" s="143" t="s">
        <v>42</v>
      </c>
    </row>
    <row r="227" spans="1:6">
      <c r="A227" s="139" t="s">
        <v>83</v>
      </c>
      <c r="B227" s="139" t="s">
        <v>782</v>
      </c>
      <c r="C227" s="139" t="s">
        <v>83</v>
      </c>
      <c r="D227" s="139" t="s">
        <v>814</v>
      </c>
      <c r="E227" s="139">
        <v>2</v>
      </c>
      <c r="F227" s="143" t="s">
        <v>42</v>
      </c>
    </row>
    <row r="228" spans="1:6">
      <c r="A228" s="139" t="s">
        <v>83</v>
      </c>
      <c r="B228" s="139" t="s">
        <v>785</v>
      </c>
      <c r="C228" s="139" t="s">
        <v>41</v>
      </c>
      <c r="D228" s="139" t="s">
        <v>815</v>
      </c>
      <c r="E228" s="139">
        <v>2</v>
      </c>
      <c r="F228" s="143" t="s">
        <v>42</v>
      </c>
    </row>
    <row r="229" spans="1:6">
      <c r="A229" s="139" t="s">
        <v>83</v>
      </c>
      <c r="B229" s="139" t="s">
        <v>785</v>
      </c>
      <c r="C229" s="139" t="s">
        <v>664</v>
      </c>
      <c r="D229" s="139" t="s">
        <v>786</v>
      </c>
      <c r="E229" s="139">
        <v>1</v>
      </c>
      <c r="F229" s="143" t="s">
        <v>42</v>
      </c>
    </row>
    <row r="230" spans="1:6">
      <c r="A230" s="139" t="s">
        <v>83</v>
      </c>
      <c r="B230" s="139" t="s">
        <v>785</v>
      </c>
      <c r="C230" s="139" t="s">
        <v>105</v>
      </c>
      <c r="D230" s="139" t="s">
        <v>786</v>
      </c>
      <c r="E230" s="139">
        <v>1</v>
      </c>
      <c r="F230" s="143" t="s">
        <v>42</v>
      </c>
    </row>
    <row r="231" spans="1:6">
      <c r="A231" s="139" t="s">
        <v>83</v>
      </c>
      <c r="B231" s="139" t="s">
        <v>785</v>
      </c>
      <c r="C231" s="139" t="s">
        <v>695</v>
      </c>
      <c r="D231" s="139" t="s">
        <v>786</v>
      </c>
      <c r="E231" s="139">
        <v>1</v>
      </c>
      <c r="F231" s="143" t="s">
        <v>42</v>
      </c>
    </row>
    <row r="232" spans="1:6">
      <c r="A232" s="139" t="s">
        <v>83</v>
      </c>
      <c r="B232" s="139" t="s">
        <v>788</v>
      </c>
      <c r="C232" s="139" t="s">
        <v>41</v>
      </c>
      <c r="D232" s="139" t="s">
        <v>790</v>
      </c>
      <c r="E232" s="139">
        <v>1</v>
      </c>
      <c r="F232" s="143" t="s">
        <v>42</v>
      </c>
    </row>
    <row r="233" spans="1:6">
      <c r="A233" s="139" t="s">
        <v>83</v>
      </c>
      <c r="B233" s="139" t="s">
        <v>792</v>
      </c>
      <c r="C233" s="139" t="s">
        <v>83</v>
      </c>
      <c r="D233" s="139" t="s">
        <v>483</v>
      </c>
      <c r="E233" s="139">
        <v>1</v>
      </c>
      <c r="F233" s="143" t="s">
        <v>42</v>
      </c>
    </row>
    <row r="234" spans="1:6">
      <c r="A234" s="139" t="s">
        <v>83</v>
      </c>
      <c r="B234" s="139" t="s">
        <v>796</v>
      </c>
      <c r="C234" s="139" t="s">
        <v>69</v>
      </c>
      <c r="D234" s="139" t="s">
        <v>256</v>
      </c>
      <c r="E234" s="139">
        <v>1</v>
      </c>
      <c r="F234" s="143" t="s">
        <v>42</v>
      </c>
    </row>
    <row r="235" spans="1:6">
      <c r="A235" s="139" t="s">
        <v>83</v>
      </c>
      <c r="B235" s="139" t="s">
        <v>800</v>
      </c>
      <c r="C235" s="139" t="s">
        <v>83</v>
      </c>
      <c r="D235" s="139" t="s">
        <v>258</v>
      </c>
      <c r="E235" s="139">
        <v>1</v>
      </c>
      <c r="F235" s="143" t="s">
        <v>42</v>
      </c>
    </row>
    <row r="236" spans="1:6">
      <c r="A236" s="139" t="s">
        <v>83</v>
      </c>
      <c r="B236" s="139" t="s">
        <v>800</v>
      </c>
      <c r="C236" s="139" t="s">
        <v>739</v>
      </c>
      <c r="D236" s="139" t="s">
        <v>258</v>
      </c>
      <c r="E236" s="139">
        <v>1</v>
      </c>
      <c r="F236" s="143" t="s">
        <v>42</v>
      </c>
    </row>
    <row r="237" spans="1:6">
      <c r="A237" s="139" t="s">
        <v>83</v>
      </c>
      <c r="B237" s="139" t="s">
        <v>800</v>
      </c>
      <c r="C237" s="139" t="s">
        <v>69</v>
      </c>
      <c r="D237" s="139" t="s">
        <v>258</v>
      </c>
      <c r="E237" s="139">
        <v>1</v>
      </c>
      <c r="F237" s="143" t="s">
        <v>42</v>
      </c>
    </row>
    <row r="238" spans="1:6">
      <c r="A238" s="139" t="s">
        <v>83</v>
      </c>
      <c r="B238" s="139" t="s">
        <v>803</v>
      </c>
      <c r="C238" s="139" t="s">
        <v>83</v>
      </c>
      <c r="D238" s="139" t="s">
        <v>521</v>
      </c>
      <c r="E238" s="139">
        <v>1</v>
      </c>
      <c r="F238" s="143" t="s">
        <v>42</v>
      </c>
    </row>
    <row r="239" spans="1:6">
      <c r="A239" s="139" t="s">
        <v>83</v>
      </c>
      <c r="B239" s="139" t="s">
        <v>803</v>
      </c>
      <c r="C239" s="139" t="s">
        <v>741</v>
      </c>
      <c r="D239" s="139" t="s">
        <v>521</v>
      </c>
      <c r="E239" s="139">
        <v>1</v>
      </c>
      <c r="F239" s="143" t="s">
        <v>42</v>
      </c>
    </row>
    <row r="240" spans="1:6">
      <c r="A240" s="139" t="s">
        <v>83</v>
      </c>
      <c r="B240" s="139" t="s">
        <v>803</v>
      </c>
      <c r="C240" s="139" t="s">
        <v>41</v>
      </c>
      <c r="D240" s="139" t="s">
        <v>521</v>
      </c>
      <c r="E240" s="139">
        <v>1</v>
      </c>
      <c r="F240" s="143" t="s">
        <v>42</v>
      </c>
    </row>
    <row r="241" spans="1:6">
      <c r="A241" s="139" t="s">
        <v>128</v>
      </c>
      <c r="B241" s="139" t="s">
        <v>761</v>
      </c>
      <c r="C241" s="139" t="s">
        <v>128</v>
      </c>
      <c r="D241" s="139" t="s">
        <v>452</v>
      </c>
      <c r="E241" s="139">
        <v>1</v>
      </c>
      <c r="F241" s="143" t="s">
        <v>42</v>
      </c>
    </row>
    <row r="242" spans="1:6">
      <c r="A242" s="139" t="s">
        <v>128</v>
      </c>
      <c r="B242" s="139" t="s">
        <v>805</v>
      </c>
      <c r="C242" s="139" t="s">
        <v>128</v>
      </c>
      <c r="D242" s="139" t="s">
        <v>218</v>
      </c>
      <c r="E242" s="139">
        <v>1</v>
      </c>
      <c r="F242" s="143" t="s">
        <v>42</v>
      </c>
    </row>
    <row r="243" spans="1:6">
      <c r="A243" s="139" t="s">
        <v>128</v>
      </c>
      <c r="B243" s="139" t="s">
        <v>807</v>
      </c>
      <c r="C243" s="139" t="s">
        <v>128</v>
      </c>
      <c r="D243" s="139" t="s">
        <v>808</v>
      </c>
      <c r="E243" s="139">
        <v>1</v>
      </c>
      <c r="F243" s="143" t="s">
        <v>42</v>
      </c>
    </row>
    <row r="244" spans="1:6">
      <c r="A244" s="139" t="s">
        <v>128</v>
      </c>
      <c r="B244" s="139" t="s">
        <v>765</v>
      </c>
      <c r="C244" s="139" t="s">
        <v>375</v>
      </c>
      <c r="D244" s="139" t="s">
        <v>767</v>
      </c>
      <c r="E244" s="139">
        <v>1</v>
      </c>
      <c r="F244" s="143" t="s">
        <v>42</v>
      </c>
    </row>
    <row r="245" spans="1:6">
      <c r="A245" s="139" t="s">
        <v>128</v>
      </c>
      <c r="B245" s="139" t="s">
        <v>769</v>
      </c>
      <c r="C245" s="139" t="s">
        <v>128</v>
      </c>
      <c r="D245" s="139" t="s">
        <v>770</v>
      </c>
      <c r="E245" s="139">
        <v>1</v>
      </c>
      <c r="F245" s="143" t="s">
        <v>42</v>
      </c>
    </row>
    <row r="246" spans="1:6">
      <c r="A246" s="139" t="s">
        <v>128</v>
      </c>
      <c r="B246" s="139" t="s">
        <v>775</v>
      </c>
      <c r="C246" s="139" t="s">
        <v>128</v>
      </c>
      <c r="D246" s="139" t="s">
        <v>272</v>
      </c>
      <c r="E246" s="139">
        <v>1</v>
      </c>
      <c r="F246" s="143" t="s">
        <v>42</v>
      </c>
    </row>
    <row r="247" spans="1:6">
      <c r="A247" s="139" t="s">
        <v>128</v>
      </c>
      <c r="B247" s="139" t="s">
        <v>776</v>
      </c>
      <c r="C247" s="139" t="s">
        <v>652</v>
      </c>
      <c r="D247" s="139" t="s">
        <v>224</v>
      </c>
      <c r="E247" s="139">
        <v>1</v>
      </c>
      <c r="F247" s="143" t="s">
        <v>42</v>
      </c>
    </row>
    <row r="248" spans="1:6">
      <c r="A248" s="139" t="s">
        <v>128</v>
      </c>
      <c r="B248" s="139" t="s">
        <v>785</v>
      </c>
      <c r="C248" s="139" t="s">
        <v>128</v>
      </c>
      <c r="D248" s="139" t="s">
        <v>786</v>
      </c>
      <c r="E248" s="139">
        <v>1</v>
      </c>
      <c r="F248" s="143" t="s">
        <v>42</v>
      </c>
    </row>
    <row r="249" spans="1:6">
      <c r="A249" s="139" t="s">
        <v>128</v>
      </c>
      <c r="B249" s="139" t="s">
        <v>792</v>
      </c>
      <c r="C249" s="139" t="s">
        <v>375</v>
      </c>
      <c r="D249" s="139" t="s">
        <v>483</v>
      </c>
      <c r="E249" s="139">
        <v>1</v>
      </c>
      <c r="F249" s="143" t="s">
        <v>42</v>
      </c>
    </row>
    <row r="250" spans="1:6">
      <c r="A250" s="139" t="s">
        <v>128</v>
      </c>
      <c r="B250" s="139" t="s">
        <v>798</v>
      </c>
      <c r="C250" s="139" t="s">
        <v>705</v>
      </c>
      <c r="D250" s="139" t="s">
        <v>237</v>
      </c>
      <c r="E250" s="139">
        <v>1</v>
      </c>
      <c r="F250" s="143" t="s">
        <v>42</v>
      </c>
    </row>
    <row r="251" spans="1:6">
      <c r="A251" s="139" t="s">
        <v>128</v>
      </c>
      <c r="B251" s="139" t="s">
        <v>800</v>
      </c>
      <c r="C251" s="139" t="s">
        <v>742</v>
      </c>
      <c r="D251" s="139" t="s">
        <v>258</v>
      </c>
      <c r="E251" s="139">
        <v>1</v>
      </c>
      <c r="F251" s="143" t="s">
        <v>42</v>
      </c>
    </row>
    <row r="252" spans="1:6">
      <c r="A252" s="139" t="s">
        <v>128</v>
      </c>
      <c r="B252" s="139" t="s">
        <v>803</v>
      </c>
      <c r="C252" s="139" t="s">
        <v>133</v>
      </c>
      <c r="D252" s="139" t="s">
        <v>521</v>
      </c>
      <c r="E252" s="139">
        <v>1</v>
      </c>
      <c r="F252" s="143" t="s">
        <v>42</v>
      </c>
    </row>
    <row r="253" spans="1:6">
      <c r="A253" s="139" t="s">
        <v>612</v>
      </c>
      <c r="B253" s="139" t="s">
        <v>757</v>
      </c>
      <c r="C253" s="139" t="s">
        <v>572</v>
      </c>
      <c r="D253" s="139" t="s">
        <v>490</v>
      </c>
      <c r="E253" s="139">
        <v>1</v>
      </c>
      <c r="F253" s="158" t="s">
        <v>37</v>
      </c>
    </row>
    <row r="254" spans="1:6">
      <c r="A254" s="139" t="s">
        <v>612</v>
      </c>
      <c r="B254" s="139" t="s">
        <v>774</v>
      </c>
      <c r="C254" s="139" t="s">
        <v>612</v>
      </c>
      <c r="D254" s="139" t="s">
        <v>275</v>
      </c>
      <c r="E254" s="139">
        <v>1</v>
      </c>
      <c r="F254" s="140" t="s">
        <v>33</v>
      </c>
    </row>
    <row r="255" spans="1:6">
      <c r="A255" s="139" t="s">
        <v>612</v>
      </c>
      <c r="B255" s="139" t="s">
        <v>775</v>
      </c>
      <c r="C255" s="139" t="s">
        <v>612</v>
      </c>
      <c r="D255" s="139" t="s">
        <v>272</v>
      </c>
      <c r="E255" s="139">
        <v>1</v>
      </c>
      <c r="F255" s="140" t="s">
        <v>33</v>
      </c>
    </row>
    <row r="256" spans="1:6">
      <c r="A256" s="139" t="s">
        <v>612</v>
      </c>
      <c r="B256" s="139" t="s">
        <v>776</v>
      </c>
      <c r="C256" s="139" t="s">
        <v>612</v>
      </c>
      <c r="D256" s="139" t="s">
        <v>224</v>
      </c>
      <c r="E256" s="139">
        <v>1</v>
      </c>
      <c r="F256" s="140" t="s">
        <v>33</v>
      </c>
    </row>
    <row r="257" spans="1:6">
      <c r="A257" s="139" t="s">
        <v>612</v>
      </c>
      <c r="B257" s="139" t="s">
        <v>780</v>
      </c>
      <c r="C257" s="139" t="s">
        <v>612</v>
      </c>
      <c r="D257" s="139" t="s">
        <v>214</v>
      </c>
      <c r="E257" s="139">
        <v>1</v>
      </c>
      <c r="F257" s="140" t="s">
        <v>33</v>
      </c>
    </row>
    <row r="258" spans="1:6">
      <c r="A258" s="139" t="s">
        <v>612</v>
      </c>
      <c r="B258" s="139" t="s">
        <v>782</v>
      </c>
      <c r="C258" s="139" t="s">
        <v>612</v>
      </c>
      <c r="D258" s="139" t="s">
        <v>502</v>
      </c>
      <c r="E258" s="139">
        <v>1</v>
      </c>
      <c r="F258" s="140" t="s">
        <v>33</v>
      </c>
    </row>
    <row r="259" spans="1:6">
      <c r="A259" s="139" t="s">
        <v>612</v>
      </c>
      <c r="B259" s="139" t="s">
        <v>783</v>
      </c>
      <c r="C259" s="139" t="s">
        <v>572</v>
      </c>
      <c r="D259" s="139" t="s">
        <v>784</v>
      </c>
      <c r="E259" s="139">
        <v>1</v>
      </c>
      <c r="F259" s="140" t="s">
        <v>33</v>
      </c>
    </row>
    <row r="260" spans="1:6">
      <c r="A260" s="139" t="s">
        <v>612</v>
      </c>
      <c r="B260" s="139" t="s">
        <v>785</v>
      </c>
      <c r="C260" s="139" t="s">
        <v>612</v>
      </c>
      <c r="D260" s="139" t="s">
        <v>786</v>
      </c>
      <c r="E260" s="139">
        <v>1</v>
      </c>
      <c r="F260" s="140" t="s">
        <v>33</v>
      </c>
    </row>
    <row r="261" spans="1:6">
      <c r="A261" s="139" t="s">
        <v>612</v>
      </c>
      <c r="B261" s="139" t="s">
        <v>785</v>
      </c>
      <c r="C261" s="139" t="s">
        <v>572</v>
      </c>
      <c r="D261" s="139" t="s">
        <v>786</v>
      </c>
      <c r="E261" s="139">
        <v>1</v>
      </c>
      <c r="F261" s="140" t="s">
        <v>33</v>
      </c>
    </row>
    <row r="262" spans="1:6">
      <c r="A262" s="139" t="s">
        <v>612</v>
      </c>
      <c r="B262" s="139" t="s">
        <v>792</v>
      </c>
      <c r="C262" s="139" t="s">
        <v>612</v>
      </c>
      <c r="D262" s="139" t="s">
        <v>483</v>
      </c>
      <c r="E262" s="139">
        <v>1</v>
      </c>
      <c r="F262" s="140" t="s">
        <v>33</v>
      </c>
    </row>
    <row r="263" spans="1:6">
      <c r="A263" s="139" t="s">
        <v>816</v>
      </c>
      <c r="B263" s="139" t="s">
        <v>762</v>
      </c>
      <c r="C263" s="139" t="s">
        <v>575</v>
      </c>
      <c r="D263" s="139" t="s">
        <v>764</v>
      </c>
      <c r="E263" s="139">
        <v>1</v>
      </c>
      <c r="F263" s="143" t="s">
        <v>42</v>
      </c>
    </row>
    <row r="264" spans="1:6">
      <c r="A264" s="139" t="s">
        <v>816</v>
      </c>
      <c r="B264" s="139" t="s">
        <v>807</v>
      </c>
      <c r="C264" s="139" t="s">
        <v>566</v>
      </c>
      <c r="D264" s="139" t="s">
        <v>808</v>
      </c>
      <c r="E264" s="139">
        <v>1</v>
      </c>
      <c r="F264" s="143" t="s">
        <v>42</v>
      </c>
    </row>
    <row r="265" spans="1:6">
      <c r="A265" s="139" t="s">
        <v>816</v>
      </c>
      <c r="B265" s="139" t="s">
        <v>807</v>
      </c>
      <c r="C265" s="139" t="s">
        <v>579</v>
      </c>
      <c r="D265" s="139" t="s">
        <v>808</v>
      </c>
      <c r="E265" s="139">
        <v>1</v>
      </c>
      <c r="F265" s="143" t="s">
        <v>42</v>
      </c>
    </row>
    <row r="266" spans="1:6">
      <c r="A266" s="139" t="s">
        <v>816</v>
      </c>
      <c r="B266" s="139" t="s">
        <v>769</v>
      </c>
      <c r="C266" s="139" t="s">
        <v>631</v>
      </c>
      <c r="D266" s="139" t="s">
        <v>770</v>
      </c>
      <c r="E266" s="139">
        <v>1</v>
      </c>
      <c r="F266" s="143" t="s">
        <v>42</v>
      </c>
    </row>
    <row r="267" spans="1:6">
      <c r="A267" s="139" t="s">
        <v>816</v>
      </c>
      <c r="B267" s="139" t="s">
        <v>775</v>
      </c>
      <c r="C267" s="139" t="s">
        <v>615</v>
      </c>
      <c r="D267" s="139" t="s">
        <v>272</v>
      </c>
      <c r="E267" s="139">
        <v>1</v>
      </c>
      <c r="F267" s="143" t="s">
        <v>42</v>
      </c>
    </row>
    <row r="268" spans="1:6">
      <c r="A268" s="139" t="s">
        <v>816</v>
      </c>
      <c r="B268" s="139" t="s">
        <v>775</v>
      </c>
      <c r="C268" s="139" t="s">
        <v>621</v>
      </c>
      <c r="D268" s="139" t="s">
        <v>272</v>
      </c>
      <c r="E268" s="139">
        <v>1</v>
      </c>
      <c r="F268" s="143" t="s">
        <v>42</v>
      </c>
    </row>
    <row r="269" spans="1:6">
      <c r="A269" s="139" t="s">
        <v>816</v>
      </c>
      <c r="B269" s="139" t="s">
        <v>792</v>
      </c>
      <c r="C269" s="139" t="s">
        <v>712</v>
      </c>
      <c r="D269" s="139" t="s">
        <v>483</v>
      </c>
      <c r="E269" s="139">
        <v>1</v>
      </c>
      <c r="F269" s="144"/>
    </row>
    <row r="270" spans="1:6">
      <c r="A270" s="139" t="s">
        <v>816</v>
      </c>
      <c r="B270" s="139" t="s">
        <v>803</v>
      </c>
      <c r="C270" s="139" t="s">
        <v>738</v>
      </c>
      <c r="D270" s="139" t="s">
        <v>521</v>
      </c>
      <c r="E270" s="139">
        <v>1</v>
      </c>
      <c r="F270" s="143" t="s">
        <v>42</v>
      </c>
    </row>
    <row r="271" spans="1:6">
      <c r="A271" s="139" t="s">
        <v>280</v>
      </c>
      <c r="B271" s="139" t="s">
        <v>774</v>
      </c>
      <c r="C271" s="139" t="s">
        <v>606</v>
      </c>
      <c r="D271" s="139" t="s">
        <v>275</v>
      </c>
      <c r="E271" s="139">
        <v>1</v>
      </c>
      <c r="F271" s="140" t="s">
        <v>33</v>
      </c>
    </row>
    <row r="272" spans="1:6">
      <c r="A272" s="139" t="s">
        <v>280</v>
      </c>
      <c r="B272" s="139" t="s">
        <v>774</v>
      </c>
      <c r="C272" s="139" t="s">
        <v>611</v>
      </c>
      <c r="D272" s="139" t="s">
        <v>275</v>
      </c>
      <c r="E272" s="139">
        <v>1</v>
      </c>
      <c r="F272" s="140" t="s">
        <v>33</v>
      </c>
    </row>
    <row r="273" spans="1:6">
      <c r="A273" s="139" t="s">
        <v>280</v>
      </c>
      <c r="B273" s="139" t="s">
        <v>783</v>
      </c>
      <c r="C273" s="139" t="s">
        <v>675</v>
      </c>
      <c r="D273" s="139" t="s">
        <v>784</v>
      </c>
      <c r="E273" s="139">
        <v>1</v>
      </c>
      <c r="F273" s="140" t="s">
        <v>33</v>
      </c>
    </row>
    <row r="274" spans="1:6">
      <c r="A274" s="139" t="s">
        <v>280</v>
      </c>
      <c r="B274" s="139" t="s">
        <v>801</v>
      </c>
      <c r="C274" s="139" t="s">
        <v>740</v>
      </c>
      <c r="D274" s="139" t="s">
        <v>802</v>
      </c>
      <c r="E274" s="139">
        <v>1</v>
      </c>
      <c r="F274" s="158" t="s">
        <v>37</v>
      </c>
    </row>
    <row r="275" spans="1:6">
      <c r="A275" s="139" t="s">
        <v>280</v>
      </c>
      <c r="B275" s="139" t="s">
        <v>803</v>
      </c>
      <c r="C275" s="139" t="s">
        <v>744</v>
      </c>
      <c r="D275" s="139" t="s">
        <v>521</v>
      </c>
      <c r="E275" s="139">
        <v>1</v>
      </c>
      <c r="F275" s="140" t="s">
        <v>33</v>
      </c>
    </row>
    <row r="276" spans="1:6">
      <c r="A276" s="139" t="s">
        <v>280</v>
      </c>
      <c r="B276" s="139" t="s">
        <v>803</v>
      </c>
      <c r="C276" s="139" t="s">
        <v>124</v>
      </c>
      <c r="D276" s="139" t="s">
        <v>521</v>
      </c>
      <c r="E276" s="139">
        <v>1</v>
      </c>
      <c r="F276" s="140" t="s">
        <v>33</v>
      </c>
    </row>
    <row r="277" spans="1:6">
      <c r="A277" s="139" t="s">
        <v>280</v>
      </c>
      <c r="B277" s="139" t="s">
        <v>803</v>
      </c>
      <c r="C277" s="139" t="s">
        <v>745</v>
      </c>
      <c r="D277" s="139" t="s">
        <v>521</v>
      </c>
      <c r="E277" s="139">
        <v>1</v>
      </c>
      <c r="F277" s="142" t="s">
        <v>27</v>
      </c>
    </row>
    <row r="278" spans="1:6">
      <c r="A278" s="139" t="s">
        <v>593</v>
      </c>
      <c r="B278" s="139" t="s">
        <v>757</v>
      </c>
      <c r="C278" s="139" t="s">
        <v>593</v>
      </c>
      <c r="D278" s="139" t="s">
        <v>490</v>
      </c>
      <c r="E278" s="139">
        <v>1</v>
      </c>
      <c r="F278" s="143" t="s">
        <v>42</v>
      </c>
    </row>
    <row r="279" spans="1:6">
      <c r="A279" s="139" t="s">
        <v>593</v>
      </c>
      <c r="B279" s="139" t="s">
        <v>761</v>
      </c>
      <c r="C279" s="139" t="s">
        <v>570</v>
      </c>
      <c r="D279" s="139" t="s">
        <v>452</v>
      </c>
      <c r="E279" s="139">
        <v>1</v>
      </c>
      <c r="F279" s="143" t="s">
        <v>42</v>
      </c>
    </row>
    <row r="280" spans="1:6">
      <c r="A280" s="139" t="s">
        <v>593</v>
      </c>
      <c r="B280" s="139" t="s">
        <v>762</v>
      </c>
      <c r="C280" s="139" t="s">
        <v>570</v>
      </c>
      <c r="D280" s="139" t="s">
        <v>764</v>
      </c>
      <c r="E280" s="139">
        <v>1</v>
      </c>
      <c r="F280" s="143" t="s">
        <v>42</v>
      </c>
    </row>
    <row r="281" spans="1:6">
      <c r="A281" s="139" t="s">
        <v>593</v>
      </c>
      <c r="B281" s="139" t="s">
        <v>776</v>
      </c>
      <c r="C281" s="139" t="s">
        <v>593</v>
      </c>
      <c r="D281" s="139" t="s">
        <v>224</v>
      </c>
      <c r="E281" s="139">
        <v>1</v>
      </c>
      <c r="F281" s="158" t="s">
        <v>37</v>
      </c>
    </row>
    <row r="282" spans="1:6">
      <c r="A282" s="139" t="s">
        <v>593</v>
      </c>
      <c r="B282" s="139" t="s">
        <v>779</v>
      </c>
      <c r="C282" s="139" t="s">
        <v>593</v>
      </c>
      <c r="D282" s="139" t="s">
        <v>506</v>
      </c>
      <c r="E282" s="139">
        <v>1</v>
      </c>
      <c r="F282" s="143" t="s">
        <v>42</v>
      </c>
    </row>
    <row r="283" spans="1:6">
      <c r="A283" s="139" t="s">
        <v>593</v>
      </c>
      <c r="B283" s="139" t="s">
        <v>781</v>
      </c>
      <c r="C283" s="139" t="s">
        <v>593</v>
      </c>
      <c r="D283" s="139" t="s">
        <v>453</v>
      </c>
      <c r="E283" s="139">
        <v>1</v>
      </c>
      <c r="F283" s="143" t="s">
        <v>42</v>
      </c>
    </row>
    <row r="284" spans="1:6">
      <c r="A284" s="139" t="s">
        <v>296</v>
      </c>
      <c r="B284" s="139" t="s">
        <v>762</v>
      </c>
      <c r="C284" s="139" t="s">
        <v>296</v>
      </c>
      <c r="D284" s="139" t="s">
        <v>764</v>
      </c>
      <c r="E284" s="139">
        <v>1</v>
      </c>
      <c r="F284" s="143" t="s">
        <v>42</v>
      </c>
    </row>
    <row r="285" spans="1:6">
      <c r="A285" s="139" t="s">
        <v>296</v>
      </c>
      <c r="B285" s="139" t="s">
        <v>785</v>
      </c>
      <c r="C285" s="139" t="s">
        <v>296</v>
      </c>
      <c r="D285" s="139" t="s">
        <v>786</v>
      </c>
      <c r="E285" s="139">
        <v>1</v>
      </c>
      <c r="F285" s="143" t="s">
        <v>42</v>
      </c>
    </row>
    <row r="286" spans="1:6">
      <c r="A286" s="139" t="s">
        <v>296</v>
      </c>
      <c r="B286" s="139" t="s">
        <v>785</v>
      </c>
      <c r="C286" s="139" t="s">
        <v>692</v>
      </c>
      <c r="D286" s="139" t="s">
        <v>786</v>
      </c>
      <c r="E286" s="139">
        <v>1</v>
      </c>
      <c r="F286" s="143" t="s">
        <v>42</v>
      </c>
    </row>
    <row r="287" spans="1:6">
      <c r="A287" s="139" t="s">
        <v>296</v>
      </c>
      <c r="B287" s="139" t="s">
        <v>794</v>
      </c>
      <c r="C287" s="139" t="s">
        <v>702</v>
      </c>
      <c r="D287" s="139" t="s">
        <v>237</v>
      </c>
      <c r="E287" s="139">
        <v>1</v>
      </c>
      <c r="F287" s="143" t="s">
        <v>42</v>
      </c>
    </row>
    <row r="288" spans="1:6">
      <c r="A288" s="139" t="s">
        <v>296</v>
      </c>
      <c r="B288" s="139" t="s">
        <v>801</v>
      </c>
      <c r="C288" s="139" t="s">
        <v>296</v>
      </c>
      <c r="D288" s="139" t="s">
        <v>802</v>
      </c>
      <c r="E288" s="139">
        <v>1</v>
      </c>
      <c r="F288" s="143" t="s">
        <v>42</v>
      </c>
    </row>
    <row r="289" spans="1:6">
      <c r="A289" s="139" t="s">
        <v>296</v>
      </c>
      <c r="B289" s="139" t="s">
        <v>803</v>
      </c>
      <c r="C289" s="139" t="s">
        <v>296</v>
      </c>
      <c r="D289" s="139" t="s">
        <v>521</v>
      </c>
      <c r="E289" s="139">
        <v>1</v>
      </c>
      <c r="F289" s="143" t="s">
        <v>42</v>
      </c>
    </row>
    <row r="290" spans="1:6">
      <c r="A290" s="139" t="s">
        <v>281</v>
      </c>
      <c r="B290" s="139" t="s">
        <v>757</v>
      </c>
      <c r="C290" s="139" t="s">
        <v>560</v>
      </c>
      <c r="D290" s="139" t="s">
        <v>490</v>
      </c>
      <c r="E290" s="139">
        <v>1</v>
      </c>
      <c r="F290" s="140" t="s">
        <v>33</v>
      </c>
    </row>
    <row r="291" spans="1:6">
      <c r="A291" s="139" t="s">
        <v>281</v>
      </c>
      <c r="B291" s="139" t="s">
        <v>757</v>
      </c>
      <c r="C291" s="139" t="s">
        <v>580</v>
      </c>
      <c r="D291" s="139" t="s">
        <v>490</v>
      </c>
      <c r="E291" s="139">
        <v>1</v>
      </c>
      <c r="F291" s="143" t="s">
        <v>42</v>
      </c>
    </row>
    <row r="292" spans="1:6">
      <c r="A292" s="139" t="s">
        <v>281</v>
      </c>
      <c r="B292" s="139" t="s">
        <v>757</v>
      </c>
      <c r="C292" s="139" t="s">
        <v>591</v>
      </c>
      <c r="D292" s="139" t="s">
        <v>490</v>
      </c>
      <c r="E292" s="139">
        <v>1</v>
      </c>
      <c r="F292" s="143" t="s">
        <v>42</v>
      </c>
    </row>
    <row r="293" spans="1:6">
      <c r="A293" s="139" t="s">
        <v>281</v>
      </c>
      <c r="B293" s="139" t="s">
        <v>758</v>
      </c>
      <c r="C293" s="139" t="s">
        <v>561</v>
      </c>
      <c r="D293" s="139" t="s">
        <v>760</v>
      </c>
      <c r="E293" s="139">
        <v>1</v>
      </c>
      <c r="F293" s="140" t="s">
        <v>33</v>
      </c>
    </row>
    <row r="294" spans="1:6">
      <c r="A294" s="139" t="s">
        <v>281</v>
      </c>
      <c r="B294" s="139" t="s">
        <v>758</v>
      </c>
      <c r="C294" s="139" t="s">
        <v>585</v>
      </c>
      <c r="D294" s="139" t="s">
        <v>760</v>
      </c>
      <c r="E294" s="139">
        <v>1</v>
      </c>
      <c r="F294" s="143" t="s">
        <v>42</v>
      </c>
    </row>
    <row r="295" spans="1:6">
      <c r="A295" s="139" t="s">
        <v>281</v>
      </c>
      <c r="B295" s="139" t="s">
        <v>761</v>
      </c>
      <c r="C295" s="139" t="s">
        <v>562</v>
      </c>
      <c r="D295" s="139" t="s">
        <v>452</v>
      </c>
      <c r="E295" s="139">
        <v>1</v>
      </c>
      <c r="F295" s="140" t="s">
        <v>33</v>
      </c>
    </row>
    <row r="296" spans="1:6">
      <c r="A296" s="139" t="s">
        <v>281</v>
      </c>
      <c r="B296" s="139" t="s">
        <v>761</v>
      </c>
      <c r="C296" s="139" t="s">
        <v>582</v>
      </c>
      <c r="D296" s="139" t="s">
        <v>452</v>
      </c>
      <c r="E296" s="139">
        <v>1</v>
      </c>
      <c r="F296" s="158" t="s">
        <v>37</v>
      </c>
    </row>
    <row r="297" spans="1:6">
      <c r="A297" s="139" t="s">
        <v>281</v>
      </c>
      <c r="B297" s="139" t="s">
        <v>761</v>
      </c>
      <c r="C297" s="139" t="s">
        <v>586</v>
      </c>
      <c r="D297" s="139" t="s">
        <v>452</v>
      </c>
      <c r="E297" s="139">
        <v>1</v>
      </c>
      <c r="F297" s="143" t="s">
        <v>42</v>
      </c>
    </row>
    <row r="298" spans="1:6">
      <c r="A298" s="139" t="s">
        <v>281</v>
      </c>
      <c r="B298" s="139" t="s">
        <v>805</v>
      </c>
      <c r="C298" s="139" t="s">
        <v>563</v>
      </c>
      <c r="D298" s="139" t="s">
        <v>218</v>
      </c>
      <c r="E298" s="139">
        <v>1</v>
      </c>
      <c r="F298" s="140" t="s">
        <v>33</v>
      </c>
    </row>
    <row r="299" spans="1:6">
      <c r="A299" s="139" t="s">
        <v>281</v>
      </c>
      <c r="B299" s="139" t="s">
        <v>805</v>
      </c>
      <c r="C299" s="139" t="s">
        <v>569</v>
      </c>
      <c r="D299" s="139" t="s">
        <v>218</v>
      </c>
      <c r="E299" s="139">
        <v>1</v>
      </c>
      <c r="F299" s="140" t="s">
        <v>33</v>
      </c>
    </row>
    <row r="300" spans="1:6">
      <c r="A300" s="139" t="s">
        <v>281</v>
      </c>
      <c r="B300" s="139" t="s">
        <v>806</v>
      </c>
      <c r="C300" s="139" t="s">
        <v>564</v>
      </c>
      <c r="D300" s="139" t="s">
        <v>270</v>
      </c>
      <c r="E300" s="139">
        <v>1</v>
      </c>
      <c r="F300" s="140" t="s">
        <v>33</v>
      </c>
    </row>
    <row r="301" spans="1:6">
      <c r="A301" s="139" t="s">
        <v>281</v>
      </c>
      <c r="B301" s="139" t="s">
        <v>762</v>
      </c>
      <c r="C301" s="139" t="s">
        <v>554</v>
      </c>
      <c r="D301" s="139" t="s">
        <v>764</v>
      </c>
      <c r="E301" s="139">
        <v>1</v>
      </c>
      <c r="F301" s="143" t="s">
        <v>42</v>
      </c>
    </row>
    <row r="302" spans="1:6">
      <c r="A302" s="139" t="s">
        <v>281</v>
      </c>
      <c r="B302" s="139" t="s">
        <v>762</v>
      </c>
      <c r="C302" s="139" t="s">
        <v>558</v>
      </c>
      <c r="D302" s="139" t="s">
        <v>764</v>
      </c>
      <c r="E302" s="139">
        <v>1</v>
      </c>
      <c r="F302" s="158" t="s">
        <v>37</v>
      </c>
    </row>
    <row r="303" spans="1:6">
      <c r="A303" s="139" t="s">
        <v>281</v>
      </c>
      <c r="B303" s="139" t="s">
        <v>762</v>
      </c>
      <c r="C303" s="139" t="s">
        <v>578</v>
      </c>
      <c r="D303" s="139" t="s">
        <v>764</v>
      </c>
      <c r="E303" s="139">
        <v>1</v>
      </c>
      <c r="F303" s="140" t="s">
        <v>33</v>
      </c>
    </row>
    <row r="304" spans="1:6">
      <c r="A304" s="139" t="s">
        <v>281</v>
      </c>
      <c r="B304" s="139" t="s">
        <v>762</v>
      </c>
      <c r="C304" s="139" t="s">
        <v>589</v>
      </c>
      <c r="D304" s="139" t="s">
        <v>249</v>
      </c>
      <c r="E304" s="139">
        <v>2</v>
      </c>
      <c r="F304" s="140" t="s">
        <v>33</v>
      </c>
    </row>
    <row r="305" spans="1:6">
      <c r="A305" s="139" t="s">
        <v>281</v>
      </c>
      <c r="B305" s="139" t="s">
        <v>762</v>
      </c>
      <c r="C305" s="139" t="s">
        <v>594</v>
      </c>
      <c r="D305" s="139" t="s">
        <v>764</v>
      </c>
      <c r="E305" s="139">
        <v>1</v>
      </c>
      <c r="F305" s="140" t="s">
        <v>33</v>
      </c>
    </row>
    <row r="306" spans="1:6">
      <c r="A306" s="139" t="s">
        <v>281</v>
      </c>
      <c r="B306" s="139" t="s">
        <v>807</v>
      </c>
      <c r="C306" s="139" t="s">
        <v>551</v>
      </c>
      <c r="D306" s="139" t="s">
        <v>808</v>
      </c>
      <c r="E306" s="139">
        <v>1</v>
      </c>
      <c r="F306" s="140" t="s">
        <v>33</v>
      </c>
    </row>
    <row r="307" spans="1:6">
      <c r="A307" s="139" t="s">
        <v>281</v>
      </c>
      <c r="B307" s="139" t="s">
        <v>807</v>
      </c>
      <c r="C307" s="139" t="s">
        <v>555</v>
      </c>
      <c r="D307" s="139" t="s">
        <v>808</v>
      </c>
      <c r="E307" s="139">
        <v>1</v>
      </c>
      <c r="F307" s="140" t="s">
        <v>33</v>
      </c>
    </row>
    <row r="308" spans="1:6">
      <c r="A308" s="139" t="s">
        <v>281</v>
      </c>
      <c r="B308" s="139" t="s">
        <v>807</v>
      </c>
      <c r="C308" s="139" t="s">
        <v>571</v>
      </c>
      <c r="D308" s="139" t="s">
        <v>808</v>
      </c>
      <c r="E308" s="139">
        <v>1</v>
      </c>
      <c r="F308" s="145" t="s">
        <v>35</v>
      </c>
    </row>
    <row r="309" spans="1:6">
      <c r="A309" s="139" t="s">
        <v>281</v>
      </c>
      <c r="B309" s="139" t="s">
        <v>807</v>
      </c>
      <c r="C309" s="139" t="s">
        <v>576</v>
      </c>
      <c r="D309" s="139" t="s">
        <v>808</v>
      </c>
      <c r="E309" s="139">
        <v>1</v>
      </c>
      <c r="F309" s="144"/>
    </row>
    <row r="310" spans="1:6">
      <c r="A310" s="139" t="s">
        <v>281</v>
      </c>
      <c r="B310" s="139" t="s">
        <v>807</v>
      </c>
      <c r="C310" s="139" t="s">
        <v>590</v>
      </c>
      <c r="D310" s="139" t="s">
        <v>808</v>
      </c>
      <c r="E310" s="139">
        <v>1</v>
      </c>
      <c r="F310" s="140" t="s">
        <v>33</v>
      </c>
    </row>
    <row r="311" spans="1:6">
      <c r="A311" s="139" t="s">
        <v>281</v>
      </c>
      <c r="B311" s="139" t="s">
        <v>765</v>
      </c>
      <c r="C311" s="139" t="s">
        <v>630</v>
      </c>
      <c r="D311" s="139" t="s">
        <v>767</v>
      </c>
      <c r="E311" s="139">
        <v>1</v>
      </c>
      <c r="F311" s="140" t="s">
        <v>33</v>
      </c>
    </row>
    <row r="312" spans="1:6">
      <c r="A312" s="139" t="s">
        <v>281</v>
      </c>
      <c r="B312" s="139" t="s">
        <v>769</v>
      </c>
      <c r="C312" s="139" t="s">
        <v>601</v>
      </c>
      <c r="D312" s="139" t="s">
        <v>770</v>
      </c>
      <c r="E312" s="139">
        <v>1</v>
      </c>
      <c r="F312" s="158" t="s">
        <v>37</v>
      </c>
    </row>
    <row r="313" spans="1:6">
      <c r="A313" s="139" t="s">
        <v>281</v>
      </c>
      <c r="B313" s="139" t="s">
        <v>769</v>
      </c>
      <c r="C313" s="139" t="s">
        <v>325</v>
      </c>
      <c r="D313" s="139" t="s">
        <v>770</v>
      </c>
      <c r="E313" s="139">
        <v>1</v>
      </c>
      <c r="F313" s="140" t="s">
        <v>33</v>
      </c>
    </row>
    <row r="314" spans="1:6">
      <c r="A314" s="139" t="s">
        <v>281</v>
      </c>
      <c r="B314" s="139" t="s">
        <v>769</v>
      </c>
      <c r="C314" s="139" t="s">
        <v>645</v>
      </c>
      <c r="D314" s="139" t="s">
        <v>770</v>
      </c>
      <c r="E314" s="139">
        <v>1</v>
      </c>
      <c r="F314" s="143" t="s">
        <v>42</v>
      </c>
    </row>
    <row r="315" spans="1:6">
      <c r="A315" s="139" t="s">
        <v>281</v>
      </c>
      <c r="B315" s="139" t="s">
        <v>771</v>
      </c>
      <c r="C315" s="139" t="s">
        <v>609</v>
      </c>
      <c r="D315" s="139" t="s">
        <v>229</v>
      </c>
      <c r="E315" s="139">
        <v>1</v>
      </c>
      <c r="F315" s="140" t="s">
        <v>33</v>
      </c>
    </row>
    <row r="316" spans="1:6">
      <c r="A316" s="139" t="s">
        <v>281</v>
      </c>
      <c r="B316" s="139" t="s">
        <v>771</v>
      </c>
      <c r="C316" s="139" t="s">
        <v>613</v>
      </c>
      <c r="D316" s="139" t="s">
        <v>229</v>
      </c>
      <c r="E316" s="139">
        <v>1</v>
      </c>
      <c r="F316" s="158" t="s">
        <v>37</v>
      </c>
    </row>
    <row r="317" spans="1:6">
      <c r="A317" s="139" t="s">
        <v>281</v>
      </c>
      <c r="B317" s="139" t="s">
        <v>772</v>
      </c>
      <c r="C317" s="139" t="s">
        <v>633</v>
      </c>
      <c r="D317" s="139" t="s">
        <v>773</v>
      </c>
      <c r="E317" s="139">
        <v>1</v>
      </c>
      <c r="F317" s="140" t="s">
        <v>33</v>
      </c>
    </row>
    <row r="318" spans="1:6">
      <c r="A318" s="139" t="s">
        <v>281</v>
      </c>
      <c r="B318" s="139" t="s">
        <v>774</v>
      </c>
      <c r="C318" s="139" t="s">
        <v>599</v>
      </c>
      <c r="D318" s="139" t="s">
        <v>275</v>
      </c>
      <c r="E318" s="139">
        <v>1</v>
      </c>
      <c r="F318" s="158" t="s">
        <v>37</v>
      </c>
    </row>
    <row r="319" spans="1:6">
      <c r="A319" s="139" t="s">
        <v>281</v>
      </c>
      <c r="B319" s="139" t="s">
        <v>774</v>
      </c>
      <c r="C319" s="139" t="s">
        <v>602</v>
      </c>
      <c r="D319" s="139" t="s">
        <v>275</v>
      </c>
      <c r="E319" s="139">
        <v>1</v>
      </c>
      <c r="F319" s="158" t="s">
        <v>37</v>
      </c>
    </row>
    <row r="320" spans="1:6">
      <c r="A320" s="139" t="s">
        <v>281</v>
      </c>
      <c r="B320" s="139" t="s">
        <v>774</v>
      </c>
      <c r="C320" s="139" t="s">
        <v>614</v>
      </c>
      <c r="D320" s="139" t="s">
        <v>275</v>
      </c>
      <c r="E320" s="139">
        <v>1</v>
      </c>
      <c r="F320" s="140" t="s">
        <v>33</v>
      </c>
    </row>
    <row r="321" spans="1:6">
      <c r="A321" s="139" t="s">
        <v>281</v>
      </c>
      <c r="B321" s="139" t="s">
        <v>774</v>
      </c>
      <c r="C321" s="139" t="s">
        <v>646</v>
      </c>
      <c r="D321" s="139" t="s">
        <v>275</v>
      </c>
      <c r="E321" s="139">
        <v>1</v>
      </c>
      <c r="F321" s="158" t="s">
        <v>37</v>
      </c>
    </row>
    <row r="322" spans="1:6">
      <c r="A322" s="139" t="s">
        <v>281</v>
      </c>
      <c r="B322" s="139" t="s">
        <v>775</v>
      </c>
      <c r="C322" s="139" t="s">
        <v>647</v>
      </c>
      <c r="D322" s="139" t="s">
        <v>272</v>
      </c>
      <c r="E322" s="139">
        <v>1</v>
      </c>
      <c r="F322" s="158" t="s">
        <v>37</v>
      </c>
    </row>
    <row r="323" spans="1:6">
      <c r="A323" s="139" t="s">
        <v>281</v>
      </c>
      <c r="B323" s="139" t="s">
        <v>775</v>
      </c>
      <c r="C323" s="139" t="s">
        <v>648</v>
      </c>
      <c r="D323" s="139" t="s">
        <v>272</v>
      </c>
      <c r="E323" s="139">
        <v>1</v>
      </c>
      <c r="F323" s="140" t="s">
        <v>33</v>
      </c>
    </row>
    <row r="324" spans="1:6">
      <c r="A324" s="139" t="s">
        <v>281</v>
      </c>
      <c r="B324" s="139" t="s">
        <v>775</v>
      </c>
      <c r="C324" s="139" t="s">
        <v>651</v>
      </c>
      <c r="D324" s="139" t="s">
        <v>272</v>
      </c>
      <c r="E324" s="139">
        <v>1</v>
      </c>
      <c r="F324" s="143" t="s">
        <v>42</v>
      </c>
    </row>
    <row r="325" spans="1:6">
      <c r="A325" s="139" t="s">
        <v>281</v>
      </c>
      <c r="B325" s="139" t="s">
        <v>775</v>
      </c>
      <c r="C325" s="139" t="s">
        <v>654</v>
      </c>
      <c r="D325" s="139" t="s">
        <v>272</v>
      </c>
      <c r="E325" s="139">
        <v>1</v>
      </c>
      <c r="F325" s="140" t="s">
        <v>33</v>
      </c>
    </row>
    <row r="326" spans="1:6">
      <c r="A326" s="139" t="s">
        <v>281</v>
      </c>
      <c r="B326" s="139" t="s">
        <v>775</v>
      </c>
      <c r="C326" s="139" t="s">
        <v>655</v>
      </c>
      <c r="D326" s="139" t="s">
        <v>272</v>
      </c>
      <c r="E326" s="139">
        <v>1</v>
      </c>
      <c r="F326" s="144" t="s">
        <v>656</v>
      </c>
    </row>
    <row r="327" spans="1:6">
      <c r="A327" s="139" t="s">
        <v>281</v>
      </c>
      <c r="B327" s="139" t="s">
        <v>776</v>
      </c>
      <c r="C327" s="139" t="s">
        <v>636</v>
      </c>
      <c r="D327" s="139" t="s">
        <v>224</v>
      </c>
      <c r="E327" s="139">
        <v>1</v>
      </c>
      <c r="F327" s="158" t="s">
        <v>37</v>
      </c>
    </row>
    <row r="328" spans="1:6">
      <c r="A328" s="139" t="s">
        <v>281</v>
      </c>
      <c r="B328" s="139" t="s">
        <v>777</v>
      </c>
      <c r="C328" s="139" t="s">
        <v>179</v>
      </c>
      <c r="D328" s="139" t="s">
        <v>778</v>
      </c>
      <c r="E328" s="139">
        <v>1</v>
      </c>
      <c r="F328" s="158" t="s">
        <v>37</v>
      </c>
    </row>
    <row r="329" spans="1:6">
      <c r="A329" s="139" t="s">
        <v>281</v>
      </c>
      <c r="B329" s="139" t="s">
        <v>777</v>
      </c>
      <c r="C329" s="139" t="s">
        <v>683</v>
      </c>
      <c r="D329" s="139" t="s">
        <v>778</v>
      </c>
      <c r="E329" s="139">
        <v>1</v>
      </c>
      <c r="F329" s="143" t="s">
        <v>42</v>
      </c>
    </row>
    <row r="330" spans="1:6">
      <c r="A330" s="139" t="s">
        <v>281</v>
      </c>
      <c r="B330" s="139" t="s">
        <v>779</v>
      </c>
      <c r="C330" s="139" t="s">
        <v>660</v>
      </c>
      <c r="D330" s="139" t="s">
        <v>506</v>
      </c>
      <c r="E330" s="139">
        <v>1</v>
      </c>
      <c r="F330" s="143" t="s">
        <v>42</v>
      </c>
    </row>
    <row r="331" spans="1:6">
      <c r="A331" s="139" t="s">
        <v>281</v>
      </c>
      <c r="B331" s="139" t="s">
        <v>779</v>
      </c>
      <c r="C331" s="139" t="s">
        <v>679</v>
      </c>
      <c r="D331" s="139" t="s">
        <v>506</v>
      </c>
      <c r="E331" s="139">
        <v>1</v>
      </c>
      <c r="F331" s="158" t="s">
        <v>37</v>
      </c>
    </row>
    <row r="332" spans="1:6">
      <c r="A332" s="139" t="s">
        <v>281</v>
      </c>
      <c r="B332" s="139" t="s">
        <v>779</v>
      </c>
      <c r="C332" s="139" t="s">
        <v>325</v>
      </c>
      <c r="D332" s="139" t="s">
        <v>506</v>
      </c>
      <c r="E332" s="139">
        <v>1</v>
      </c>
      <c r="F332" s="140" t="s">
        <v>33</v>
      </c>
    </row>
    <row r="333" spans="1:6">
      <c r="A333" s="139" t="s">
        <v>281</v>
      </c>
      <c r="B333" s="139" t="s">
        <v>780</v>
      </c>
      <c r="C333" s="139" t="s">
        <v>665</v>
      </c>
      <c r="D333" s="139" t="s">
        <v>214</v>
      </c>
      <c r="E333" s="139">
        <v>1</v>
      </c>
      <c r="F333" s="158" t="s">
        <v>37</v>
      </c>
    </row>
    <row r="334" spans="1:6">
      <c r="A334" s="139" t="s">
        <v>281</v>
      </c>
      <c r="B334" s="139" t="s">
        <v>780</v>
      </c>
      <c r="C334" s="139" t="s">
        <v>668</v>
      </c>
      <c r="D334" s="139" t="s">
        <v>214</v>
      </c>
      <c r="E334" s="139">
        <v>1</v>
      </c>
      <c r="F334" s="143" t="s">
        <v>42</v>
      </c>
    </row>
    <row r="335" spans="1:6">
      <c r="A335" s="139" t="s">
        <v>281</v>
      </c>
      <c r="B335" s="139" t="s">
        <v>780</v>
      </c>
      <c r="C335" s="139" t="s">
        <v>687</v>
      </c>
      <c r="D335" s="139" t="s">
        <v>214</v>
      </c>
      <c r="E335" s="139">
        <v>1</v>
      </c>
      <c r="F335" s="158" t="s">
        <v>37</v>
      </c>
    </row>
    <row r="336" spans="1:6">
      <c r="A336" s="139" t="s">
        <v>281</v>
      </c>
      <c r="B336" s="139" t="s">
        <v>781</v>
      </c>
      <c r="C336" s="139" t="s">
        <v>633</v>
      </c>
      <c r="D336" s="139" t="s">
        <v>453</v>
      </c>
      <c r="E336" s="139">
        <v>1</v>
      </c>
      <c r="F336" s="140" t="s">
        <v>33</v>
      </c>
    </row>
    <row r="337" spans="1:6">
      <c r="A337" s="139" t="s">
        <v>281</v>
      </c>
      <c r="B337" s="139" t="s">
        <v>781</v>
      </c>
      <c r="C337" s="139" t="s">
        <v>681</v>
      </c>
      <c r="D337" s="139" t="s">
        <v>453</v>
      </c>
      <c r="E337" s="139">
        <v>1</v>
      </c>
      <c r="F337" s="140" t="s">
        <v>33</v>
      </c>
    </row>
    <row r="338" spans="1:6">
      <c r="A338" s="139" t="s">
        <v>281</v>
      </c>
      <c r="B338" s="139" t="s">
        <v>782</v>
      </c>
      <c r="C338" s="139" t="s">
        <v>662</v>
      </c>
      <c r="D338" s="139" t="s">
        <v>502</v>
      </c>
      <c r="E338" s="139">
        <v>1</v>
      </c>
      <c r="F338" s="140" t="s">
        <v>33</v>
      </c>
    </row>
    <row r="339" spans="1:6">
      <c r="A339" s="139" t="s">
        <v>281</v>
      </c>
      <c r="B339" s="139" t="s">
        <v>782</v>
      </c>
      <c r="C339" s="139" t="s">
        <v>666</v>
      </c>
      <c r="D339" s="139" t="s">
        <v>502</v>
      </c>
      <c r="E339" s="139">
        <v>1</v>
      </c>
      <c r="F339" s="158" t="s">
        <v>37</v>
      </c>
    </row>
    <row r="340" spans="1:6">
      <c r="A340" s="139" t="s">
        <v>281</v>
      </c>
      <c r="B340" s="139" t="s">
        <v>783</v>
      </c>
      <c r="C340" s="139" t="s">
        <v>663</v>
      </c>
      <c r="D340" s="139" t="s">
        <v>784</v>
      </c>
      <c r="E340" s="139">
        <v>1</v>
      </c>
      <c r="F340" s="143" t="s">
        <v>42</v>
      </c>
    </row>
    <row r="341" spans="1:6">
      <c r="A341" s="139" t="s">
        <v>281</v>
      </c>
      <c r="B341" s="139" t="s">
        <v>783</v>
      </c>
      <c r="C341" s="139" t="s">
        <v>673</v>
      </c>
      <c r="D341" s="139" t="s">
        <v>784</v>
      </c>
      <c r="E341" s="139">
        <v>1</v>
      </c>
      <c r="F341" s="158" t="s">
        <v>37</v>
      </c>
    </row>
    <row r="342" spans="1:6">
      <c r="A342" s="139" t="s">
        <v>281</v>
      </c>
      <c r="B342" s="139" t="s">
        <v>783</v>
      </c>
      <c r="C342" s="139" t="s">
        <v>677</v>
      </c>
      <c r="D342" s="139" t="s">
        <v>784</v>
      </c>
      <c r="E342" s="139">
        <v>1</v>
      </c>
      <c r="F342" s="158" t="s">
        <v>37</v>
      </c>
    </row>
    <row r="343" spans="1:6">
      <c r="A343" s="139" t="s">
        <v>281</v>
      </c>
      <c r="B343" s="139" t="s">
        <v>785</v>
      </c>
      <c r="C343" s="139" t="s">
        <v>670</v>
      </c>
      <c r="D343" s="139" t="s">
        <v>786</v>
      </c>
      <c r="E343" s="139">
        <v>1</v>
      </c>
      <c r="F343" s="158" t="s">
        <v>37</v>
      </c>
    </row>
    <row r="344" spans="1:6">
      <c r="A344" s="139" t="s">
        <v>281</v>
      </c>
      <c r="B344" s="139" t="s">
        <v>785</v>
      </c>
      <c r="C344" s="139" t="s">
        <v>693</v>
      </c>
      <c r="D344" s="139" t="s">
        <v>786</v>
      </c>
      <c r="E344" s="139">
        <v>1</v>
      </c>
      <c r="F344" s="143" t="s">
        <v>42</v>
      </c>
    </row>
    <row r="345" spans="1:6">
      <c r="A345" s="139" t="s">
        <v>281</v>
      </c>
      <c r="B345" s="139" t="s">
        <v>785</v>
      </c>
      <c r="C345" s="139" t="s">
        <v>694</v>
      </c>
      <c r="D345" s="139" t="s">
        <v>786</v>
      </c>
      <c r="E345" s="139">
        <v>1</v>
      </c>
      <c r="F345" s="144"/>
    </row>
    <row r="346" spans="1:6">
      <c r="A346" s="139" t="s">
        <v>281</v>
      </c>
      <c r="B346" s="139" t="s">
        <v>785</v>
      </c>
      <c r="C346" s="139" t="s">
        <v>325</v>
      </c>
      <c r="D346" s="139" t="s">
        <v>786</v>
      </c>
      <c r="E346" s="139">
        <v>1</v>
      </c>
      <c r="F346" s="140" t="s">
        <v>33</v>
      </c>
    </row>
    <row r="347" spans="1:6">
      <c r="A347" s="139" t="s">
        <v>281</v>
      </c>
      <c r="B347" s="139" t="s">
        <v>785</v>
      </c>
      <c r="C347" s="139" t="s">
        <v>698</v>
      </c>
      <c r="D347" s="139" t="s">
        <v>786</v>
      </c>
      <c r="E347" s="139">
        <v>1</v>
      </c>
      <c r="F347" s="144"/>
    </row>
    <row r="348" spans="1:6">
      <c r="A348" s="139" t="s">
        <v>281</v>
      </c>
      <c r="B348" s="139" t="s">
        <v>788</v>
      </c>
      <c r="C348" s="139" t="s">
        <v>711</v>
      </c>
      <c r="D348" s="139" t="s">
        <v>790</v>
      </c>
      <c r="E348" s="139">
        <v>1</v>
      </c>
      <c r="F348" s="140" t="s">
        <v>33</v>
      </c>
    </row>
    <row r="349" spans="1:6">
      <c r="A349" s="139" t="s">
        <v>281</v>
      </c>
      <c r="B349" s="139" t="s">
        <v>788</v>
      </c>
      <c r="C349" s="139" t="s">
        <v>727</v>
      </c>
      <c r="D349" s="139" t="s">
        <v>790</v>
      </c>
      <c r="E349" s="139">
        <v>1</v>
      </c>
      <c r="F349" s="144"/>
    </row>
    <row r="350" spans="1:6">
      <c r="A350" s="139" t="s">
        <v>281</v>
      </c>
      <c r="B350" s="139" t="s">
        <v>788</v>
      </c>
      <c r="C350" s="139" t="s">
        <v>729</v>
      </c>
      <c r="D350" s="139" t="s">
        <v>790</v>
      </c>
      <c r="E350" s="139">
        <v>1</v>
      </c>
      <c r="F350" s="143" t="s">
        <v>42</v>
      </c>
    </row>
    <row r="351" spans="1:6">
      <c r="A351" s="139" t="s">
        <v>281</v>
      </c>
      <c r="B351" s="139" t="s">
        <v>788</v>
      </c>
      <c r="C351" s="139" t="s">
        <v>731</v>
      </c>
      <c r="D351" s="139" t="s">
        <v>790</v>
      </c>
      <c r="E351" s="139">
        <v>1</v>
      </c>
      <c r="F351" s="140" t="s">
        <v>33</v>
      </c>
    </row>
    <row r="352" spans="1:6">
      <c r="A352" s="139" t="s">
        <v>281</v>
      </c>
      <c r="B352" s="139" t="s">
        <v>792</v>
      </c>
      <c r="C352" s="139" t="s">
        <v>701</v>
      </c>
      <c r="D352" s="139" t="s">
        <v>483</v>
      </c>
      <c r="E352" s="139">
        <v>1</v>
      </c>
      <c r="F352" s="158" t="s">
        <v>37</v>
      </c>
    </row>
    <row r="353" spans="1:6">
      <c r="A353" s="139" t="s">
        <v>281</v>
      </c>
      <c r="B353" s="139" t="s">
        <v>792</v>
      </c>
      <c r="C353" s="139" t="s">
        <v>369</v>
      </c>
      <c r="D353" s="139" t="s">
        <v>483</v>
      </c>
      <c r="E353" s="139">
        <v>1</v>
      </c>
      <c r="F353" s="145" t="s">
        <v>35</v>
      </c>
    </row>
    <row r="354" spans="1:6">
      <c r="A354" s="139" t="s">
        <v>281</v>
      </c>
      <c r="B354" s="139" t="s">
        <v>792</v>
      </c>
      <c r="C354" s="139" t="s">
        <v>721</v>
      </c>
      <c r="D354" s="139" t="s">
        <v>483</v>
      </c>
      <c r="E354" s="139">
        <v>1</v>
      </c>
      <c r="F354" s="140" t="s">
        <v>33</v>
      </c>
    </row>
    <row r="355" spans="1:6">
      <c r="A355" s="139" t="s">
        <v>281</v>
      </c>
      <c r="B355" s="139" t="s">
        <v>792</v>
      </c>
      <c r="C355" s="139" t="s">
        <v>728</v>
      </c>
      <c r="D355" s="139" t="s">
        <v>483</v>
      </c>
      <c r="E355" s="139">
        <v>1</v>
      </c>
      <c r="F355" s="140" t="s">
        <v>33</v>
      </c>
    </row>
    <row r="356" spans="1:6">
      <c r="A356" s="139" t="s">
        <v>281</v>
      </c>
      <c r="B356" s="139" t="s">
        <v>794</v>
      </c>
      <c r="C356" s="139" t="s">
        <v>98</v>
      </c>
      <c r="D356" s="139" t="s">
        <v>237</v>
      </c>
      <c r="E356" s="139">
        <v>1</v>
      </c>
      <c r="F356" s="143" t="s">
        <v>42</v>
      </c>
    </row>
    <row r="357" spans="1:6">
      <c r="A357" s="139" t="s">
        <v>281</v>
      </c>
      <c r="B357" s="139" t="s">
        <v>794</v>
      </c>
      <c r="C357" s="139" t="s">
        <v>724</v>
      </c>
      <c r="D357" s="139" t="s">
        <v>237</v>
      </c>
      <c r="E357" s="139">
        <v>1</v>
      </c>
      <c r="F357" s="140" t="s">
        <v>33</v>
      </c>
    </row>
    <row r="358" spans="1:6">
      <c r="A358" s="139" t="s">
        <v>281</v>
      </c>
      <c r="B358" s="139" t="s">
        <v>796</v>
      </c>
      <c r="C358" s="139" t="s">
        <v>633</v>
      </c>
      <c r="D358" s="139" t="s">
        <v>256</v>
      </c>
      <c r="E358" s="139">
        <v>1</v>
      </c>
      <c r="F358" s="140" t="s">
        <v>33</v>
      </c>
    </row>
    <row r="359" spans="1:6">
      <c r="A359" s="139" t="s">
        <v>281</v>
      </c>
      <c r="B359" s="139" t="s">
        <v>796</v>
      </c>
      <c r="C359" s="139" t="s">
        <v>716</v>
      </c>
      <c r="D359" s="139" t="s">
        <v>256</v>
      </c>
      <c r="E359" s="139">
        <v>1</v>
      </c>
      <c r="F359" s="143" t="s">
        <v>42</v>
      </c>
    </row>
    <row r="360" spans="1:6">
      <c r="A360" s="139" t="s">
        <v>281</v>
      </c>
      <c r="B360" s="139" t="s">
        <v>798</v>
      </c>
      <c r="C360" s="139" t="s">
        <v>709</v>
      </c>
      <c r="D360" s="139" t="s">
        <v>237</v>
      </c>
      <c r="E360" s="139">
        <v>1</v>
      </c>
      <c r="F360" s="158" t="s">
        <v>37</v>
      </c>
    </row>
    <row r="361" spans="1:6">
      <c r="A361" s="139" t="s">
        <v>281</v>
      </c>
      <c r="B361" s="139" t="s">
        <v>799</v>
      </c>
      <c r="C361" s="139" t="s">
        <v>700</v>
      </c>
      <c r="D361" s="139" t="s">
        <v>260</v>
      </c>
      <c r="E361" s="139">
        <v>1</v>
      </c>
      <c r="F361" s="143" t="s">
        <v>42</v>
      </c>
    </row>
    <row r="362" spans="1:6">
      <c r="A362" s="139" t="s">
        <v>281</v>
      </c>
      <c r="B362" s="139" t="s">
        <v>799</v>
      </c>
      <c r="C362" s="139" t="s">
        <v>706</v>
      </c>
      <c r="D362" s="139" t="s">
        <v>260</v>
      </c>
      <c r="E362" s="139">
        <v>1</v>
      </c>
      <c r="F362" s="140" t="s">
        <v>33</v>
      </c>
    </row>
    <row r="363" spans="1:6">
      <c r="A363" s="139" t="s">
        <v>281</v>
      </c>
      <c r="B363" s="139" t="s">
        <v>799</v>
      </c>
      <c r="C363" s="139" t="s">
        <v>717</v>
      </c>
      <c r="D363" s="139" t="s">
        <v>260</v>
      </c>
      <c r="E363" s="139">
        <v>1</v>
      </c>
      <c r="F363" s="158" t="s">
        <v>37</v>
      </c>
    </row>
    <row r="364" spans="1:6">
      <c r="A364" s="139" t="s">
        <v>281</v>
      </c>
      <c r="B364" s="139" t="s">
        <v>799</v>
      </c>
      <c r="C364" s="139" t="s">
        <v>719</v>
      </c>
      <c r="D364" s="139" t="s">
        <v>260</v>
      </c>
      <c r="E364" s="139">
        <v>1</v>
      </c>
      <c r="F364" s="140" t="s">
        <v>33</v>
      </c>
    </row>
    <row r="365" spans="1:6">
      <c r="A365" s="139" t="s">
        <v>281</v>
      </c>
      <c r="B365" s="139" t="s">
        <v>800</v>
      </c>
      <c r="C365" s="139" t="s">
        <v>736</v>
      </c>
      <c r="D365" s="139" t="s">
        <v>258</v>
      </c>
      <c r="E365" s="139">
        <v>1</v>
      </c>
      <c r="F365" s="158" t="s">
        <v>37</v>
      </c>
    </row>
  </sheetData>
  <autoFilter ref="A1:F1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zoomScale="85" zoomScaleNormal="85" workbookViewId="0">
      <selection activeCell="H21" sqref="H21"/>
    </sheetView>
  </sheetViews>
  <sheetFormatPr defaultColWidth="8.6640625" defaultRowHeight="14.4"/>
  <cols>
    <col min="1" max="1" width="22" style="150" customWidth="1"/>
    <col min="2" max="2" width="7" style="150" customWidth="1"/>
    <col min="3" max="3" width="9" style="150" customWidth="1"/>
    <col min="4" max="4" width="22" style="150" customWidth="1"/>
    <col min="5" max="5" width="7" style="150" customWidth="1"/>
    <col min="6" max="6" width="9" style="150" customWidth="1"/>
    <col min="7" max="7" width="22" style="150" customWidth="1"/>
    <col min="8" max="8" width="7" style="150" customWidth="1"/>
    <col min="9" max="9" width="9" style="150" customWidth="1"/>
    <col min="10" max="10" width="22" style="150" customWidth="1"/>
    <col min="11" max="11" width="7" style="150" customWidth="1"/>
    <col min="12" max="12" width="9" style="150" customWidth="1"/>
    <col min="13" max="13" width="22" style="150" customWidth="1"/>
    <col min="14" max="14" width="7" style="150" customWidth="1"/>
    <col min="15" max="15" width="9" style="150" customWidth="1"/>
    <col min="16" max="16" width="22" style="150" customWidth="1"/>
    <col min="17" max="17" width="7" style="150" customWidth="1"/>
    <col min="18" max="18" width="9" style="150" customWidth="1"/>
    <col min="19" max="19" width="22" style="150" customWidth="1"/>
    <col min="20" max="20" width="7" style="150" customWidth="1"/>
    <col min="21" max="21" width="9" style="150" customWidth="1"/>
  </cols>
  <sheetData>
    <row r="1" spans="1:21" ht="21.75" customHeight="1">
      <c r="A1" s="1" t="s">
        <v>0</v>
      </c>
      <c r="B1" s="2">
        <v>6</v>
      </c>
      <c r="C1" s="159" t="s">
        <v>1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</row>
    <row r="2" spans="1:21" ht="15.75" customHeight="1">
      <c r="A2" s="3" t="s">
        <v>2</v>
      </c>
      <c r="B2" s="3" t="s">
        <v>3</v>
      </c>
      <c r="C2" s="3" t="s">
        <v>4</v>
      </c>
      <c r="D2" s="3" t="s">
        <v>2</v>
      </c>
      <c r="E2" s="3" t="s">
        <v>3</v>
      </c>
      <c r="F2" s="3" t="s">
        <v>4</v>
      </c>
      <c r="G2" s="3" t="s">
        <v>2</v>
      </c>
      <c r="H2" s="3" t="s">
        <v>3</v>
      </c>
      <c r="I2" s="3" t="s">
        <v>4</v>
      </c>
      <c r="J2" s="3" t="s">
        <v>2</v>
      </c>
      <c r="K2" s="3" t="s">
        <v>3</v>
      </c>
      <c r="L2" s="3" t="s">
        <v>4</v>
      </c>
      <c r="M2" s="3" t="s">
        <v>2</v>
      </c>
      <c r="N2" s="3" t="s">
        <v>3</v>
      </c>
      <c r="O2" s="3" t="s">
        <v>4</v>
      </c>
      <c r="P2" s="3" t="s">
        <v>2</v>
      </c>
      <c r="Q2" s="3" t="s">
        <v>3</v>
      </c>
      <c r="R2" s="3" t="s">
        <v>4</v>
      </c>
      <c r="S2" s="3" t="s">
        <v>2</v>
      </c>
      <c r="T2" s="3" t="s">
        <v>3</v>
      </c>
      <c r="U2" s="3" t="s">
        <v>4</v>
      </c>
    </row>
    <row r="3" spans="1:21" ht="15.75" customHeight="1">
      <c r="A3" s="4" t="str">
        <f>IF(1&lt;=DAY(EOMONTH(DATE(2026,$B$1,1),0)),$B$1&amp;"월 1일","")</f>
        <v>6월 1일</v>
      </c>
      <c r="B3" s="5"/>
      <c r="C3" s="6"/>
      <c r="D3" s="4" t="str">
        <f>IF(2&lt;=DAY(EOMONTH(DATE(2026,$B$1,1),0)),$B$1&amp;"월 2일","")</f>
        <v>6월 2일</v>
      </c>
      <c r="E3" s="5"/>
      <c r="F3" s="6"/>
      <c r="G3" s="4" t="str">
        <f>IF(3&lt;=DAY(EOMONTH(DATE(2026,$B$1,1),0)),$B$1&amp;"월 3일","")</f>
        <v>6월 3일</v>
      </c>
      <c r="H3" s="5"/>
      <c r="I3" s="6"/>
      <c r="J3" s="4" t="str">
        <f>IF(4&lt;=DAY(EOMONTH(DATE(2026,$B$1,1),0)),$B$1&amp;"월 4일","")</f>
        <v>6월 4일</v>
      </c>
      <c r="K3" s="5"/>
      <c r="L3" s="6"/>
      <c r="M3" s="4" t="str">
        <f>IF(5&lt;=DAY(EOMONTH(DATE(2026,$B$1,1),0)),$B$1&amp;"월 5일","")</f>
        <v>6월 5일</v>
      </c>
      <c r="N3" s="5"/>
      <c r="O3" s="6"/>
      <c r="P3" s="4" t="str">
        <f>IF(6&lt;=DAY(EOMONTH(DATE(2026,$B$1,1),0)),$B$1&amp;"월 6일","")</f>
        <v>6월 6일</v>
      </c>
      <c r="Q3" s="5"/>
      <c r="R3" s="6"/>
      <c r="S3" s="4" t="str">
        <f>IF(7&lt;=DAY(EOMONTH(DATE(2026,$B$1,1),0)),$B$1&amp;"월 7일","")</f>
        <v>6월 7일</v>
      </c>
      <c r="T3" s="5"/>
      <c r="U3" s="6"/>
    </row>
    <row r="4" spans="1:21" ht="15.75" customHeight="1">
      <c r="A4" s="10" t="s">
        <v>817</v>
      </c>
      <c r="B4" s="8">
        <v>3.0300000000000001E-2</v>
      </c>
      <c r="C4" s="9" t="s">
        <v>37</v>
      </c>
      <c r="D4" s="7" t="s">
        <v>818</v>
      </c>
      <c r="E4" s="8">
        <v>7.5499999999999998E-2</v>
      </c>
      <c r="F4" s="9" t="s">
        <v>33</v>
      </c>
      <c r="G4" s="10" t="s">
        <v>819</v>
      </c>
      <c r="H4" s="8">
        <v>5.5599999999999997E-2</v>
      </c>
      <c r="I4" s="9" t="s">
        <v>33</v>
      </c>
      <c r="J4" s="7" t="s">
        <v>612</v>
      </c>
      <c r="K4" s="8">
        <v>1.9199999999999998E-2</v>
      </c>
      <c r="L4" s="9" t="s">
        <v>33</v>
      </c>
      <c r="M4" s="10" t="s">
        <v>820</v>
      </c>
      <c r="N4" s="8">
        <v>1.89E-2</v>
      </c>
      <c r="O4" s="9" t="s">
        <v>37</v>
      </c>
      <c r="P4" s="7" t="s">
        <v>821</v>
      </c>
      <c r="Q4" s="11">
        <v>0.04</v>
      </c>
      <c r="R4" s="9" t="s">
        <v>33</v>
      </c>
      <c r="S4" s="7" t="s">
        <v>822</v>
      </c>
      <c r="T4" s="8">
        <v>0.1333</v>
      </c>
      <c r="U4" s="9" t="s">
        <v>33</v>
      </c>
    </row>
    <row r="5" spans="1:21" ht="15.75" customHeight="1">
      <c r="A5" s="7" t="s">
        <v>823</v>
      </c>
      <c r="B5" s="8">
        <v>3.0300000000000001E-2</v>
      </c>
      <c r="C5" s="9" t="s">
        <v>33</v>
      </c>
      <c r="D5" s="10" t="s">
        <v>824</v>
      </c>
      <c r="E5" s="8">
        <v>1.89E-2</v>
      </c>
      <c r="F5" s="9" t="s">
        <v>37</v>
      </c>
      <c r="G5" s="7" t="s">
        <v>818</v>
      </c>
      <c r="H5" s="8">
        <v>5.5599999999999997E-2</v>
      </c>
      <c r="I5" s="9" t="s">
        <v>33</v>
      </c>
      <c r="J5" s="7" t="s">
        <v>825</v>
      </c>
      <c r="K5" s="8">
        <v>9.5999999999999992E-3</v>
      </c>
      <c r="L5" s="9" t="s">
        <v>42</v>
      </c>
      <c r="M5" s="7" t="s">
        <v>826</v>
      </c>
      <c r="N5" s="8">
        <v>1.89E-2</v>
      </c>
      <c r="O5" s="9" t="s">
        <v>37</v>
      </c>
      <c r="P5" s="7" t="s">
        <v>30</v>
      </c>
      <c r="Q5" s="11">
        <v>0.04</v>
      </c>
      <c r="R5" s="9" t="s">
        <v>37</v>
      </c>
      <c r="S5" s="10" t="s">
        <v>827</v>
      </c>
      <c r="T5" s="8">
        <v>6.6699999999999995E-2</v>
      </c>
      <c r="U5" s="9" t="s">
        <v>33</v>
      </c>
    </row>
    <row r="6" spans="1:21" ht="15.75" customHeight="1">
      <c r="A6" s="7" t="s">
        <v>572</v>
      </c>
      <c r="B6" s="8">
        <v>3.0300000000000001E-2</v>
      </c>
      <c r="C6" s="9" t="s">
        <v>33</v>
      </c>
      <c r="D6" s="10" t="s">
        <v>629</v>
      </c>
      <c r="E6" s="8">
        <v>1.89E-2</v>
      </c>
      <c r="F6" s="9" t="s">
        <v>37</v>
      </c>
      <c r="G6" s="7" t="s">
        <v>73</v>
      </c>
      <c r="H6" s="8">
        <v>5.5599999999999997E-2</v>
      </c>
      <c r="I6" s="9" t="s">
        <v>42</v>
      </c>
      <c r="J6" s="7" t="s">
        <v>818</v>
      </c>
      <c r="K6" s="8">
        <v>9.5999999999999992E-3</v>
      </c>
      <c r="L6" s="9" t="s">
        <v>33</v>
      </c>
      <c r="M6" s="7" t="s">
        <v>828</v>
      </c>
      <c r="N6" s="8">
        <v>1.89E-2</v>
      </c>
      <c r="O6" s="9" t="s">
        <v>42</v>
      </c>
      <c r="P6" s="7" t="s">
        <v>829</v>
      </c>
      <c r="Q6" s="11">
        <v>0.04</v>
      </c>
      <c r="R6" s="9" t="s">
        <v>33</v>
      </c>
      <c r="S6" s="10" t="s">
        <v>830</v>
      </c>
      <c r="T6" s="8">
        <v>6.6699999999999995E-2</v>
      </c>
      <c r="U6" s="9" t="s">
        <v>37</v>
      </c>
    </row>
    <row r="7" spans="1:21" ht="15.75" customHeight="1">
      <c r="A7" s="7" t="s">
        <v>831</v>
      </c>
      <c r="B7" s="8">
        <v>3.0300000000000001E-2</v>
      </c>
      <c r="C7" s="9" t="s">
        <v>33</v>
      </c>
      <c r="D7" s="10" t="s">
        <v>832</v>
      </c>
      <c r="E7" s="8">
        <v>1.89E-2</v>
      </c>
      <c r="F7" s="9" t="s">
        <v>33</v>
      </c>
      <c r="G7" s="7" t="s">
        <v>833</v>
      </c>
      <c r="H7" s="8">
        <v>5.5599999999999997E-2</v>
      </c>
      <c r="I7" s="9" t="s">
        <v>35</v>
      </c>
      <c r="J7" s="7" t="s">
        <v>834</v>
      </c>
      <c r="K7" s="8">
        <v>9.5999999999999992E-3</v>
      </c>
      <c r="L7" s="9" t="s">
        <v>42</v>
      </c>
      <c r="M7" s="7" t="s">
        <v>835</v>
      </c>
      <c r="N7" s="8">
        <v>1.89E-2</v>
      </c>
      <c r="O7" s="9" t="s">
        <v>33</v>
      </c>
      <c r="P7" s="7" t="s">
        <v>612</v>
      </c>
      <c r="Q7" s="11">
        <v>0.04</v>
      </c>
      <c r="R7" s="9" t="s">
        <v>33</v>
      </c>
      <c r="S7" s="7" t="s">
        <v>836</v>
      </c>
      <c r="T7" s="8">
        <v>6.6699999999999995E-2</v>
      </c>
      <c r="U7" s="9" t="s">
        <v>33</v>
      </c>
    </row>
    <row r="8" spans="1:21" ht="15.75" customHeight="1">
      <c r="A8" s="7" t="s">
        <v>837</v>
      </c>
      <c r="B8" s="8">
        <v>3.0300000000000001E-2</v>
      </c>
      <c r="C8" s="9" t="s">
        <v>42</v>
      </c>
      <c r="D8" s="7" t="s">
        <v>30</v>
      </c>
      <c r="E8" s="8">
        <v>1.89E-2</v>
      </c>
      <c r="F8" s="9" t="s">
        <v>37</v>
      </c>
      <c r="G8" s="7" t="s">
        <v>612</v>
      </c>
      <c r="H8" s="8">
        <v>5.5599999999999997E-2</v>
      </c>
      <c r="I8" s="9" t="s">
        <v>33</v>
      </c>
      <c r="J8" s="7" t="s">
        <v>838</v>
      </c>
      <c r="K8" s="8">
        <v>9.5999999999999992E-3</v>
      </c>
      <c r="L8" s="9" t="s">
        <v>37</v>
      </c>
      <c r="M8" s="7" t="s">
        <v>839</v>
      </c>
      <c r="N8" s="8">
        <v>1.89E-2</v>
      </c>
      <c r="O8" s="9" t="s">
        <v>42</v>
      </c>
      <c r="P8" s="7" t="s">
        <v>840</v>
      </c>
      <c r="Q8" s="11">
        <v>0.04</v>
      </c>
      <c r="R8" s="9" t="s">
        <v>33</v>
      </c>
      <c r="S8" s="7" t="s">
        <v>841</v>
      </c>
      <c r="T8" s="8">
        <v>6.6699999999999995E-2</v>
      </c>
      <c r="U8" s="9" t="s">
        <v>42</v>
      </c>
    </row>
    <row r="9" spans="1:21" ht="15.75" customHeight="1">
      <c r="A9" s="7" t="s">
        <v>83</v>
      </c>
      <c r="B9" s="8">
        <v>6.0600000000000001E-2</v>
      </c>
      <c r="C9" s="9" t="s">
        <v>42</v>
      </c>
      <c r="D9" s="7" t="s">
        <v>842</v>
      </c>
      <c r="E9" s="8">
        <v>1.89E-2</v>
      </c>
      <c r="F9" s="9" t="s">
        <v>33</v>
      </c>
      <c r="G9" s="7" t="s">
        <v>563</v>
      </c>
      <c r="H9" s="8">
        <v>5.5599999999999997E-2</v>
      </c>
      <c r="I9" s="9" t="s">
        <v>33</v>
      </c>
      <c r="J9" s="7" t="s">
        <v>41</v>
      </c>
      <c r="K9" s="8">
        <v>9.5999999999999992E-3</v>
      </c>
      <c r="L9" s="9" t="s">
        <v>42</v>
      </c>
      <c r="M9" s="7" t="s">
        <v>83</v>
      </c>
      <c r="N9" s="8">
        <v>1.89E-2</v>
      </c>
      <c r="O9" s="9" t="s">
        <v>42</v>
      </c>
      <c r="P9" s="7" t="s">
        <v>83</v>
      </c>
      <c r="Q9" s="11">
        <v>0.04</v>
      </c>
      <c r="R9" s="9" t="s">
        <v>42</v>
      </c>
      <c r="S9" s="7" t="s">
        <v>83</v>
      </c>
      <c r="T9" s="8">
        <v>6.6699999999999995E-2</v>
      </c>
      <c r="U9" s="9" t="s">
        <v>42</v>
      </c>
    </row>
    <row r="10" spans="1:21" ht="15.75" customHeight="1">
      <c r="A10" s="10" t="s">
        <v>843</v>
      </c>
      <c r="B10" s="8">
        <v>3.0300000000000001E-2</v>
      </c>
      <c r="C10" s="9" t="s">
        <v>33</v>
      </c>
      <c r="D10" s="7" t="s">
        <v>844</v>
      </c>
      <c r="E10" s="8">
        <v>1.89E-2</v>
      </c>
      <c r="F10" s="9" t="s">
        <v>42</v>
      </c>
      <c r="G10" s="7" t="s">
        <v>818</v>
      </c>
      <c r="H10" s="8">
        <v>0.16669999999999999</v>
      </c>
      <c r="I10" s="9" t="s">
        <v>33</v>
      </c>
      <c r="J10" s="10" t="s">
        <v>845</v>
      </c>
      <c r="K10" s="8">
        <v>9.5999999999999992E-3</v>
      </c>
      <c r="L10" s="9" t="s">
        <v>42</v>
      </c>
      <c r="M10" s="7" t="s">
        <v>41</v>
      </c>
      <c r="N10" s="8">
        <v>1.89E-2</v>
      </c>
      <c r="O10" s="9" t="s">
        <v>42</v>
      </c>
      <c r="P10" s="7" t="s">
        <v>846</v>
      </c>
      <c r="Q10" s="11">
        <v>0.04</v>
      </c>
      <c r="R10" s="9" t="s">
        <v>42</v>
      </c>
      <c r="S10" s="10"/>
      <c r="T10" s="12"/>
      <c r="U10" s="9"/>
    </row>
    <row r="11" spans="1:21" ht="15.75" customHeight="1">
      <c r="A11" s="7" t="s">
        <v>151</v>
      </c>
      <c r="B11" s="8">
        <v>3.0300000000000001E-2</v>
      </c>
      <c r="C11" s="9" t="s">
        <v>33</v>
      </c>
      <c r="D11" s="7" t="s">
        <v>128</v>
      </c>
      <c r="E11" s="8">
        <v>1.89E-2</v>
      </c>
      <c r="F11" s="9" t="s">
        <v>42</v>
      </c>
      <c r="G11" s="7" t="s">
        <v>847</v>
      </c>
      <c r="H11" s="8">
        <v>5.5599999999999997E-2</v>
      </c>
      <c r="I11" s="9" t="s">
        <v>42</v>
      </c>
      <c r="J11" s="10" t="s">
        <v>848</v>
      </c>
      <c r="K11" s="8">
        <v>9.5999999999999992E-3</v>
      </c>
      <c r="L11" s="9" t="s">
        <v>37</v>
      </c>
      <c r="M11" s="7" t="s">
        <v>849</v>
      </c>
      <c r="N11" s="8">
        <v>1.89E-2</v>
      </c>
      <c r="O11" s="9" t="s">
        <v>42</v>
      </c>
      <c r="P11" s="10"/>
      <c r="Q11" s="12"/>
      <c r="R11" s="9"/>
      <c r="S11" s="10"/>
      <c r="T11" s="12"/>
      <c r="U11" s="9"/>
    </row>
    <row r="12" spans="1:21" ht="15.75" customHeight="1">
      <c r="A12" s="7" t="s">
        <v>137</v>
      </c>
      <c r="B12" s="8">
        <v>3.0300000000000001E-2</v>
      </c>
      <c r="C12" s="9" t="s">
        <v>42</v>
      </c>
      <c r="D12" s="7" t="s">
        <v>296</v>
      </c>
      <c r="E12" s="8">
        <v>1.89E-2</v>
      </c>
      <c r="F12" s="9" t="s">
        <v>42</v>
      </c>
      <c r="G12" s="7" t="s">
        <v>850</v>
      </c>
      <c r="H12" s="8">
        <v>5.5599999999999997E-2</v>
      </c>
      <c r="I12" s="9" t="s">
        <v>37</v>
      </c>
      <c r="J12" s="7" t="s">
        <v>851</v>
      </c>
      <c r="K12" s="8">
        <v>9.5999999999999992E-3</v>
      </c>
      <c r="L12" s="9" t="s">
        <v>33</v>
      </c>
      <c r="M12" s="7" t="s">
        <v>821</v>
      </c>
      <c r="N12" s="8">
        <v>1.89E-2</v>
      </c>
      <c r="O12" s="9" t="s">
        <v>33</v>
      </c>
      <c r="P12" s="10"/>
      <c r="Q12" s="12"/>
      <c r="R12" s="9"/>
      <c r="S12" s="10"/>
      <c r="T12" s="12"/>
      <c r="U12" s="9"/>
    </row>
    <row r="13" spans="1:21" ht="15.75" customHeight="1">
      <c r="A13" s="10"/>
      <c r="B13" s="8"/>
      <c r="C13" s="9"/>
      <c r="D13" s="7" t="s">
        <v>852</v>
      </c>
      <c r="E13" s="8">
        <v>1.89E-2</v>
      </c>
      <c r="F13" s="9" t="s">
        <v>37</v>
      </c>
      <c r="G13" s="10"/>
      <c r="H13" s="12"/>
      <c r="I13" s="9"/>
      <c r="J13" s="7" t="s">
        <v>853</v>
      </c>
      <c r="K13" s="8">
        <v>9.5999999999999992E-3</v>
      </c>
      <c r="L13" s="9" t="s">
        <v>33</v>
      </c>
      <c r="M13" s="7" t="s">
        <v>854</v>
      </c>
      <c r="N13" s="8">
        <v>1.89E-2</v>
      </c>
      <c r="O13" s="9" t="s">
        <v>33</v>
      </c>
      <c r="P13" s="10"/>
      <c r="Q13" s="12"/>
      <c r="R13" s="9"/>
      <c r="S13" s="10"/>
      <c r="T13" s="12"/>
      <c r="U13" s="9"/>
    </row>
    <row r="14" spans="1:21" ht="15.75" customHeight="1">
      <c r="A14" s="10"/>
      <c r="B14" s="8"/>
      <c r="C14" s="9"/>
      <c r="D14" s="7" t="s">
        <v>855</v>
      </c>
      <c r="E14" s="8">
        <v>1.89E-2</v>
      </c>
      <c r="F14" s="9" t="s">
        <v>33</v>
      </c>
      <c r="G14" s="10"/>
      <c r="H14" s="12"/>
      <c r="I14" s="9"/>
      <c r="J14" s="7" t="s">
        <v>856</v>
      </c>
      <c r="K14" s="8">
        <v>9.5999999999999992E-3</v>
      </c>
      <c r="L14" s="9" t="s">
        <v>37</v>
      </c>
      <c r="M14" s="7" t="s">
        <v>857</v>
      </c>
      <c r="N14" s="8">
        <v>1.89E-2</v>
      </c>
      <c r="O14" s="9" t="s">
        <v>33</v>
      </c>
      <c r="P14" s="10"/>
      <c r="Q14" s="12"/>
      <c r="R14" s="9"/>
      <c r="S14" s="10"/>
      <c r="T14" s="12"/>
      <c r="U14" s="9"/>
    </row>
    <row r="15" spans="1:21" ht="15.75" customHeight="1">
      <c r="A15" s="10"/>
      <c r="B15" s="8"/>
      <c r="C15" s="9"/>
      <c r="D15" s="7" t="s">
        <v>612</v>
      </c>
      <c r="E15" s="8">
        <v>1.89E-2</v>
      </c>
      <c r="F15" s="9" t="s">
        <v>33</v>
      </c>
      <c r="G15" s="10"/>
      <c r="H15" s="12"/>
      <c r="I15" s="9"/>
      <c r="J15" s="7" t="s">
        <v>41</v>
      </c>
      <c r="K15" s="8">
        <v>9.5999999999999992E-3</v>
      </c>
      <c r="L15" s="9" t="s">
        <v>42</v>
      </c>
      <c r="M15" s="7" t="s">
        <v>858</v>
      </c>
      <c r="N15" s="8">
        <v>1.89E-2</v>
      </c>
      <c r="O15" s="9" t="s">
        <v>33</v>
      </c>
      <c r="P15" s="10"/>
      <c r="Q15" s="12"/>
      <c r="R15" s="9"/>
      <c r="S15" s="10"/>
      <c r="T15" s="12"/>
      <c r="U15" s="9"/>
    </row>
    <row r="16" spans="1:21" ht="15.75" customHeight="1">
      <c r="A16" s="10"/>
      <c r="B16" s="8"/>
      <c r="C16" s="9"/>
      <c r="D16" s="7" t="s">
        <v>415</v>
      </c>
      <c r="E16" s="8">
        <v>1.89E-2</v>
      </c>
      <c r="F16" s="9" t="s">
        <v>33</v>
      </c>
      <c r="G16" s="10"/>
      <c r="H16" s="12"/>
      <c r="I16" s="9"/>
      <c r="J16" s="7" t="s">
        <v>442</v>
      </c>
      <c r="K16" s="8">
        <v>9.5999999999999992E-3</v>
      </c>
      <c r="L16" s="9" t="s">
        <v>37</v>
      </c>
      <c r="M16" s="7" t="s">
        <v>859</v>
      </c>
      <c r="N16" s="8">
        <v>1.89E-2</v>
      </c>
      <c r="O16" s="9" t="s">
        <v>33</v>
      </c>
      <c r="P16" s="10"/>
      <c r="Q16" s="12"/>
      <c r="R16" s="9"/>
      <c r="S16" s="10"/>
      <c r="T16" s="12"/>
      <c r="U16" s="9"/>
    </row>
    <row r="17" spans="1:21" ht="15.75" customHeight="1">
      <c r="A17" s="10"/>
      <c r="B17" s="12"/>
      <c r="C17" s="9"/>
      <c r="D17" s="7" t="s">
        <v>860</v>
      </c>
      <c r="E17" s="8">
        <v>1.89E-2</v>
      </c>
      <c r="F17" s="9"/>
      <c r="G17" s="10"/>
      <c r="H17" s="12"/>
      <c r="I17" s="9"/>
      <c r="J17" s="7" t="s">
        <v>325</v>
      </c>
      <c r="K17" s="8">
        <v>9.5999999999999992E-3</v>
      </c>
      <c r="L17" s="9"/>
      <c r="M17" s="7" t="s">
        <v>861</v>
      </c>
      <c r="N17" s="8">
        <v>1.89E-2</v>
      </c>
      <c r="O17" s="9" t="s">
        <v>37</v>
      </c>
      <c r="P17" s="10"/>
      <c r="Q17" s="12"/>
      <c r="R17" s="9"/>
      <c r="S17" s="10"/>
      <c r="T17" s="12"/>
      <c r="U17" s="9"/>
    </row>
    <row r="18" spans="1:21" ht="15.75" customHeight="1">
      <c r="A18" s="10"/>
      <c r="B18" s="12"/>
      <c r="C18" s="9"/>
      <c r="D18" s="7" t="s">
        <v>862</v>
      </c>
      <c r="E18" s="8">
        <v>1.89E-2</v>
      </c>
      <c r="F18" s="9" t="s">
        <v>33</v>
      </c>
      <c r="G18" s="10"/>
      <c r="H18" s="12"/>
      <c r="I18" s="9"/>
      <c r="J18" s="10"/>
      <c r="K18" s="12"/>
      <c r="L18" s="9"/>
      <c r="M18" s="7" t="s">
        <v>863</v>
      </c>
      <c r="N18" s="8">
        <v>1.89E-2</v>
      </c>
      <c r="O18" s="9" t="s">
        <v>42</v>
      </c>
      <c r="P18" s="10"/>
      <c r="Q18" s="12"/>
      <c r="R18" s="9"/>
      <c r="S18" s="10"/>
      <c r="T18" s="12"/>
      <c r="U18" s="9"/>
    </row>
    <row r="19" spans="1:21" ht="15.75" customHeight="1">
      <c r="A19" s="10"/>
      <c r="B19" s="12"/>
      <c r="C19" s="9"/>
      <c r="D19" s="7" t="s">
        <v>563</v>
      </c>
      <c r="E19" s="8">
        <v>1.89E-2</v>
      </c>
      <c r="F19" s="9" t="s">
        <v>33</v>
      </c>
      <c r="G19" s="10"/>
      <c r="H19" s="12"/>
      <c r="I19" s="9"/>
      <c r="J19" s="10"/>
      <c r="K19" s="12"/>
      <c r="L19" s="9"/>
      <c r="M19" s="7" t="s">
        <v>864</v>
      </c>
      <c r="N19" s="8">
        <v>1.89E-2</v>
      </c>
      <c r="O19" s="9" t="s">
        <v>42</v>
      </c>
      <c r="P19" s="10"/>
      <c r="Q19" s="12"/>
      <c r="R19" s="9"/>
      <c r="S19" s="10"/>
      <c r="T19" s="12"/>
      <c r="U19" s="9"/>
    </row>
    <row r="20" spans="1:21" ht="15.75" customHeight="1">
      <c r="A20" s="10"/>
      <c r="B20" s="12"/>
      <c r="C20" s="9"/>
      <c r="D20" s="7" t="s">
        <v>865</v>
      </c>
      <c r="E20" s="8">
        <v>1.89E-2</v>
      </c>
      <c r="F20" s="9" t="s">
        <v>33</v>
      </c>
      <c r="G20" s="10"/>
      <c r="H20" s="12"/>
      <c r="I20" s="9"/>
      <c r="J20" s="10"/>
      <c r="K20" s="12"/>
      <c r="L20" s="9"/>
      <c r="M20" s="7" t="s">
        <v>385</v>
      </c>
      <c r="N20" s="8">
        <v>1.89E-2</v>
      </c>
      <c r="O20" s="9" t="s">
        <v>35</v>
      </c>
      <c r="P20" s="10"/>
      <c r="Q20" s="12"/>
      <c r="R20" s="9"/>
      <c r="S20" s="10"/>
      <c r="T20" s="12"/>
      <c r="U20" s="9"/>
    </row>
    <row r="21" spans="1:21" ht="15.75" customHeight="1">
      <c r="A21" s="10"/>
      <c r="B21" s="12"/>
      <c r="C21" s="9"/>
      <c r="D21" s="7" t="s">
        <v>30</v>
      </c>
      <c r="E21" s="8">
        <v>1.89E-2</v>
      </c>
      <c r="F21" s="9" t="s">
        <v>37</v>
      </c>
      <c r="G21" s="10"/>
      <c r="H21" s="12"/>
      <c r="I21" s="9"/>
      <c r="J21" s="10"/>
      <c r="K21" s="12"/>
      <c r="L21" s="9"/>
      <c r="M21" s="10"/>
      <c r="N21" s="12"/>
      <c r="O21" s="9"/>
      <c r="P21" s="10"/>
      <c r="Q21" s="12"/>
      <c r="R21" s="9"/>
      <c r="S21" s="10"/>
      <c r="T21" s="12"/>
      <c r="U21" s="9"/>
    </row>
    <row r="22" spans="1:21" ht="15.75" customHeight="1">
      <c r="A22" s="10"/>
      <c r="B22" s="12"/>
      <c r="C22" s="9"/>
      <c r="D22" s="7" t="s">
        <v>866</v>
      </c>
      <c r="E22" s="8">
        <v>1.89E-2</v>
      </c>
      <c r="F22" s="9" t="s">
        <v>33</v>
      </c>
      <c r="G22" s="10"/>
      <c r="H22" s="12"/>
      <c r="I22" s="9"/>
      <c r="J22" s="10"/>
      <c r="K22" s="12"/>
      <c r="L22" s="9"/>
      <c r="M22" s="10"/>
      <c r="N22" s="12"/>
      <c r="O22" s="9"/>
      <c r="P22" s="10"/>
      <c r="Q22" s="12"/>
      <c r="R22" s="9"/>
      <c r="S22" s="10"/>
      <c r="T22" s="12"/>
      <c r="U22" s="9"/>
    </row>
    <row r="23" spans="1:21" ht="15.75" customHeight="1">
      <c r="A23" s="13"/>
      <c r="B23" s="14"/>
      <c r="C23" s="15"/>
      <c r="D23" s="13"/>
      <c r="E23" s="14"/>
      <c r="F23" s="15"/>
      <c r="G23" s="13"/>
      <c r="H23" s="14"/>
      <c r="I23" s="15"/>
      <c r="J23" s="13"/>
      <c r="K23" s="14"/>
      <c r="L23" s="15"/>
      <c r="M23" s="13"/>
      <c r="N23" s="14"/>
      <c r="O23" s="15"/>
      <c r="P23" s="13"/>
      <c r="Q23" s="14"/>
      <c r="R23" s="15"/>
      <c r="S23" s="13"/>
      <c r="T23" s="14"/>
      <c r="U23" s="15"/>
    </row>
    <row r="24" spans="1:21" ht="15.75" customHeight="1">
      <c r="A24" s="4" t="str">
        <f>IF(8&lt;=DAY(EOMONTH(DATE(2026,$B$1,1),0)),$B$1&amp;"월 8일","")</f>
        <v>6월 8일</v>
      </c>
      <c r="B24" s="5"/>
      <c r="C24" s="6"/>
      <c r="D24" s="4" t="str">
        <f>IF(9&lt;=DAY(EOMONTH(DATE(2026,$B$1,1),0)),$B$1&amp;"월 9일","")</f>
        <v>6월 9일</v>
      </c>
      <c r="E24" s="5"/>
      <c r="F24" s="6"/>
      <c r="G24" s="4" t="str">
        <f>IF(10&lt;=DAY(EOMONTH(DATE(2026,$B$1,1),0)),$B$1&amp;"월 10일","")</f>
        <v>6월 10일</v>
      </c>
      <c r="H24" s="5"/>
      <c r="I24" s="6"/>
      <c r="J24" s="4" t="str">
        <f>IF(11&lt;=DAY(EOMONTH(DATE(2026,$B$1,1),0)),$B$1&amp;"월 11일","")</f>
        <v>6월 11일</v>
      </c>
      <c r="K24" s="5"/>
      <c r="L24" s="6"/>
      <c r="M24" s="4" t="str">
        <f>IF(12&lt;=DAY(EOMONTH(DATE(2026,$B$1,1),0)),$B$1&amp;"월 12일","")</f>
        <v>6월 12일</v>
      </c>
      <c r="N24" s="5"/>
      <c r="O24" s="6"/>
      <c r="P24" s="4" t="str">
        <f>IF(13&lt;=DAY(EOMONTH(DATE(2026,$B$1,1),0)),$B$1&amp;"월 13일","")</f>
        <v>6월 13일</v>
      </c>
      <c r="Q24" s="5"/>
      <c r="R24" s="6"/>
      <c r="S24" s="4" t="str">
        <f>IF(14&lt;=DAY(EOMONTH(DATE(2026,$B$1,1),0)),$B$1&amp;"월 14일","")</f>
        <v>6월 14일</v>
      </c>
      <c r="T24" s="5"/>
      <c r="U24" s="6"/>
    </row>
    <row r="25" spans="1:21" ht="15.75" customHeight="1">
      <c r="A25" s="10" t="s">
        <v>867</v>
      </c>
      <c r="B25" s="8">
        <v>2.3300000000000001E-2</v>
      </c>
      <c r="C25" s="9" t="s">
        <v>37</v>
      </c>
      <c r="D25" s="7" t="s">
        <v>818</v>
      </c>
      <c r="E25" s="8">
        <v>7.4999999999999997E-2</v>
      </c>
      <c r="F25" s="9" t="s">
        <v>33</v>
      </c>
      <c r="G25" s="7" t="s">
        <v>818</v>
      </c>
      <c r="H25" s="8">
        <v>2.6100000000000002E-2</v>
      </c>
      <c r="I25" s="9" t="s">
        <v>33</v>
      </c>
      <c r="J25" s="7" t="s">
        <v>868</v>
      </c>
      <c r="K25" s="8">
        <v>5.1299999999999998E-2</v>
      </c>
      <c r="L25" s="9" t="s">
        <v>42</v>
      </c>
      <c r="M25" s="7" t="s">
        <v>30</v>
      </c>
      <c r="N25" s="8">
        <v>4.1700000000000001E-2</v>
      </c>
      <c r="O25" s="9" t="s">
        <v>37</v>
      </c>
      <c r="P25" s="7" t="s">
        <v>612</v>
      </c>
      <c r="Q25" s="11">
        <v>0.25</v>
      </c>
      <c r="R25" s="9" t="s">
        <v>33</v>
      </c>
      <c r="S25" s="7" t="s">
        <v>851</v>
      </c>
      <c r="T25" s="8">
        <v>0.125</v>
      </c>
      <c r="U25" s="9" t="s">
        <v>33</v>
      </c>
    </row>
    <row r="26" spans="1:21" ht="15.75" customHeight="1">
      <c r="A26" s="10" t="s">
        <v>820</v>
      </c>
      <c r="B26" s="8">
        <v>2.3300000000000001E-2</v>
      </c>
      <c r="C26" s="9" t="s">
        <v>37</v>
      </c>
      <c r="D26" s="7" t="s">
        <v>299</v>
      </c>
      <c r="E26" s="11">
        <v>0.05</v>
      </c>
      <c r="F26" s="9" t="s">
        <v>27</v>
      </c>
      <c r="G26" s="10" t="s">
        <v>869</v>
      </c>
      <c r="H26" s="8">
        <v>8.6999999999999994E-3</v>
      </c>
      <c r="I26" s="9" t="s">
        <v>37</v>
      </c>
      <c r="J26" s="7" t="s">
        <v>83</v>
      </c>
      <c r="K26" s="8">
        <v>5.1299999999999998E-2</v>
      </c>
      <c r="L26" s="9" t="s">
        <v>42</v>
      </c>
      <c r="M26" s="7" t="s">
        <v>83</v>
      </c>
      <c r="N26" s="8">
        <v>4.1700000000000001E-2</v>
      </c>
      <c r="O26" s="9" t="s">
        <v>42</v>
      </c>
      <c r="P26" s="7" t="s">
        <v>83</v>
      </c>
      <c r="Q26" s="8">
        <v>6.25E-2</v>
      </c>
      <c r="R26" s="9" t="s">
        <v>42</v>
      </c>
      <c r="S26" s="7" t="s">
        <v>612</v>
      </c>
      <c r="T26" s="8">
        <v>0.125</v>
      </c>
      <c r="U26" s="9" t="s">
        <v>33</v>
      </c>
    </row>
    <row r="27" spans="1:21" ht="15.75" customHeight="1">
      <c r="A27" s="7" t="s">
        <v>870</v>
      </c>
      <c r="B27" s="8">
        <v>2.3300000000000001E-2</v>
      </c>
      <c r="C27" s="9" t="s">
        <v>37</v>
      </c>
      <c r="D27" s="10" t="s">
        <v>871</v>
      </c>
      <c r="E27" s="8">
        <v>2.5000000000000001E-2</v>
      </c>
      <c r="F27" s="9" t="s">
        <v>37</v>
      </c>
      <c r="G27" s="10" t="s">
        <v>872</v>
      </c>
      <c r="H27" s="8">
        <v>8.6999999999999994E-3</v>
      </c>
      <c r="I27" s="9" t="s">
        <v>35</v>
      </c>
      <c r="J27" s="10" t="s">
        <v>873</v>
      </c>
      <c r="K27" s="8">
        <v>2.5600000000000001E-2</v>
      </c>
      <c r="L27" s="9" t="s">
        <v>33</v>
      </c>
      <c r="M27" s="7" t="s">
        <v>92</v>
      </c>
      <c r="N27" s="8">
        <v>4.1700000000000001E-2</v>
      </c>
      <c r="O27" s="9" t="s">
        <v>42</v>
      </c>
      <c r="P27" s="7" t="s">
        <v>92</v>
      </c>
      <c r="Q27" s="8">
        <v>6.25E-2</v>
      </c>
      <c r="R27" s="9" t="s">
        <v>42</v>
      </c>
      <c r="S27" s="7" t="s">
        <v>83</v>
      </c>
      <c r="T27" s="8">
        <v>0.125</v>
      </c>
      <c r="U27" s="9" t="s">
        <v>42</v>
      </c>
    </row>
    <row r="28" spans="1:21" ht="15.75" customHeight="1">
      <c r="A28" s="7" t="s">
        <v>874</v>
      </c>
      <c r="B28" s="8">
        <v>2.3300000000000001E-2</v>
      </c>
      <c r="C28" s="9" t="s">
        <v>33</v>
      </c>
      <c r="D28" s="7" t="s">
        <v>870</v>
      </c>
      <c r="E28" s="8">
        <v>2.5000000000000001E-2</v>
      </c>
      <c r="F28" s="9" t="s">
        <v>37</v>
      </c>
      <c r="G28" s="10" t="s">
        <v>75</v>
      </c>
      <c r="H28" s="8">
        <v>8.6999999999999994E-3</v>
      </c>
      <c r="I28" s="9" t="s">
        <v>37</v>
      </c>
      <c r="J28" s="7" t="s">
        <v>30</v>
      </c>
      <c r="K28" s="8">
        <v>2.5600000000000001E-2</v>
      </c>
      <c r="L28" s="9" t="s">
        <v>37</v>
      </c>
      <c r="M28" s="7" t="s">
        <v>563</v>
      </c>
      <c r="N28" s="8">
        <v>2.0799999999999999E-2</v>
      </c>
      <c r="O28" s="9" t="s">
        <v>33</v>
      </c>
      <c r="P28" s="7" t="s">
        <v>875</v>
      </c>
      <c r="Q28" s="8">
        <v>6.25E-2</v>
      </c>
      <c r="R28" s="9" t="s">
        <v>42</v>
      </c>
      <c r="S28" s="7" t="s">
        <v>876</v>
      </c>
      <c r="T28" s="8">
        <v>0.125</v>
      </c>
      <c r="U28" s="9" t="s">
        <v>42</v>
      </c>
    </row>
    <row r="29" spans="1:21" ht="15.75" customHeight="1">
      <c r="A29" s="7" t="s">
        <v>818</v>
      </c>
      <c r="B29" s="8">
        <v>2.3300000000000001E-2</v>
      </c>
      <c r="C29" s="9" t="s">
        <v>33</v>
      </c>
      <c r="D29" s="7" t="s">
        <v>43</v>
      </c>
      <c r="E29" s="8">
        <v>2.5000000000000001E-2</v>
      </c>
      <c r="F29" s="9" t="s">
        <v>37</v>
      </c>
      <c r="G29" s="7" t="s">
        <v>442</v>
      </c>
      <c r="H29" s="8">
        <v>8.6999999999999994E-3</v>
      </c>
      <c r="I29" s="9" t="s">
        <v>27</v>
      </c>
      <c r="J29" s="7" t="s">
        <v>877</v>
      </c>
      <c r="K29" s="8">
        <v>2.5600000000000001E-2</v>
      </c>
      <c r="L29" s="9" t="s">
        <v>33</v>
      </c>
      <c r="M29" s="10" t="s">
        <v>871</v>
      </c>
      <c r="N29" s="8">
        <v>2.0799999999999999E-2</v>
      </c>
      <c r="O29" s="9" t="s">
        <v>37</v>
      </c>
      <c r="P29" s="10"/>
      <c r="Q29" s="12"/>
      <c r="R29" s="9"/>
      <c r="S29" s="10"/>
      <c r="T29" s="12"/>
      <c r="U29" s="9"/>
    </row>
    <row r="30" spans="1:21" ht="15.75" customHeight="1">
      <c r="A30" s="7" t="s">
        <v>612</v>
      </c>
      <c r="B30" s="8">
        <v>2.3300000000000001E-2</v>
      </c>
      <c r="C30" s="9" t="s">
        <v>33</v>
      </c>
      <c r="D30" s="7" t="s">
        <v>612</v>
      </c>
      <c r="E30" s="8">
        <v>2.5000000000000001E-2</v>
      </c>
      <c r="F30" s="9" t="s">
        <v>33</v>
      </c>
      <c r="G30" s="7" t="s">
        <v>83</v>
      </c>
      <c r="H30" s="8">
        <v>8.6999999999999994E-3</v>
      </c>
      <c r="I30" s="9" t="s">
        <v>42</v>
      </c>
      <c r="J30" s="7" t="s">
        <v>41</v>
      </c>
      <c r="K30" s="8">
        <v>2.5600000000000001E-2</v>
      </c>
      <c r="L30" s="9" t="s">
        <v>42</v>
      </c>
      <c r="M30" s="10" t="s">
        <v>878</v>
      </c>
      <c r="N30" s="8">
        <v>2.0799999999999999E-2</v>
      </c>
      <c r="O30" s="9" t="s">
        <v>37</v>
      </c>
      <c r="P30" s="10"/>
      <c r="Q30" s="12"/>
      <c r="R30" s="9"/>
      <c r="S30" s="10"/>
      <c r="T30" s="12"/>
      <c r="U30" s="9"/>
    </row>
    <row r="31" spans="1:21" ht="15.75" customHeight="1">
      <c r="A31" s="7" t="s">
        <v>128</v>
      </c>
      <c r="B31" s="8">
        <v>2.3300000000000001E-2</v>
      </c>
      <c r="C31" s="9" t="s">
        <v>42</v>
      </c>
      <c r="D31" s="7" t="s">
        <v>879</v>
      </c>
      <c r="E31" s="8">
        <v>2.5000000000000001E-2</v>
      </c>
      <c r="F31" s="9" t="s">
        <v>42</v>
      </c>
      <c r="G31" s="7" t="s">
        <v>41</v>
      </c>
      <c r="H31" s="8">
        <v>8.6999999999999994E-3</v>
      </c>
      <c r="I31" s="9" t="s">
        <v>42</v>
      </c>
      <c r="J31" s="7" t="s">
        <v>818</v>
      </c>
      <c r="K31" s="8">
        <v>5.1299999999999998E-2</v>
      </c>
      <c r="L31" s="9" t="s">
        <v>33</v>
      </c>
      <c r="M31" s="7" t="s">
        <v>30</v>
      </c>
      <c r="N31" s="8">
        <v>2.0799999999999999E-2</v>
      </c>
      <c r="O31" s="9" t="s">
        <v>37</v>
      </c>
      <c r="P31" s="10"/>
      <c r="Q31" s="12"/>
      <c r="R31" s="9"/>
      <c r="S31" s="10"/>
      <c r="T31" s="12"/>
      <c r="U31" s="9"/>
    </row>
    <row r="32" spans="1:21" ht="15.75" customHeight="1">
      <c r="A32" s="7" t="s">
        <v>584</v>
      </c>
      <c r="B32" s="8">
        <v>4.65E-2</v>
      </c>
      <c r="C32" s="9" t="s">
        <v>42</v>
      </c>
      <c r="D32" s="7" t="s">
        <v>128</v>
      </c>
      <c r="E32" s="8">
        <v>2.5000000000000001E-2</v>
      </c>
      <c r="F32" s="9" t="s">
        <v>42</v>
      </c>
      <c r="G32" s="7" t="s">
        <v>739</v>
      </c>
      <c r="H32" s="8">
        <v>8.6999999999999994E-3</v>
      </c>
      <c r="I32" s="9" t="s">
        <v>42</v>
      </c>
      <c r="J32" s="7" t="s">
        <v>880</v>
      </c>
      <c r="K32" s="8">
        <v>2.5600000000000001E-2</v>
      </c>
      <c r="L32" s="9" t="s">
        <v>37</v>
      </c>
      <c r="M32" s="7" t="s">
        <v>881</v>
      </c>
      <c r="N32" s="8">
        <v>2.0799999999999999E-2</v>
      </c>
      <c r="O32" s="9" t="s">
        <v>37</v>
      </c>
      <c r="P32" s="10"/>
      <c r="Q32" s="12"/>
      <c r="R32" s="9"/>
      <c r="S32" s="10"/>
      <c r="T32" s="12"/>
      <c r="U32" s="9"/>
    </row>
    <row r="33" spans="1:21" ht="15.75" customHeight="1">
      <c r="A33" s="7" t="s">
        <v>83</v>
      </c>
      <c r="B33" s="8">
        <v>2.3300000000000001E-2</v>
      </c>
      <c r="C33" s="9" t="s">
        <v>42</v>
      </c>
      <c r="D33" s="7" t="s">
        <v>882</v>
      </c>
      <c r="E33" s="8">
        <v>2.5000000000000001E-2</v>
      </c>
      <c r="F33" s="9" t="s">
        <v>33</v>
      </c>
      <c r="G33" s="7" t="s">
        <v>375</v>
      </c>
      <c r="H33" s="8">
        <v>8.6999999999999994E-3</v>
      </c>
      <c r="I33" s="9" t="s">
        <v>42</v>
      </c>
      <c r="J33" s="7" t="s">
        <v>883</v>
      </c>
      <c r="K33" s="8">
        <v>2.5600000000000001E-2</v>
      </c>
      <c r="L33" s="9" t="s">
        <v>33</v>
      </c>
      <c r="M33" s="10" t="s">
        <v>884</v>
      </c>
      <c r="N33" s="8">
        <v>2.0799999999999999E-2</v>
      </c>
      <c r="O33" s="9" t="s">
        <v>37</v>
      </c>
      <c r="P33" s="10"/>
      <c r="Q33" s="12"/>
      <c r="R33" s="9"/>
      <c r="S33" s="10"/>
      <c r="T33" s="12"/>
      <c r="U33" s="9"/>
    </row>
    <row r="34" spans="1:21" ht="15.75" customHeight="1">
      <c r="A34" s="7" t="s">
        <v>885</v>
      </c>
      <c r="B34" s="8">
        <v>2.3300000000000001E-2</v>
      </c>
      <c r="C34" s="9" t="s">
        <v>33</v>
      </c>
      <c r="D34" s="7" t="s">
        <v>563</v>
      </c>
      <c r="E34" s="8">
        <v>2.5000000000000001E-2</v>
      </c>
      <c r="F34" s="9" t="s">
        <v>33</v>
      </c>
      <c r="G34" s="7" t="s">
        <v>41</v>
      </c>
      <c r="H34" s="8">
        <v>1.7399999999999999E-2</v>
      </c>
      <c r="I34" s="9" t="s">
        <v>42</v>
      </c>
      <c r="J34" s="7" t="s">
        <v>886</v>
      </c>
      <c r="K34" s="8">
        <v>2.5600000000000001E-2</v>
      </c>
      <c r="L34" s="9" t="s">
        <v>33</v>
      </c>
      <c r="M34" s="7" t="s">
        <v>887</v>
      </c>
      <c r="N34" s="8">
        <v>2.0799999999999999E-2</v>
      </c>
      <c r="O34" s="9" t="s">
        <v>42</v>
      </c>
      <c r="P34" s="10"/>
      <c r="Q34" s="12"/>
      <c r="R34" s="9"/>
      <c r="S34" s="10"/>
      <c r="T34" s="12"/>
      <c r="U34" s="9"/>
    </row>
    <row r="35" spans="1:21" ht="15.75" customHeight="1">
      <c r="A35" s="10"/>
      <c r="B35" s="12"/>
      <c r="C35" s="9"/>
      <c r="D35" s="7" t="s">
        <v>888</v>
      </c>
      <c r="E35" s="8">
        <v>2.5000000000000001E-2</v>
      </c>
      <c r="F35" s="9" t="s">
        <v>33</v>
      </c>
      <c r="G35" s="10" t="s">
        <v>889</v>
      </c>
      <c r="H35" s="8">
        <v>8.6999999999999994E-3</v>
      </c>
      <c r="I35" s="9" t="s">
        <v>37</v>
      </c>
      <c r="J35" s="7" t="s">
        <v>890</v>
      </c>
      <c r="K35" s="8">
        <v>2.5600000000000001E-2</v>
      </c>
      <c r="L35" s="9" t="s">
        <v>33</v>
      </c>
      <c r="M35" s="10"/>
      <c r="N35" s="12"/>
      <c r="O35" s="9"/>
      <c r="P35" s="10"/>
      <c r="Q35" s="12"/>
      <c r="R35" s="9"/>
      <c r="S35" s="10"/>
      <c r="T35" s="12"/>
      <c r="U35" s="9"/>
    </row>
    <row r="36" spans="1:21" ht="15.75" customHeight="1">
      <c r="A36" s="10"/>
      <c r="B36" s="12"/>
      <c r="C36" s="9"/>
      <c r="D36" s="7" t="s">
        <v>818</v>
      </c>
      <c r="E36" s="11">
        <v>0.05</v>
      </c>
      <c r="F36" s="9" t="s">
        <v>33</v>
      </c>
      <c r="G36" s="7" t="s">
        <v>891</v>
      </c>
      <c r="H36" s="8">
        <v>8.6999999999999994E-3</v>
      </c>
      <c r="I36" s="9" t="s">
        <v>33</v>
      </c>
      <c r="J36" s="10"/>
      <c r="K36" s="12"/>
      <c r="L36" s="9"/>
      <c r="M36" s="10"/>
      <c r="N36" s="12"/>
      <c r="O36" s="9"/>
      <c r="P36" s="10"/>
      <c r="Q36" s="12"/>
      <c r="R36" s="9"/>
      <c r="S36" s="10"/>
      <c r="T36" s="12"/>
      <c r="U36" s="9"/>
    </row>
    <row r="37" spans="1:21" ht="15.75" customHeight="1">
      <c r="A37" s="10"/>
      <c r="B37" s="12"/>
      <c r="C37" s="9"/>
      <c r="D37" s="7" t="s">
        <v>892</v>
      </c>
      <c r="E37" s="8">
        <v>2.5000000000000001E-2</v>
      </c>
      <c r="F37" s="9" t="s">
        <v>27</v>
      </c>
      <c r="G37" s="7" t="s">
        <v>43</v>
      </c>
      <c r="H37" s="8">
        <v>8.6999999999999994E-3</v>
      </c>
      <c r="I37" s="9" t="s">
        <v>37</v>
      </c>
      <c r="J37" s="10"/>
      <c r="K37" s="12"/>
      <c r="L37" s="9"/>
      <c r="M37" s="10"/>
      <c r="N37" s="12"/>
      <c r="O37" s="9"/>
      <c r="P37" s="10"/>
      <c r="Q37" s="12"/>
      <c r="R37" s="9"/>
      <c r="S37" s="10"/>
      <c r="T37" s="12"/>
      <c r="U37" s="9"/>
    </row>
    <row r="38" spans="1:21" ht="15.75" customHeight="1">
      <c r="A38" s="10"/>
      <c r="B38" s="12"/>
      <c r="C38" s="9"/>
      <c r="D38" s="7" t="s">
        <v>367</v>
      </c>
      <c r="E38" s="8">
        <v>2.5000000000000001E-2</v>
      </c>
      <c r="F38" s="9" t="s">
        <v>37</v>
      </c>
      <c r="G38" s="10"/>
      <c r="H38" s="12"/>
      <c r="I38" s="9"/>
      <c r="J38" s="10"/>
      <c r="K38" s="12"/>
      <c r="L38" s="9"/>
      <c r="M38" s="10"/>
      <c r="N38" s="12"/>
      <c r="O38" s="9"/>
      <c r="P38" s="10"/>
      <c r="Q38" s="12"/>
      <c r="R38" s="9"/>
      <c r="S38" s="10"/>
      <c r="T38" s="12"/>
      <c r="U38" s="9"/>
    </row>
    <row r="39" spans="1:21" ht="15.75" customHeight="1">
      <c r="A39" s="10"/>
      <c r="B39" s="12"/>
      <c r="C39" s="9"/>
      <c r="D39" s="7" t="s">
        <v>893</v>
      </c>
      <c r="E39" s="8">
        <v>2.5000000000000001E-2</v>
      </c>
      <c r="F39" s="9" t="s">
        <v>42</v>
      </c>
      <c r="G39" s="10"/>
      <c r="H39" s="12"/>
      <c r="I39" s="9"/>
      <c r="J39" s="10"/>
      <c r="K39" s="12"/>
      <c r="L39" s="9"/>
      <c r="M39" s="10"/>
      <c r="N39" s="12"/>
      <c r="O39" s="9"/>
      <c r="P39" s="10"/>
      <c r="Q39" s="12"/>
      <c r="R39" s="9"/>
      <c r="S39" s="10"/>
      <c r="T39" s="12"/>
      <c r="U39" s="9"/>
    </row>
    <row r="40" spans="1:21" ht="15.75" customHeight="1">
      <c r="A40" s="10"/>
      <c r="B40" s="12"/>
      <c r="C40" s="9"/>
      <c r="D40" s="10"/>
      <c r="E40" s="12"/>
      <c r="F40" s="9"/>
      <c r="G40" s="10"/>
      <c r="H40" s="12"/>
      <c r="I40" s="9"/>
      <c r="J40" s="10"/>
      <c r="K40" s="12"/>
      <c r="L40" s="9"/>
      <c r="M40" s="10"/>
      <c r="N40" s="12"/>
      <c r="O40" s="9"/>
      <c r="P40" s="10"/>
      <c r="Q40" s="12"/>
      <c r="R40" s="9"/>
      <c r="S40" s="10"/>
      <c r="T40" s="12"/>
      <c r="U40" s="9"/>
    </row>
    <row r="41" spans="1:21" ht="15.75" customHeight="1">
      <c r="A41" s="10"/>
      <c r="B41" s="12"/>
      <c r="C41" s="9"/>
      <c r="D41" s="10"/>
      <c r="E41" s="12"/>
      <c r="F41" s="9"/>
      <c r="G41" s="10"/>
      <c r="H41" s="12"/>
      <c r="I41" s="9"/>
      <c r="J41" s="10"/>
      <c r="K41" s="12"/>
      <c r="L41" s="9"/>
      <c r="M41" s="10"/>
      <c r="N41" s="12"/>
      <c r="O41" s="9"/>
      <c r="P41" s="10"/>
      <c r="Q41" s="12"/>
      <c r="R41" s="9"/>
      <c r="S41" s="10"/>
      <c r="T41" s="12"/>
      <c r="U41" s="9"/>
    </row>
    <row r="42" spans="1:21" ht="15.75" customHeight="1">
      <c r="A42" s="10"/>
      <c r="B42" s="12"/>
      <c r="C42" s="9"/>
      <c r="D42" s="10"/>
      <c r="E42" s="12"/>
      <c r="F42" s="9"/>
      <c r="G42" s="10"/>
      <c r="H42" s="12"/>
      <c r="I42" s="9"/>
      <c r="J42" s="10"/>
      <c r="K42" s="12"/>
      <c r="L42" s="9"/>
      <c r="M42" s="10"/>
      <c r="N42" s="12"/>
      <c r="O42" s="9"/>
      <c r="P42" s="10"/>
      <c r="Q42" s="12"/>
      <c r="R42" s="9"/>
      <c r="S42" s="10"/>
      <c r="T42" s="12"/>
      <c r="U42" s="9"/>
    </row>
    <row r="43" spans="1:21" ht="15.75" customHeight="1">
      <c r="A43" s="10"/>
      <c r="B43" s="12"/>
      <c r="C43" s="9"/>
      <c r="D43" s="10"/>
      <c r="E43" s="12"/>
      <c r="F43" s="9"/>
      <c r="G43" s="10"/>
      <c r="H43" s="12"/>
      <c r="I43" s="9"/>
      <c r="J43" s="10"/>
      <c r="K43" s="12"/>
      <c r="L43" s="9"/>
      <c r="M43" s="10"/>
      <c r="N43" s="12"/>
      <c r="O43" s="9"/>
      <c r="P43" s="10"/>
      <c r="Q43" s="12"/>
      <c r="R43" s="9"/>
      <c r="S43" s="10"/>
      <c r="T43" s="12"/>
      <c r="U43" s="9"/>
    </row>
    <row r="44" spans="1:21" ht="15.75" customHeight="1">
      <c r="A44" s="13"/>
      <c r="B44" s="14"/>
      <c r="C44" s="15"/>
      <c r="D44" s="13"/>
      <c r="E44" s="14"/>
      <c r="F44" s="15"/>
      <c r="G44" s="13"/>
      <c r="H44" s="14"/>
      <c r="I44" s="15"/>
      <c r="J44" s="13"/>
      <c r="K44" s="14"/>
      <c r="L44" s="15"/>
      <c r="M44" s="13"/>
      <c r="N44" s="14"/>
      <c r="O44" s="15"/>
      <c r="P44" s="13"/>
      <c r="Q44" s="14"/>
      <c r="R44" s="15"/>
      <c r="S44" s="13"/>
      <c r="T44" s="14"/>
      <c r="U44" s="15"/>
    </row>
    <row r="45" spans="1:21" ht="15.75" customHeight="1">
      <c r="A45" s="4" t="str">
        <f>IF(15&lt;=DAY(EOMONTH(DATE(2026,$B$1,1),0)),$B$1&amp;"월 15일","")</f>
        <v>6월 15일</v>
      </c>
      <c r="B45" s="5"/>
      <c r="C45" s="6"/>
      <c r="D45" s="4" t="str">
        <f>IF(16&lt;=DAY(EOMONTH(DATE(2026,$B$1,1),0)),$B$1&amp;"월 16일","")</f>
        <v>6월 16일</v>
      </c>
      <c r="E45" s="5"/>
      <c r="F45" s="6"/>
      <c r="G45" s="4" t="str">
        <f>IF(17&lt;=DAY(EOMONTH(DATE(2026,$B$1,1),0)),$B$1&amp;"월 17일","")</f>
        <v>6월 17일</v>
      </c>
      <c r="H45" s="5"/>
      <c r="I45" s="6"/>
      <c r="J45" s="4" t="str">
        <f>IF(18&lt;=DAY(EOMONTH(DATE(2026,$B$1,1),0)),$B$1&amp;"월 18일","")</f>
        <v>6월 18일</v>
      </c>
      <c r="K45" s="5"/>
      <c r="L45" s="6"/>
      <c r="M45" s="4" t="str">
        <f>IF(19&lt;=DAY(EOMONTH(DATE(2026,$B$1,1),0)),$B$1&amp;"월 19일","")</f>
        <v>6월 19일</v>
      </c>
      <c r="N45" s="5"/>
      <c r="O45" s="6"/>
      <c r="P45" s="4" t="str">
        <f>IF(20&lt;=DAY(EOMONTH(DATE(2026,$B$1,1),0)),$B$1&amp;"월 20일","")</f>
        <v>6월 20일</v>
      </c>
      <c r="Q45" s="5"/>
      <c r="R45" s="6"/>
      <c r="S45" s="4" t="str">
        <f>IF(21&lt;=DAY(EOMONTH(DATE(2026,$B$1,1),0)),$B$1&amp;"월 21일","")</f>
        <v>6월 21일</v>
      </c>
      <c r="T45" s="5"/>
      <c r="U45" s="6"/>
    </row>
    <row r="46" spans="1:21" ht="15.75" customHeight="1">
      <c r="A46" s="7" t="s">
        <v>83</v>
      </c>
      <c r="B46" s="8">
        <v>5.7099999999999998E-2</v>
      </c>
      <c r="C46" s="9" t="s">
        <v>42</v>
      </c>
      <c r="D46" s="7" t="s">
        <v>83</v>
      </c>
      <c r="E46" s="8">
        <v>6.1199999999999997E-2</v>
      </c>
      <c r="F46" s="9" t="s">
        <v>42</v>
      </c>
      <c r="G46" s="7" t="s">
        <v>83</v>
      </c>
      <c r="H46" s="8">
        <v>9.6799999999999997E-2</v>
      </c>
      <c r="I46" s="9" t="s">
        <v>42</v>
      </c>
      <c r="J46" s="7" t="s">
        <v>30</v>
      </c>
      <c r="K46" s="8">
        <v>3.2599999999999997E-2</v>
      </c>
      <c r="L46" s="9" t="s">
        <v>37</v>
      </c>
      <c r="M46" s="7" t="s">
        <v>593</v>
      </c>
      <c r="N46" s="8">
        <v>3.5099999999999999E-2</v>
      </c>
      <c r="O46" s="9" t="s">
        <v>42</v>
      </c>
      <c r="P46" s="7" t="s">
        <v>296</v>
      </c>
      <c r="Q46" s="8">
        <v>8.3299999999999999E-2</v>
      </c>
      <c r="R46" s="9" t="s">
        <v>42</v>
      </c>
      <c r="S46" s="7" t="s">
        <v>560</v>
      </c>
      <c r="T46" s="8">
        <v>0.64290000000000003</v>
      </c>
      <c r="U46" s="9" t="s">
        <v>33</v>
      </c>
    </row>
    <row r="47" spans="1:21" ht="15.75" customHeight="1">
      <c r="A47" s="7" t="s">
        <v>894</v>
      </c>
      <c r="B47" s="8">
        <v>2.86E-2</v>
      </c>
      <c r="C47" s="9" t="s">
        <v>33</v>
      </c>
      <c r="D47" s="10" t="s">
        <v>895</v>
      </c>
      <c r="E47" s="8">
        <v>2.0400000000000001E-2</v>
      </c>
      <c r="F47" s="9" t="s">
        <v>37</v>
      </c>
      <c r="G47" s="7" t="s">
        <v>560</v>
      </c>
      <c r="H47" s="8">
        <v>3.2300000000000002E-2</v>
      </c>
      <c r="I47" s="9" t="s">
        <v>33</v>
      </c>
      <c r="J47" s="7" t="s">
        <v>83</v>
      </c>
      <c r="K47" s="8">
        <v>3.2599999999999997E-2</v>
      </c>
      <c r="L47" s="9" t="s">
        <v>42</v>
      </c>
      <c r="M47" s="7" t="s">
        <v>83</v>
      </c>
      <c r="N47" s="8">
        <v>3.5099999999999999E-2</v>
      </c>
      <c r="O47" s="9" t="s">
        <v>42</v>
      </c>
      <c r="P47" s="7" t="s">
        <v>30</v>
      </c>
      <c r="Q47" s="8">
        <v>8.3299999999999999E-2</v>
      </c>
      <c r="R47" s="9" t="s">
        <v>37</v>
      </c>
      <c r="S47" s="7" t="s">
        <v>83</v>
      </c>
      <c r="T47" s="8">
        <v>7.1400000000000005E-2</v>
      </c>
      <c r="U47" s="9" t="s">
        <v>42</v>
      </c>
    </row>
    <row r="48" spans="1:21" ht="15.75" customHeight="1">
      <c r="A48" s="7" t="s">
        <v>30</v>
      </c>
      <c r="B48" s="8">
        <v>2.86E-2</v>
      </c>
      <c r="C48" s="9" t="s">
        <v>37</v>
      </c>
      <c r="D48" s="10" t="s">
        <v>871</v>
      </c>
      <c r="E48" s="8">
        <v>2.0400000000000001E-2</v>
      </c>
      <c r="F48" s="9" t="s">
        <v>37</v>
      </c>
      <c r="G48" s="7" t="s">
        <v>30</v>
      </c>
      <c r="H48" s="8">
        <v>3.2300000000000002E-2</v>
      </c>
      <c r="I48" s="9" t="s">
        <v>37</v>
      </c>
      <c r="J48" s="7" t="s">
        <v>137</v>
      </c>
      <c r="K48" s="8">
        <v>1.09E-2</v>
      </c>
      <c r="L48" s="9" t="s">
        <v>42</v>
      </c>
      <c r="M48" s="7" t="s">
        <v>896</v>
      </c>
      <c r="N48" s="8">
        <v>1.7500000000000002E-2</v>
      </c>
      <c r="O48" s="9" t="s">
        <v>37</v>
      </c>
      <c r="P48" s="7" t="s">
        <v>897</v>
      </c>
      <c r="Q48" s="8">
        <v>8.3299999999999999E-2</v>
      </c>
      <c r="R48" s="9" t="s">
        <v>33</v>
      </c>
      <c r="S48" s="10" t="s">
        <v>898</v>
      </c>
      <c r="T48" s="8">
        <v>3.5700000000000003E-2</v>
      </c>
      <c r="U48" s="9" t="s">
        <v>33</v>
      </c>
    </row>
    <row r="49" spans="1:21" ht="15.75" customHeight="1">
      <c r="A49" s="7" t="s">
        <v>367</v>
      </c>
      <c r="B49" s="8">
        <v>2.86E-2</v>
      </c>
      <c r="C49" s="9" t="s">
        <v>37</v>
      </c>
      <c r="D49" s="10" t="s">
        <v>899</v>
      </c>
      <c r="E49" s="8">
        <v>2.0400000000000001E-2</v>
      </c>
      <c r="F49" s="9" t="s">
        <v>42</v>
      </c>
      <c r="G49" s="7" t="s">
        <v>818</v>
      </c>
      <c r="H49" s="8">
        <v>3.2300000000000002E-2</v>
      </c>
      <c r="I49" s="9" t="s">
        <v>33</v>
      </c>
      <c r="J49" s="7" t="s">
        <v>900</v>
      </c>
      <c r="K49" s="8">
        <v>1.09E-2</v>
      </c>
      <c r="L49" s="9" t="s">
        <v>42</v>
      </c>
      <c r="M49" s="10" t="s">
        <v>901</v>
      </c>
      <c r="N49" s="8">
        <v>1.7500000000000002E-2</v>
      </c>
      <c r="O49" s="9" t="s">
        <v>37</v>
      </c>
      <c r="P49" s="7" t="s">
        <v>92</v>
      </c>
      <c r="Q49" s="8">
        <v>8.3299999999999999E-2</v>
      </c>
      <c r="R49" s="9" t="s">
        <v>42</v>
      </c>
      <c r="S49" s="10" t="s">
        <v>902</v>
      </c>
      <c r="T49" s="8">
        <v>3.5700000000000003E-2</v>
      </c>
      <c r="U49" s="9" t="s">
        <v>37</v>
      </c>
    </row>
    <row r="50" spans="1:21" ht="15.75" customHeight="1">
      <c r="A50" s="7" t="s">
        <v>903</v>
      </c>
      <c r="B50" s="8">
        <v>2.86E-2</v>
      </c>
      <c r="C50" s="9" t="s">
        <v>37</v>
      </c>
      <c r="D50" s="7" t="s">
        <v>904</v>
      </c>
      <c r="E50" s="8">
        <v>2.0400000000000001E-2</v>
      </c>
      <c r="F50" s="9" t="s">
        <v>42</v>
      </c>
      <c r="G50" s="7" t="s">
        <v>905</v>
      </c>
      <c r="H50" s="8">
        <v>3.2300000000000002E-2</v>
      </c>
      <c r="I50" s="9" t="s">
        <v>33</v>
      </c>
      <c r="J50" s="7" t="s">
        <v>906</v>
      </c>
      <c r="K50" s="8">
        <v>1.09E-2</v>
      </c>
      <c r="L50" s="9" t="s">
        <v>42</v>
      </c>
      <c r="M50" s="7" t="s">
        <v>907</v>
      </c>
      <c r="N50" s="8">
        <v>1.7500000000000002E-2</v>
      </c>
      <c r="O50" s="9"/>
      <c r="P50" s="7" t="s">
        <v>908</v>
      </c>
      <c r="Q50" s="8">
        <v>8.3299999999999999E-2</v>
      </c>
      <c r="R50" s="9" t="s">
        <v>42</v>
      </c>
      <c r="S50" s="7" t="s">
        <v>92</v>
      </c>
      <c r="T50" s="8">
        <v>3.5700000000000003E-2</v>
      </c>
      <c r="U50" s="9" t="s">
        <v>42</v>
      </c>
    </row>
    <row r="51" spans="1:21" ht="15.75" customHeight="1">
      <c r="A51" s="7" t="s">
        <v>909</v>
      </c>
      <c r="B51" s="8">
        <v>2.86E-2</v>
      </c>
      <c r="C51" s="9" t="s">
        <v>33</v>
      </c>
      <c r="D51" s="7" t="s">
        <v>367</v>
      </c>
      <c r="E51" s="8">
        <v>2.0400000000000001E-2</v>
      </c>
      <c r="F51" s="9" t="s">
        <v>37</v>
      </c>
      <c r="G51" s="7" t="s">
        <v>910</v>
      </c>
      <c r="H51" s="8">
        <v>3.2300000000000002E-2</v>
      </c>
      <c r="I51" s="9" t="s">
        <v>35</v>
      </c>
      <c r="J51" s="7" t="s">
        <v>105</v>
      </c>
      <c r="K51" s="8">
        <v>1.09E-2</v>
      </c>
      <c r="L51" s="9" t="s">
        <v>42</v>
      </c>
      <c r="M51" s="7" t="s">
        <v>911</v>
      </c>
      <c r="N51" s="8">
        <v>1.7500000000000002E-2</v>
      </c>
      <c r="O51" s="9" t="s">
        <v>37</v>
      </c>
      <c r="P51" s="7" t="s">
        <v>912</v>
      </c>
      <c r="Q51" s="8">
        <v>8.3299999999999999E-2</v>
      </c>
      <c r="R51" s="9" t="s">
        <v>33</v>
      </c>
      <c r="S51" s="7" t="s">
        <v>913</v>
      </c>
      <c r="T51" s="8">
        <v>7.1400000000000005E-2</v>
      </c>
      <c r="U51" s="9" t="s">
        <v>33</v>
      </c>
    </row>
    <row r="52" spans="1:21" ht="15.75" customHeight="1">
      <c r="A52" s="7" t="s">
        <v>41</v>
      </c>
      <c r="B52" s="8">
        <v>2.86E-2</v>
      </c>
      <c r="C52" s="9" t="s">
        <v>42</v>
      </c>
      <c r="D52" s="7" t="s">
        <v>914</v>
      </c>
      <c r="E52" s="8">
        <v>2.0400000000000001E-2</v>
      </c>
      <c r="F52" s="9" t="s">
        <v>33</v>
      </c>
      <c r="G52" s="7" t="s">
        <v>83</v>
      </c>
      <c r="H52" s="8">
        <v>6.4500000000000002E-2</v>
      </c>
      <c r="I52" s="9" t="s">
        <v>42</v>
      </c>
      <c r="J52" s="7" t="s">
        <v>915</v>
      </c>
      <c r="K52" s="8">
        <v>1.09E-2</v>
      </c>
      <c r="L52" s="9" t="s">
        <v>35</v>
      </c>
      <c r="M52" s="7" t="s">
        <v>83</v>
      </c>
      <c r="N52" s="8">
        <v>1.7500000000000002E-2</v>
      </c>
      <c r="O52" s="9" t="s">
        <v>42</v>
      </c>
      <c r="P52" s="10"/>
      <c r="Q52" s="12"/>
      <c r="R52" s="9"/>
      <c r="S52" s="10"/>
      <c r="T52" s="12"/>
      <c r="U52" s="9"/>
    </row>
    <row r="53" spans="1:21" ht="15.75" customHeight="1">
      <c r="A53" s="7" t="s">
        <v>105</v>
      </c>
      <c r="B53" s="8">
        <v>2.86E-2</v>
      </c>
      <c r="C53" s="9" t="s">
        <v>42</v>
      </c>
      <c r="D53" s="7" t="s">
        <v>41</v>
      </c>
      <c r="E53" s="8">
        <v>2.0400000000000001E-2</v>
      </c>
      <c r="F53" s="9" t="s">
        <v>42</v>
      </c>
      <c r="G53" s="7" t="s">
        <v>92</v>
      </c>
      <c r="H53" s="8">
        <v>3.2300000000000002E-2</v>
      </c>
      <c r="I53" s="9" t="s">
        <v>42</v>
      </c>
      <c r="J53" s="7" t="s">
        <v>83</v>
      </c>
      <c r="K53" s="8">
        <v>1.09E-2</v>
      </c>
      <c r="L53" s="9" t="s">
        <v>42</v>
      </c>
      <c r="M53" s="7" t="s">
        <v>630</v>
      </c>
      <c r="N53" s="8">
        <v>1.7500000000000002E-2</v>
      </c>
      <c r="O53" s="9" t="s">
        <v>33</v>
      </c>
      <c r="P53" s="10"/>
      <c r="Q53" s="12"/>
      <c r="R53" s="9"/>
      <c r="S53" s="10"/>
      <c r="T53" s="12"/>
      <c r="U53" s="9"/>
    </row>
    <row r="54" spans="1:21" ht="15.75" customHeight="1">
      <c r="A54" s="7" t="s">
        <v>137</v>
      </c>
      <c r="B54" s="8">
        <v>2.86E-2</v>
      </c>
      <c r="C54" s="9" t="s">
        <v>42</v>
      </c>
      <c r="D54" s="7" t="s">
        <v>128</v>
      </c>
      <c r="E54" s="8">
        <v>2.0400000000000001E-2</v>
      </c>
      <c r="F54" s="9" t="s">
        <v>42</v>
      </c>
      <c r="G54" s="7" t="s">
        <v>916</v>
      </c>
      <c r="H54" s="8">
        <v>3.2300000000000002E-2</v>
      </c>
      <c r="I54" s="9" t="s">
        <v>37</v>
      </c>
      <c r="J54" s="7" t="s">
        <v>917</v>
      </c>
      <c r="K54" s="8">
        <v>1.09E-2</v>
      </c>
      <c r="L54" s="9" t="s">
        <v>42</v>
      </c>
      <c r="M54" s="7" t="s">
        <v>918</v>
      </c>
      <c r="N54" s="8">
        <v>1.7500000000000002E-2</v>
      </c>
      <c r="O54" s="9" t="s">
        <v>37</v>
      </c>
      <c r="P54" s="10"/>
      <c r="Q54" s="12"/>
      <c r="R54" s="9"/>
      <c r="S54" s="10"/>
      <c r="T54" s="12"/>
      <c r="U54" s="9"/>
    </row>
    <row r="55" spans="1:21" ht="15.75" customHeight="1">
      <c r="A55" s="7" t="s">
        <v>891</v>
      </c>
      <c r="B55" s="8">
        <v>2.86E-2</v>
      </c>
      <c r="C55" s="9" t="s">
        <v>33</v>
      </c>
      <c r="D55" s="7" t="s">
        <v>41</v>
      </c>
      <c r="E55" s="8">
        <v>4.0800000000000003E-2</v>
      </c>
      <c r="F55" s="9" t="s">
        <v>42</v>
      </c>
      <c r="G55" s="10"/>
      <c r="H55" s="12"/>
      <c r="I55" s="9"/>
      <c r="J55" s="10"/>
      <c r="K55" s="12"/>
      <c r="L55" s="9"/>
      <c r="M55" s="10"/>
      <c r="N55" s="12"/>
      <c r="O55" s="9"/>
      <c r="P55" s="10"/>
      <c r="Q55" s="12"/>
      <c r="R55" s="9"/>
      <c r="S55" s="10"/>
      <c r="T55" s="12"/>
      <c r="U55" s="9"/>
    </row>
    <row r="56" spans="1:21" ht="15.75" customHeight="1">
      <c r="A56" s="7" t="s">
        <v>83</v>
      </c>
      <c r="B56" s="8">
        <v>8.5699999999999998E-2</v>
      </c>
      <c r="C56" s="9" t="s">
        <v>42</v>
      </c>
      <c r="D56" s="7" t="s">
        <v>30</v>
      </c>
      <c r="E56" s="8">
        <v>2.0400000000000001E-2</v>
      </c>
      <c r="F56" s="9" t="s">
        <v>37</v>
      </c>
      <c r="G56" s="10"/>
      <c r="H56" s="12"/>
      <c r="I56" s="9"/>
      <c r="J56" s="10"/>
      <c r="K56" s="12"/>
      <c r="L56" s="9"/>
      <c r="M56" s="10"/>
      <c r="N56" s="12"/>
      <c r="O56" s="9"/>
      <c r="P56" s="10"/>
      <c r="Q56" s="12"/>
      <c r="R56" s="9"/>
      <c r="S56" s="10"/>
      <c r="T56" s="12"/>
      <c r="U56" s="9"/>
    </row>
    <row r="57" spans="1:21" ht="15.75" customHeight="1">
      <c r="A57" s="7" t="s">
        <v>30</v>
      </c>
      <c r="B57" s="8">
        <v>2.86E-2</v>
      </c>
      <c r="C57" s="9" t="s">
        <v>37</v>
      </c>
      <c r="D57" s="7" t="s">
        <v>919</v>
      </c>
      <c r="E57" s="8">
        <v>2.0400000000000001E-2</v>
      </c>
      <c r="F57" s="9" t="s">
        <v>42</v>
      </c>
      <c r="G57" s="10"/>
      <c r="H57" s="12"/>
      <c r="I57" s="9"/>
      <c r="J57" s="10"/>
      <c r="K57" s="12"/>
      <c r="L57" s="9"/>
      <c r="M57" s="10"/>
      <c r="N57" s="12"/>
      <c r="O57" s="9"/>
      <c r="P57" s="10"/>
      <c r="Q57" s="12"/>
      <c r="R57" s="9"/>
      <c r="S57" s="10"/>
      <c r="T57" s="12"/>
      <c r="U57" s="9"/>
    </row>
    <row r="58" spans="1:21" ht="15.75" customHeight="1">
      <c r="A58" s="7" t="s">
        <v>920</v>
      </c>
      <c r="B58" s="8">
        <v>2.86E-2</v>
      </c>
      <c r="C58" s="9" t="s">
        <v>37</v>
      </c>
      <c r="D58" s="7" t="s">
        <v>83</v>
      </c>
      <c r="E58" s="8">
        <v>2.0400000000000001E-2</v>
      </c>
      <c r="F58" s="9" t="s">
        <v>42</v>
      </c>
      <c r="G58" s="10"/>
      <c r="H58" s="12"/>
      <c r="I58" s="9"/>
      <c r="J58" s="10"/>
      <c r="K58" s="12"/>
      <c r="L58" s="9"/>
      <c r="M58" s="10"/>
      <c r="N58" s="12"/>
      <c r="O58" s="9"/>
      <c r="P58" s="10"/>
      <c r="Q58" s="12"/>
      <c r="R58" s="9"/>
      <c r="S58" s="10"/>
      <c r="T58" s="12"/>
      <c r="U58" s="9"/>
    </row>
    <row r="59" spans="1:21" ht="15.75" customHeight="1">
      <c r="A59" s="7" t="s">
        <v>921</v>
      </c>
      <c r="B59" s="8">
        <v>2.86E-2</v>
      </c>
      <c r="C59" s="9" t="s">
        <v>42</v>
      </c>
      <c r="D59" s="7" t="s">
        <v>922</v>
      </c>
      <c r="E59" s="8">
        <v>2.0400000000000001E-2</v>
      </c>
      <c r="F59" s="9" t="s">
        <v>42</v>
      </c>
      <c r="G59" s="10"/>
      <c r="H59" s="12"/>
      <c r="I59" s="9"/>
      <c r="J59" s="10"/>
      <c r="K59" s="12"/>
      <c r="L59" s="9"/>
      <c r="M59" s="10"/>
      <c r="N59" s="12"/>
      <c r="O59" s="9"/>
      <c r="P59" s="10"/>
      <c r="Q59" s="12"/>
      <c r="R59" s="9"/>
      <c r="S59" s="10"/>
      <c r="T59" s="12"/>
      <c r="U59" s="9"/>
    </row>
    <row r="60" spans="1:21" ht="15.75" customHeight="1">
      <c r="A60" s="7" t="s">
        <v>923</v>
      </c>
      <c r="B60" s="8">
        <v>2.86E-2</v>
      </c>
      <c r="C60" s="9" t="s">
        <v>42</v>
      </c>
      <c r="D60" s="7" t="s">
        <v>891</v>
      </c>
      <c r="E60" s="8">
        <v>2.0400000000000001E-2</v>
      </c>
      <c r="F60" s="9" t="s">
        <v>33</v>
      </c>
      <c r="G60" s="10"/>
      <c r="H60" s="12"/>
      <c r="I60" s="9"/>
      <c r="J60" s="10"/>
      <c r="K60" s="12"/>
      <c r="L60" s="9"/>
      <c r="M60" s="10"/>
      <c r="N60" s="12"/>
      <c r="O60" s="9"/>
      <c r="P60" s="10"/>
      <c r="Q60" s="12"/>
      <c r="R60" s="9"/>
      <c r="S60" s="10"/>
      <c r="T60" s="12"/>
      <c r="U60" s="9"/>
    </row>
    <row r="61" spans="1:21" ht="15.75" customHeight="1">
      <c r="A61" s="7" t="s">
        <v>841</v>
      </c>
      <c r="B61" s="8">
        <v>2.86E-2</v>
      </c>
      <c r="C61" s="9" t="s">
        <v>42</v>
      </c>
      <c r="D61" s="7" t="s">
        <v>115</v>
      </c>
      <c r="E61" s="8">
        <v>2.0400000000000001E-2</v>
      </c>
      <c r="F61" s="9" t="s">
        <v>33</v>
      </c>
      <c r="G61" s="10"/>
      <c r="H61" s="12"/>
      <c r="I61" s="9"/>
      <c r="J61" s="10"/>
      <c r="K61" s="12"/>
      <c r="L61" s="9"/>
      <c r="M61" s="10"/>
      <c r="N61" s="12"/>
      <c r="O61" s="9"/>
      <c r="P61" s="10"/>
      <c r="Q61" s="12"/>
      <c r="R61" s="9"/>
      <c r="S61" s="10"/>
      <c r="T61" s="12"/>
      <c r="U61" s="9"/>
    </row>
    <row r="62" spans="1:21" ht="15.75" customHeight="1">
      <c r="A62" s="10"/>
      <c r="B62" s="12"/>
      <c r="C62" s="9"/>
      <c r="D62" s="10"/>
      <c r="E62" s="12"/>
      <c r="F62" s="9"/>
      <c r="G62" s="10"/>
      <c r="H62" s="12"/>
      <c r="I62" s="9"/>
      <c r="J62" s="10"/>
      <c r="K62" s="12"/>
      <c r="L62" s="9"/>
      <c r="M62" s="10"/>
      <c r="N62" s="12"/>
      <c r="O62" s="9"/>
      <c r="P62" s="10"/>
      <c r="Q62" s="12"/>
      <c r="R62" s="9"/>
      <c r="S62" s="10"/>
      <c r="T62" s="12"/>
      <c r="U62" s="9"/>
    </row>
    <row r="63" spans="1:21" ht="15.75" customHeight="1">
      <c r="A63" s="10"/>
      <c r="B63" s="12"/>
      <c r="C63" s="9"/>
      <c r="D63" s="10"/>
      <c r="E63" s="12"/>
      <c r="F63" s="9"/>
      <c r="G63" s="10"/>
      <c r="H63" s="12"/>
      <c r="I63" s="9"/>
      <c r="J63" s="10"/>
      <c r="K63" s="12"/>
      <c r="L63" s="9"/>
      <c r="M63" s="10"/>
      <c r="N63" s="12"/>
      <c r="O63" s="9"/>
      <c r="P63" s="10"/>
      <c r="Q63" s="12"/>
      <c r="R63" s="9"/>
      <c r="S63" s="10"/>
      <c r="T63" s="12"/>
      <c r="U63" s="9"/>
    </row>
    <row r="64" spans="1:21" ht="15.75" customHeight="1">
      <c r="A64" s="10"/>
      <c r="B64" s="12"/>
      <c r="C64" s="9"/>
      <c r="D64" s="10"/>
      <c r="E64" s="12"/>
      <c r="F64" s="9"/>
      <c r="G64" s="10"/>
      <c r="H64" s="12"/>
      <c r="I64" s="9"/>
      <c r="J64" s="10"/>
      <c r="K64" s="12"/>
      <c r="L64" s="9"/>
      <c r="M64" s="10"/>
      <c r="N64" s="12"/>
      <c r="O64" s="9"/>
      <c r="P64" s="10"/>
      <c r="Q64" s="12"/>
      <c r="R64" s="9"/>
      <c r="S64" s="10"/>
      <c r="T64" s="12"/>
      <c r="U64" s="9"/>
    </row>
    <row r="65" spans="1:21" ht="15.75" customHeight="1">
      <c r="A65" s="13"/>
      <c r="B65" s="14"/>
      <c r="C65" s="15"/>
      <c r="D65" s="13"/>
      <c r="E65" s="14"/>
      <c r="F65" s="15"/>
      <c r="G65" s="13"/>
      <c r="H65" s="14"/>
      <c r="I65" s="15"/>
      <c r="J65" s="13"/>
      <c r="K65" s="14"/>
      <c r="L65" s="15"/>
      <c r="M65" s="13"/>
      <c r="N65" s="14"/>
      <c r="O65" s="15"/>
      <c r="P65" s="13"/>
      <c r="Q65" s="14"/>
      <c r="R65" s="15"/>
      <c r="S65" s="13"/>
      <c r="T65" s="14"/>
      <c r="U65" s="15"/>
    </row>
    <row r="66" spans="1:21" ht="15.75" customHeight="1">
      <c r="A66" s="4" t="str">
        <f>IF(22&lt;=DAY(EOMONTH(DATE(2026,$B$1,1),0)),$B$1&amp;"월 22일","")</f>
        <v>6월 22일</v>
      </c>
      <c r="B66" s="5"/>
      <c r="C66" s="6"/>
      <c r="D66" s="4" t="str">
        <f>IF(23&lt;=DAY(EOMONTH(DATE(2026,$B$1,1),0)),$B$1&amp;"월 23일","")</f>
        <v>6월 23일</v>
      </c>
      <c r="E66" s="5"/>
      <c r="F66" s="6"/>
      <c r="G66" s="4" t="str">
        <f>IF(24&lt;=DAY(EOMONTH(DATE(2026,$B$1,1),0)),$B$1&amp;"월 24일","")</f>
        <v>6월 24일</v>
      </c>
      <c r="H66" s="5"/>
      <c r="I66" s="6"/>
      <c r="J66" s="4" t="str">
        <f>IF(25&lt;=DAY(EOMONTH(DATE(2026,$B$1,1),0)),$B$1&amp;"월 25일","")</f>
        <v>6월 25일</v>
      </c>
      <c r="K66" s="5"/>
      <c r="L66" s="6"/>
      <c r="M66" s="4" t="str">
        <f>IF(26&lt;=DAY(EOMONTH(DATE(2026,$B$1,1),0)),$B$1&amp;"월 26일","")</f>
        <v>6월 26일</v>
      </c>
      <c r="N66" s="5"/>
      <c r="O66" s="6"/>
      <c r="P66" s="4" t="str">
        <f>IF(27&lt;=DAY(EOMONTH(DATE(2026,$B$1,1),0)),$B$1&amp;"월 27일","")</f>
        <v>6월 27일</v>
      </c>
      <c r="Q66" s="5"/>
      <c r="R66" s="6"/>
      <c r="S66" s="4" t="str">
        <f>IF(28&lt;=DAY(EOMONTH(DATE(2026,$B$1,1),0)),$B$1&amp;"월 28일","")</f>
        <v>6월 28일</v>
      </c>
      <c r="T66" s="5"/>
      <c r="U66" s="6"/>
    </row>
    <row r="67" spans="1:21" ht="15.75" customHeight="1">
      <c r="A67" s="10" t="s">
        <v>924</v>
      </c>
      <c r="B67" s="8">
        <v>3.4500000000000003E-2</v>
      </c>
      <c r="C67" s="9" t="s">
        <v>35</v>
      </c>
      <c r="D67" s="7" t="s">
        <v>98</v>
      </c>
      <c r="E67" s="8">
        <v>6.3799999999999996E-2</v>
      </c>
      <c r="F67" s="9" t="s">
        <v>42</v>
      </c>
      <c r="G67" s="7" t="s">
        <v>851</v>
      </c>
      <c r="H67" s="8">
        <v>5.8799999999999998E-2</v>
      </c>
      <c r="I67" s="9" t="s">
        <v>33</v>
      </c>
      <c r="J67" s="10" t="s">
        <v>925</v>
      </c>
      <c r="K67" s="8">
        <v>9.5999999999999992E-3</v>
      </c>
      <c r="L67" s="9" t="s">
        <v>37</v>
      </c>
      <c r="M67" s="7" t="s">
        <v>619</v>
      </c>
      <c r="N67" s="8">
        <v>0.1429</v>
      </c>
      <c r="O67" s="9" t="s">
        <v>33</v>
      </c>
      <c r="P67" s="7" t="s">
        <v>560</v>
      </c>
      <c r="Q67" s="8">
        <v>0.23080000000000001</v>
      </c>
      <c r="R67" s="9" t="s">
        <v>33</v>
      </c>
      <c r="S67" s="7" t="s">
        <v>619</v>
      </c>
      <c r="T67" s="8">
        <v>5.33E-2</v>
      </c>
      <c r="U67" s="9" t="s">
        <v>33</v>
      </c>
    </row>
    <row r="68" spans="1:21" ht="15.75" customHeight="1">
      <c r="A68" s="7" t="s">
        <v>560</v>
      </c>
      <c r="B68" s="8">
        <v>3.4500000000000003E-2</v>
      </c>
      <c r="C68" s="9" t="s">
        <v>33</v>
      </c>
      <c r="D68" s="7" t="s">
        <v>30</v>
      </c>
      <c r="E68" s="8">
        <v>4.2599999999999999E-2</v>
      </c>
      <c r="F68" s="9" t="s">
        <v>37</v>
      </c>
      <c r="G68" s="7" t="s">
        <v>30</v>
      </c>
      <c r="H68" s="8">
        <v>2.9399999999999999E-2</v>
      </c>
      <c r="I68" s="9" t="s">
        <v>37</v>
      </c>
      <c r="J68" s="7" t="s">
        <v>926</v>
      </c>
      <c r="K68" s="8">
        <v>9.5999999999999992E-3</v>
      </c>
      <c r="L68" s="9" t="s">
        <v>42</v>
      </c>
      <c r="M68" s="10" t="s">
        <v>927</v>
      </c>
      <c r="N68" s="8">
        <v>2.86E-2</v>
      </c>
      <c r="O68" s="9" t="s">
        <v>33</v>
      </c>
      <c r="P68" s="10" t="s">
        <v>661</v>
      </c>
      <c r="Q68" s="8">
        <v>7.6899999999999996E-2</v>
      </c>
      <c r="R68" s="9" t="s">
        <v>42</v>
      </c>
      <c r="S68" s="7" t="s">
        <v>560</v>
      </c>
      <c r="T68" s="11">
        <v>0.04</v>
      </c>
      <c r="U68" s="9" t="s">
        <v>33</v>
      </c>
    </row>
    <row r="69" spans="1:21" ht="15.75" customHeight="1">
      <c r="A69" s="7" t="s">
        <v>928</v>
      </c>
      <c r="B69" s="8">
        <v>3.4500000000000003E-2</v>
      </c>
      <c r="C69" s="9" t="s">
        <v>37</v>
      </c>
      <c r="D69" s="10" t="s">
        <v>629</v>
      </c>
      <c r="E69" s="8">
        <v>2.1299999999999999E-2</v>
      </c>
      <c r="F69" s="9" t="s">
        <v>37</v>
      </c>
      <c r="G69" s="7" t="s">
        <v>43</v>
      </c>
      <c r="H69" s="8">
        <v>2.9399999999999999E-2</v>
      </c>
      <c r="I69" s="9" t="s">
        <v>37</v>
      </c>
      <c r="J69" s="7" t="s">
        <v>41</v>
      </c>
      <c r="K69" s="8">
        <v>9.5999999999999992E-3</v>
      </c>
      <c r="L69" s="9" t="s">
        <v>42</v>
      </c>
      <c r="M69" s="10" t="s">
        <v>629</v>
      </c>
      <c r="N69" s="8">
        <v>2.86E-2</v>
      </c>
      <c r="O69" s="9" t="s">
        <v>37</v>
      </c>
      <c r="P69" s="7" t="s">
        <v>929</v>
      </c>
      <c r="Q69" s="8">
        <v>7.6899999999999996E-2</v>
      </c>
      <c r="R69" s="9" t="s">
        <v>37</v>
      </c>
      <c r="S69" s="7" t="s">
        <v>83</v>
      </c>
      <c r="T69" s="11">
        <v>0.04</v>
      </c>
      <c r="U69" s="9" t="s">
        <v>42</v>
      </c>
    </row>
    <row r="70" spans="1:21" ht="15.75" customHeight="1">
      <c r="A70" s="7" t="s">
        <v>41</v>
      </c>
      <c r="B70" s="8">
        <v>3.4500000000000003E-2</v>
      </c>
      <c r="C70" s="9" t="s">
        <v>42</v>
      </c>
      <c r="D70" s="7" t="s">
        <v>930</v>
      </c>
      <c r="E70" s="8">
        <v>2.1299999999999999E-2</v>
      </c>
      <c r="F70" s="9" t="s">
        <v>37</v>
      </c>
      <c r="G70" s="7" t="s">
        <v>835</v>
      </c>
      <c r="H70" s="8">
        <v>2.9399999999999999E-2</v>
      </c>
      <c r="I70" s="9" t="s">
        <v>33</v>
      </c>
      <c r="J70" s="7" t="s">
        <v>931</v>
      </c>
      <c r="K70" s="8">
        <v>9.5999999999999992E-3</v>
      </c>
      <c r="L70" s="9" t="s">
        <v>42</v>
      </c>
      <c r="M70" s="7" t="s">
        <v>560</v>
      </c>
      <c r="N70" s="8">
        <v>2.86E-2</v>
      </c>
      <c r="O70" s="9" t="s">
        <v>33</v>
      </c>
      <c r="P70" s="7" t="s">
        <v>932</v>
      </c>
      <c r="Q70" s="8">
        <v>7.6899999999999996E-2</v>
      </c>
      <c r="R70" s="9" t="s">
        <v>33</v>
      </c>
      <c r="S70" s="7" t="s">
        <v>577</v>
      </c>
      <c r="T70" s="8">
        <v>1.3299999999999999E-2</v>
      </c>
      <c r="U70" s="9" t="s">
        <v>33</v>
      </c>
    </row>
    <row r="71" spans="1:21" ht="15.75" customHeight="1">
      <c r="A71" s="7" t="s">
        <v>933</v>
      </c>
      <c r="B71" s="8">
        <v>3.4500000000000003E-2</v>
      </c>
      <c r="C71" s="9" t="s">
        <v>37</v>
      </c>
      <c r="D71" s="7" t="s">
        <v>934</v>
      </c>
      <c r="E71" s="8">
        <v>2.1299999999999999E-2</v>
      </c>
      <c r="F71" s="9" t="s">
        <v>42</v>
      </c>
      <c r="G71" s="7" t="s">
        <v>136</v>
      </c>
      <c r="H71" s="8">
        <v>2.9399999999999999E-2</v>
      </c>
      <c r="I71" s="9" t="s">
        <v>37</v>
      </c>
      <c r="J71" s="7" t="s">
        <v>30</v>
      </c>
      <c r="K71" s="8">
        <v>9.5999999999999992E-3</v>
      </c>
      <c r="L71" s="9" t="s">
        <v>37</v>
      </c>
      <c r="M71" s="7" t="s">
        <v>935</v>
      </c>
      <c r="N71" s="8">
        <v>2.86E-2</v>
      </c>
      <c r="O71" s="9" t="s">
        <v>37</v>
      </c>
      <c r="P71" s="7" t="s">
        <v>577</v>
      </c>
      <c r="Q71" s="8">
        <v>7.6899999999999996E-2</v>
      </c>
      <c r="R71" s="9" t="s">
        <v>33</v>
      </c>
      <c r="S71" s="7" t="s">
        <v>650</v>
      </c>
      <c r="T71" s="8">
        <v>1.3299999999999999E-2</v>
      </c>
      <c r="U71" s="9" t="s">
        <v>33</v>
      </c>
    </row>
    <row r="72" spans="1:21" ht="15.75" customHeight="1">
      <c r="A72" s="7" t="s">
        <v>560</v>
      </c>
      <c r="B72" s="8">
        <v>3.4500000000000003E-2</v>
      </c>
      <c r="C72" s="9" t="s">
        <v>33</v>
      </c>
      <c r="D72" s="7" t="s">
        <v>936</v>
      </c>
      <c r="E72" s="8">
        <v>2.1299999999999999E-2</v>
      </c>
      <c r="F72" s="9" t="s">
        <v>33</v>
      </c>
      <c r="G72" s="7" t="s">
        <v>83</v>
      </c>
      <c r="H72" s="8">
        <v>2.9399999999999999E-2</v>
      </c>
      <c r="I72" s="9" t="s">
        <v>42</v>
      </c>
      <c r="J72" s="7" t="s">
        <v>30</v>
      </c>
      <c r="K72" s="8">
        <v>9.5999999999999992E-3</v>
      </c>
      <c r="L72" s="9" t="s">
        <v>37</v>
      </c>
      <c r="M72" s="7" t="s">
        <v>413</v>
      </c>
      <c r="N72" s="8">
        <v>2.86E-2</v>
      </c>
      <c r="O72" s="9" t="s">
        <v>42</v>
      </c>
      <c r="P72" s="7" t="s">
        <v>937</v>
      </c>
      <c r="Q72" s="8">
        <v>7.6899999999999996E-2</v>
      </c>
      <c r="R72" s="9" t="s">
        <v>33</v>
      </c>
      <c r="S72" s="10" t="s">
        <v>938</v>
      </c>
      <c r="T72" s="8">
        <v>1.3299999999999999E-2</v>
      </c>
      <c r="U72" s="9" t="s">
        <v>42</v>
      </c>
    </row>
    <row r="73" spans="1:21" ht="15.75" customHeight="1">
      <c r="A73" s="10"/>
      <c r="B73" s="12"/>
      <c r="C73" s="9"/>
      <c r="D73" s="7" t="s">
        <v>939</v>
      </c>
      <c r="E73" s="8">
        <v>2.1299999999999999E-2</v>
      </c>
      <c r="F73" s="9" t="s">
        <v>42</v>
      </c>
      <c r="G73" s="7" t="s">
        <v>940</v>
      </c>
      <c r="H73" s="8">
        <v>2.9399999999999999E-2</v>
      </c>
      <c r="I73" s="9" t="s">
        <v>42</v>
      </c>
      <c r="J73" s="10"/>
      <c r="K73" s="12"/>
      <c r="L73" s="9"/>
      <c r="M73" s="10" t="s">
        <v>941</v>
      </c>
      <c r="N73" s="8">
        <v>2.86E-2</v>
      </c>
      <c r="O73" s="9" t="s">
        <v>37</v>
      </c>
      <c r="P73" s="7" t="s">
        <v>942</v>
      </c>
      <c r="Q73" s="8">
        <v>7.6899999999999996E-2</v>
      </c>
      <c r="R73" s="9" t="s">
        <v>42</v>
      </c>
      <c r="S73" s="7" t="s">
        <v>560</v>
      </c>
      <c r="T73" s="8">
        <v>1.3299999999999999E-2</v>
      </c>
      <c r="U73" s="9" t="s">
        <v>33</v>
      </c>
    </row>
    <row r="74" spans="1:21" ht="15.75" customHeight="1">
      <c r="A74" s="10"/>
      <c r="B74" s="12"/>
      <c r="C74" s="9"/>
      <c r="D74" s="7" t="s">
        <v>83</v>
      </c>
      <c r="E74" s="8">
        <v>2.1299999999999999E-2</v>
      </c>
      <c r="F74" s="9" t="s">
        <v>42</v>
      </c>
      <c r="G74" s="7" t="s">
        <v>105</v>
      </c>
      <c r="H74" s="8">
        <v>2.9399999999999999E-2</v>
      </c>
      <c r="I74" s="9" t="s">
        <v>42</v>
      </c>
      <c r="J74" s="10"/>
      <c r="K74" s="12"/>
      <c r="L74" s="9"/>
      <c r="M74" s="7" t="s">
        <v>943</v>
      </c>
      <c r="N74" s="8">
        <v>2.86E-2</v>
      </c>
      <c r="O74" s="9" t="s">
        <v>33</v>
      </c>
      <c r="P74" s="7" t="s">
        <v>619</v>
      </c>
      <c r="Q74" s="8">
        <v>7.6899999999999996E-2</v>
      </c>
      <c r="R74" s="9" t="s">
        <v>33</v>
      </c>
      <c r="S74" s="7" t="s">
        <v>593</v>
      </c>
      <c r="T74" s="8">
        <v>1.3299999999999999E-2</v>
      </c>
      <c r="U74" s="9" t="s">
        <v>42</v>
      </c>
    </row>
    <row r="75" spans="1:21" ht="15.75" customHeight="1">
      <c r="A75" s="10"/>
      <c r="B75" s="12"/>
      <c r="C75" s="9"/>
      <c r="D75" s="7" t="s">
        <v>92</v>
      </c>
      <c r="E75" s="8">
        <v>2.1299999999999999E-2</v>
      </c>
      <c r="F75" s="9" t="s">
        <v>42</v>
      </c>
      <c r="G75" s="7" t="s">
        <v>134</v>
      </c>
      <c r="H75" s="8">
        <v>2.9399999999999999E-2</v>
      </c>
      <c r="I75" s="9" t="s">
        <v>42</v>
      </c>
      <c r="J75" s="10"/>
      <c r="K75" s="12"/>
      <c r="L75" s="9"/>
      <c r="M75" s="7" t="s">
        <v>851</v>
      </c>
      <c r="N75" s="8">
        <v>2.86E-2</v>
      </c>
      <c r="O75" s="9" t="s">
        <v>33</v>
      </c>
      <c r="P75" s="7" t="s">
        <v>944</v>
      </c>
      <c r="Q75" s="8">
        <v>7.6899999999999996E-2</v>
      </c>
      <c r="R75" s="9" t="s">
        <v>33</v>
      </c>
      <c r="S75" s="7" t="s">
        <v>83</v>
      </c>
      <c r="T75" s="8">
        <v>1.3299999999999999E-2</v>
      </c>
      <c r="U75" s="9" t="s">
        <v>42</v>
      </c>
    </row>
    <row r="76" spans="1:21" ht="15.75" customHeight="1">
      <c r="A76" s="10"/>
      <c r="B76" s="12"/>
      <c r="C76" s="9"/>
      <c r="D76" s="7" t="s">
        <v>593</v>
      </c>
      <c r="E76" s="8">
        <v>4.2599999999999999E-2</v>
      </c>
      <c r="F76" s="9" t="s">
        <v>42</v>
      </c>
      <c r="G76" s="7" t="s">
        <v>30</v>
      </c>
      <c r="H76" s="8">
        <v>5.8799999999999998E-2</v>
      </c>
      <c r="I76" s="9" t="s">
        <v>37</v>
      </c>
      <c r="J76" s="10"/>
      <c r="K76" s="12"/>
      <c r="L76" s="9"/>
      <c r="M76" s="7" t="s">
        <v>945</v>
      </c>
      <c r="N76" s="8">
        <v>2.86E-2</v>
      </c>
      <c r="O76" s="9" t="s">
        <v>33</v>
      </c>
      <c r="P76" s="10"/>
      <c r="Q76" s="12"/>
      <c r="R76" s="9"/>
      <c r="S76" s="10"/>
      <c r="T76" s="12"/>
      <c r="U76" s="9"/>
    </row>
    <row r="77" spans="1:21" ht="15.75" customHeight="1">
      <c r="A77" s="10"/>
      <c r="B77" s="12"/>
      <c r="C77" s="9"/>
      <c r="D77" s="7" t="s">
        <v>83</v>
      </c>
      <c r="E77" s="8">
        <v>4.2599999999999999E-2</v>
      </c>
      <c r="F77" s="9" t="s">
        <v>42</v>
      </c>
      <c r="G77" s="7" t="s">
        <v>83</v>
      </c>
      <c r="H77" s="8">
        <v>5.8799999999999998E-2</v>
      </c>
      <c r="I77" s="9" t="s">
        <v>42</v>
      </c>
      <c r="J77" s="10"/>
      <c r="K77" s="12"/>
      <c r="L77" s="9"/>
      <c r="M77" s="7" t="s">
        <v>619</v>
      </c>
      <c r="N77" s="8">
        <v>2.86E-2</v>
      </c>
      <c r="O77" s="9" t="s">
        <v>33</v>
      </c>
      <c r="P77" s="10"/>
      <c r="Q77" s="12"/>
      <c r="R77" s="9"/>
      <c r="S77" s="10"/>
      <c r="T77" s="12"/>
      <c r="U77" s="9"/>
    </row>
    <row r="78" spans="1:21" ht="15.75" customHeight="1">
      <c r="A78" s="10"/>
      <c r="B78" s="12"/>
      <c r="C78" s="9"/>
      <c r="D78" s="10" t="s">
        <v>946</v>
      </c>
      <c r="E78" s="8">
        <v>2.1299999999999999E-2</v>
      </c>
      <c r="F78" s="9" t="s">
        <v>37</v>
      </c>
      <c r="G78" s="7" t="s">
        <v>560</v>
      </c>
      <c r="H78" s="8">
        <v>2.9399999999999999E-2</v>
      </c>
      <c r="I78" s="9" t="s">
        <v>33</v>
      </c>
      <c r="J78" s="10"/>
      <c r="K78" s="12"/>
      <c r="L78" s="9"/>
      <c r="M78" s="7" t="s">
        <v>334</v>
      </c>
      <c r="N78" s="8">
        <v>2.86E-2</v>
      </c>
      <c r="O78" s="9" t="s">
        <v>33</v>
      </c>
      <c r="P78" s="10"/>
      <c r="Q78" s="12"/>
      <c r="R78" s="9"/>
      <c r="S78" s="10"/>
      <c r="T78" s="12"/>
      <c r="U78" s="9"/>
    </row>
    <row r="79" spans="1:21" ht="15.75" customHeight="1">
      <c r="A79" s="10"/>
      <c r="B79" s="12"/>
      <c r="C79" s="9"/>
      <c r="D79" s="7" t="s">
        <v>851</v>
      </c>
      <c r="E79" s="8">
        <v>2.1299999999999999E-2</v>
      </c>
      <c r="F79" s="9" t="s">
        <v>33</v>
      </c>
      <c r="G79" s="7" t="s">
        <v>41</v>
      </c>
      <c r="H79" s="8">
        <v>2.9399999999999999E-2</v>
      </c>
      <c r="I79" s="9" t="s">
        <v>42</v>
      </c>
      <c r="J79" s="10"/>
      <c r="K79" s="12"/>
      <c r="L79" s="9"/>
      <c r="M79" s="7" t="s">
        <v>128</v>
      </c>
      <c r="N79" s="8">
        <v>2.86E-2</v>
      </c>
      <c r="O79" s="9" t="s">
        <v>42</v>
      </c>
      <c r="P79" s="10"/>
      <c r="Q79" s="12"/>
      <c r="R79" s="9"/>
      <c r="S79" s="10"/>
      <c r="T79" s="12"/>
      <c r="U79" s="9"/>
    </row>
    <row r="80" spans="1:21" ht="15.75" customHeight="1">
      <c r="A80" s="10"/>
      <c r="B80" s="12"/>
      <c r="C80" s="9"/>
      <c r="D80" s="7" t="s">
        <v>947</v>
      </c>
      <c r="E80" s="8">
        <v>2.1299999999999999E-2</v>
      </c>
      <c r="F80" s="9" t="s">
        <v>33</v>
      </c>
      <c r="G80" s="7" t="s">
        <v>339</v>
      </c>
      <c r="H80" s="8">
        <v>2.9399999999999999E-2</v>
      </c>
      <c r="I80" s="9" t="s">
        <v>42</v>
      </c>
      <c r="J80" s="10"/>
      <c r="K80" s="12"/>
      <c r="L80" s="9"/>
      <c r="M80" s="7" t="s">
        <v>30</v>
      </c>
      <c r="N80" s="8">
        <v>2.86E-2</v>
      </c>
      <c r="O80" s="9" t="s">
        <v>37</v>
      </c>
      <c r="P80" s="10"/>
      <c r="Q80" s="12"/>
      <c r="R80" s="9"/>
      <c r="S80" s="10"/>
      <c r="T80" s="12"/>
      <c r="U80" s="9"/>
    </row>
    <row r="81" spans="1:21" ht="15.75" customHeight="1">
      <c r="A81" s="10"/>
      <c r="B81" s="12"/>
      <c r="C81" s="9"/>
      <c r="D81" s="7" t="s">
        <v>415</v>
      </c>
      <c r="E81" s="8">
        <v>2.1299999999999999E-2</v>
      </c>
      <c r="F81" s="9" t="s">
        <v>33</v>
      </c>
      <c r="G81" s="7" t="s">
        <v>948</v>
      </c>
      <c r="H81" s="8">
        <v>2.9399999999999999E-2</v>
      </c>
      <c r="I81" s="9" t="s">
        <v>33</v>
      </c>
      <c r="J81" s="10"/>
      <c r="K81" s="12"/>
      <c r="L81" s="9"/>
      <c r="M81" s="7" t="s">
        <v>949</v>
      </c>
      <c r="N81" s="8">
        <v>2.86E-2</v>
      </c>
      <c r="O81" s="9" t="s">
        <v>33</v>
      </c>
      <c r="P81" s="10"/>
      <c r="Q81" s="12"/>
      <c r="R81" s="9"/>
      <c r="S81" s="10"/>
      <c r="T81" s="12"/>
      <c r="U81" s="9"/>
    </row>
    <row r="82" spans="1:21" ht="15.75" customHeight="1">
      <c r="A82" s="10"/>
      <c r="B82" s="12"/>
      <c r="C82" s="9"/>
      <c r="D82" s="7" t="s">
        <v>41</v>
      </c>
      <c r="E82" s="8">
        <v>2.1299999999999999E-2</v>
      </c>
      <c r="F82" s="9" t="s">
        <v>42</v>
      </c>
      <c r="G82" s="10"/>
      <c r="H82" s="12"/>
      <c r="I82" s="9"/>
      <c r="J82" s="10"/>
      <c r="K82" s="12"/>
      <c r="L82" s="9"/>
      <c r="M82" s="7" t="s">
        <v>949</v>
      </c>
      <c r="N82" s="8">
        <v>2.86E-2</v>
      </c>
      <c r="O82" s="9" t="s">
        <v>33</v>
      </c>
      <c r="P82" s="10"/>
      <c r="Q82" s="12"/>
      <c r="R82" s="9"/>
      <c r="S82" s="10"/>
      <c r="T82" s="12"/>
      <c r="U82" s="9"/>
    </row>
    <row r="83" spans="1:21" ht="15.75" customHeight="1">
      <c r="A83" s="10"/>
      <c r="B83" s="12"/>
      <c r="C83" s="9"/>
      <c r="D83" s="7" t="s">
        <v>630</v>
      </c>
      <c r="E83" s="8">
        <v>2.1299999999999999E-2</v>
      </c>
      <c r="F83" s="9" t="s">
        <v>33</v>
      </c>
      <c r="G83" s="10"/>
      <c r="H83" s="12"/>
      <c r="I83" s="9"/>
      <c r="J83" s="10"/>
      <c r="K83" s="12"/>
      <c r="L83" s="9"/>
      <c r="M83" s="7" t="s">
        <v>950</v>
      </c>
      <c r="N83" s="8">
        <v>2.86E-2</v>
      </c>
      <c r="O83" s="9"/>
      <c r="P83" s="10"/>
      <c r="Q83" s="12"/>
      <c r="R83" s="9"/>
      <c r="S83" s="10"/>
      <c r="T83" s="12"/>
      <c r="U83" s="9"/>
    </row>
    <row r="84" spans="1:21" ht="15.75" customHeight="1">
      <c r="A84" s="10"/>
      <c r="B84" s="12"/>
      <c r="C84" s="9"/>
      <c r="D84" s="10" t="s">
        <v>951</v>
      </c>
      <c r="E84" s="8">
        <v>2.1299999999999999E-2</v>
      </c>
      <c r="F84" s="9" t="s">
        <v>42</v>
      </c>
      <c r="G84" s="10"/>
      <c r="H84" s="12"/>
      <c r="I84" s="9"/>
      <c r="J84" s="10"/>
      <c r="K84" s="12"/>
      <c r="L84" s="9"/>
      <c r="M84" s="10"/>
      <c r="N84" s="12"/>
      <c r="O84" s="9"/>
      <c r="P84" s="10"/>
      <c r="Q84" s="12"/>
      <c r="R84" s="9"/>
      <c r="S84" s="10"/>
      <c r="T84" s="12"/>
      <c r="U84" s="9"/>
    </row>
    <row r="85" spans="1:21" ht="15.75" customHeight="1">
      <c r="A85" s="10"/>
      <c r="B85" s="12"/>
      <c r="C85" s="9"/>
      <c r="D85" s="10" t="s">
        <v>952</v>
      </c>
      <c r="E85" s="8">
        <v>2.1299999999999999E-2</v>
      </c>
      <c r="F85" s="9" t="s">
        <v>42</v>
      </c>
      <c r="G85" s="10"/>
      <c r="H85" s="12"/>
      <c r="I85" s="9"/>
      <c r="J85" s="10"/>
      <c r="K85" s="12"/>
      <c r="L85" s="9"/>
      <c r="M85" s="10"/>
      <c r="N85" s="12"/>
      <c r="O85" s="9"/>
      <c r="P85" s="10"/>
      <c r="Q85" s="12"/>
      <c r="R85" s="9"/>
      <c r="S85" s="10"/>
      <c r="T85" s="12"/>
      <c r="U85" s="9"/>
    </row>
    <row r="86" spans="1:21" ht="15.75" customHeight="1">
      <c r="A86" s="16"/>
      <c r="B86" s="17"/>
      <c r="C86" s="18"/>
      <c r="D86" s="32" t="s">
        <v>953</v>
      </c>
      <c r="E86" s="19">
        <v>2.1299999999999999E-2</v>
      </c>
      <c r="F86" s="18" t="s">
        <v>42</v>
      </c>
      <c r="G86" s="16"/>
      <c r="H86" s="17"/>
      <c r="I86" s="18"/>
      <c r="J86" s="16"/>
      <c r="K86" s="17"/>
      <c r="L86" s="18"/>
      <c r="M86" s="16"/>
      <c r="N86" s="17"/>
      <c r="O86" s="18"/>
      <c r="P86" s="16"/>
      <c r="Q86" s="17"/>
      <c r="R86" s="18"/>
      <c r="S86" s="16"/>
      <c r="T86" s="17"/>
      <c r="U86" s="18"/>
    </row>
    <row r="87" spans="1:21" ht="15.75" customHeight="1">
      <c r="A87" s="13"/>
      <c r="B87" s="14"/>
      <c r="C87" s="15"/>
      <c r="D87" s="13"/>
      <c r="E87" s="14"/>
      <c r="F87" s="15"/>
      <c r="G87" s="13"/>
      <c r="H87" s="14"/>
      <c r="I87" s="15"/>
      <c r="J87" s="13"/>
      <c r="K87" s="14"/>
      <c r="L87" s="15"/>
      <c r="M87" s="13"/>
      <c r="N87" s="14"/>
      <c r="O87" s="15"/>
      <c r="P87" s="13"/>
      <c r="Q87" s="14"/>
      <c r="R87" s="15"/>
      <c r="S87" s="13"/>
      <c r="T87" s="14"/>
      <c r="U87" s="15"/>
    </row>
    <row r="88" spans="1:21" ht="15.75" customHeight="1">
      <c r="A88" s="4" t="str">
        <f>IF(29&lt;=DAY(EOMONTH(DATE(2026,$B$1,1),0)),$B$1&amp;"월 29일","")</f>
        <v>6월 29일</v>
      </c>
      <c r="B88" s="5"/>
      <c r="C88" s="6"/>
      <c r="D88" s="4" t="str">
        <f>IF(30&lt;=DAY(EOMONTH(DATE(2026,$B$1,1),0)),$B$1&amp;"월 30일","")</f>
        <v>6월 30일</v>
      </c>
      <c r="E88" s="5"/>
      <c r="F88" s="6"/>
      <c r="G88" s="4" t="str">
        <f>IF(31&lt;=DAY(EOMONTH(DATE(2026,$B$1,1),0)),$B$1&amp;"월 31일","")</f>
        <v/>
      </c>
      <c r="H88" s="5"/>
      <c r="I88" s="6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spans="1:21" ht="15.75" customHeight="1">
      <c r="A89" s="10" t="s">
        <v>954</v>
      </c>
      <c r="B89" s="8">
        <v>2.2700000000000001E-2</v>
      </c>
      <c r="C89" s="9" t="s">
        <v>37</v>
      </c>
      <c r="D89" s="10" t="s">
        <v>955</v>
      </c>
      <c r="E89" s="8">
        <v>8.3999999999999995E-3</v>
      </c>
      <c r="F89" s="9" t="s">
        <v>42</v>
      </c>
      <c r="G89" s="10"/>
      <c r="H89" s="12"/>
      <c r="I89" s="9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ht="15.75" customHeight="1">
      <c r="A90" s="10" t="s">
        <v>956</v>
      </c>
      <c r="B90" s="8">
        <v>2.2700000000000001E-2</v>
      </c>
      <c r="C90" s="9" t="s">
        <v>37</v>
      </c>
      <c r="D90" s="10" t="s">
        <v>629</v>
      </c>
      <c r="E90" s="8">
        <v>8.3999999999999995E-3</v>
      </c>
      <c r="F90" s="9" t="s">
        <v>37</v>
      </c>
      <c r="G90" s="10"/>
      <c r="H90" s="12"/>
      <c r="I90" s="9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ht="15.75" customHeight="1">
      <c r="A91" s="7" t="s">
        <v>957</v>
      </c>
      <c r="B91" s="8">
        <v>2.2700000000000001E-2</v>
      </c>
      <c r="C91" s="9" t="s">
        <v>33</v>
      </c>
      <c r="D91" s="7" t="s">
        <v>958</v>
      </c>
      <c r="E91" s="8">
        <v>8.3999999999999995E-3</v>
      </c>
      <c r="F91" s="9" t="s">
        <v>33</v>
      </c>
      <c r="G91" s="10"/>
      <c r="H91" s="12"/>
      <c r="I91" s="9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ht="15.75" customHeight="1">
      <c r="A92" s="7" t="s">
        <v>296</v>
      </c>
      <c r="B92" s="8">
        <v>2.2700000000000001E-2</v>
      </c>
      <c r="C92" s="9" t="s">
        <v>42</v>
      </c>
      <c r="D92" s="7" t="s">
        <v>30</v>
      </c>
      <c r="E92" s="8">
        <v>8.3999999999999995E-3</v>
      </c>
      <c r="F92" s="9" t="s">
        <v>37</v>
      </c>
      <c r="G92" s="10"/>
      <c r="H92" s="12"/>
      <c r="I92" s="9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ht="15.75" customHeight="1">
      <c r="A93" s="7" t="s">
        <v>959</v>
      </c>
      <c r="B93" s="8">
        <v>2.2700000000000001E-2</v>
      </c>
      <c r="C93" s="9" t="s">
        <v>33</v>
      </c>
      <c r="D93" s="7" t="s">
        <v>960</v>
      </c>
      <c r="E93" s="8">
        <v>8.3999999999999995E-3</v>
      </c>
      <c r="F93" s="9" t="s">
        <v>33</v>
      </c>
      <c r="G93" s="10"/>
      <c r="H93" s="12"/>
      <c r="I93" s="9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ht="15.75" customHeight="1">
      <c r="A94" s="7" t="s">
        <v>577</v>
      </c>
      <c r="B94" s="8">
        <v>2.2700000000000001E-2</v>
      </c>
      <c r="C94" s="9" t="s">
        <v>33</v>
      </c>
      <c r="D94" s="7" t="s">
        <v>961</v>
      </c>
      <c r="E94" s="8">
        <v>8.3999999999999995E-3</v>
      </c>
      <c r="F94" s="9" t="s">
        <v>27</v>
      </c>
      <c r="G94" s="10"/>
      <c r="H94" s="12"/>
      <c r="I94" s="9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ht="15.75" customHeight="1">
      <c r="A95" s="7" t="s">
        <v>962</v>
      </c>
      <c r="B95" s="8">
        <v>2.2700000000000001E-2</v>
      </c>
      <c r="C95" s="9" t="s">
        <v>37</v>
      </c>
      <c r="D95" s="7" t="s">
        <v>622</v>
      </c>
      <c r="E95" s="8">
        <v>8.3999999999999995E-3</v>
      </c>
      <c r="F95" s="9" t="s">
        <v>27</v>
      </c>
      <c r="G95" s="10"/>
      <c r="H95" s="12"/>
      <c r="I95" s="9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15.75" customHeight="1">
      <c r="A96" s="7" t="s">
        <v>963</v>
      </c>
      <c r="B96" s="8">
        <v>2.2700000000000001E-2</v>
      </c>
      <c r="C96" s="9" t="s">
        <v>42</v>
      </c>
      <c r="D96" s="7" t="s">
        <v>83</v>
      </c>
      <c r="E96" s="8">
        <v>8.3999999999999995E-3</v>
      </c>
      <c r="F96" s="9" t="s">
        <v>42</v>
      </c>
      <c r="G96" s="10"/>
      <c r="H96" s="12"/>
      <c r="I96" s="9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ht="15.75" customHeight="1">
      <c r="A97" s="7" t="s">
        <v>83</v>
      </c>
      <c r="B97" s="8">
        <v>2.2700000000000001E-2</v>
      </c>
      <c r="C97" s="9" t="s">
        <v>42</v>
      </c>
      <c r="D97" s="7" t="s">
        <v>41</v>
      </c>
      <c r="E97" s="8">
        <v>8.3999999999999995E-3</v>
      </c>
      <c r="F97" s="9" t="s">
        <v>42</v>
      </c>
      <c r="G97" s="10"/>
      <c r="H97" s="12"/>
      <c r="I97" s="9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ht="15.75" customHeight="1">
      <c r="A98" s="7" t="s">
        <v>932</v>
      </c>
      <c r="B98" s="8">
        <v>2.2700000000000001E-2</v>
      </c>
      <c r="C98" s="9" t="s">
        <v>33</v>
      </c>
      <c r="D98" s="7" t="s">
        <v>133</v>
      </c>
      <c r="E98" s="8">
        <v>8.3999999999999995E-3</v>
      </c>
      <c r="F98" s="9" t="s">
        <v>42</v>
      </c>
      <c r="G98" s="10"/>
      <c r="H98" s="12"/>
      <c r="I98" s="9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15.75" customHeight="1">
      <c r="A99" s="7" t="s">
        <v>914</v>
      </c>
      <c r="B99" s="8">
        <v>2.2700000000000001E-2</v>
      </c>
      <c r="C99" s="9" t="s">
        <v>33</v>
      </c>
      <c r="D99" s="7" t="s">
        <v>128</v>
      </c>
      <c r="E99" s="8">
        <v>8.3999999999999995E-3</v>
      </c>
      <c r="F99" s="9" t="s">
        <v>42</v>
      </c>
      <c r="G99" s="10"/>
      <c r="H99" s="12"/>
      <c r="I99" s="9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15.75" customHeight="1">
      <c r="A100" s="7" t="s">
        <v>964</v>
      </c>
      <c r="B100" s="8">
        <v>2.2700000000000001E-2</v>
      </c>
      <c r="C100" s="9"/>
      <c r="D100" s="7" t="s">
        <v>618</v>
      </c>
      <c r="E100" s="8">
        <v>1.6799999999999999E-2</v>
      </c>
      <c r="F100" s="9" t="s">
        <v>33</v>
      </c>
      <c r="G100" s="10"/>
      <c r="H100" s="12"/>
      <c r="I100" s="9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ht="15.75" customHeight="1">
      <c r="A101" s="7" t="s">
        <v>83</v>
      </c>
      <c r="B101" s="8">
        <v>2.2700000000000001E-2</v>
      </c>
      <c r="C101" s="9" t="s">
        <v>42</v>
      </c>
      <c r="D101" s="7" t="s">
        <v>83</v>
      </c>
      <c r="E101" s="8">
        <v>1.6799999999999999E-2</v>
      </c>
      <c r="F101" s="9" t="s">
        <v>42</v>
      </c>
      <c r="G101" s="10"/>
      <c r="H101" s="12"/>
      <c r="I101" s="9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ht="15.75" customHeight="1">
      <c r="A102" s="7" t="s">
        <v>30</v>
      </c>
      <c r="B102" s="8">
        <v>2.2700000000000001E-2</v>
      </c>
      <c r="C102" s="9" t="s">
        <v>37</v>
      </c>
      <c r="D102" s="10" t="s">
        <v>965</v>
      </c>
      <c r="E102" s="8">
        <v>8.3999999999999995E-3</v>
      </c>
      <c r="F102" s="9" t="s">
        <v>33</v>
      </c>
      <c r="G102" s="10"/>
      <c r="H102" s="12"/>
      <c r="I102" s="9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ht="15.75" customHeight="1">
      <c r="A103" s="10" t="s">
        <v>966</v>
      </c>
      <c r="B103" s="8">
        <v>2.2700000000000001E-2</v>
      </c>
      <c r="C103" s="9" t="s">
        <v>33</v>
      </c>
      <c r="D103" s="10" t="s">
        <v>967</v>
      </c>
      <c r="E103" s="8">
        <v>8.3999999999999995E-3</v>
      </c>
      <c r="F103" s="9" t="s">
        <v>35</v>
      </c>
      <c r="G103" s="10"/>
      <c r="H103" s="12"/>
      <c r="I103" s="9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ht="15.75" customHeight="1">
      <c r="A104" s="10"/>
      <c r="B104" s="12"/>
      <c r="C104" s="9"/>
      <c r="D104" s="7" t="s">
        <v>560</v>
      </c>
      <c r="E104" s="8">
        <v>8.3999999999999995E-3</v>
      </c>
      <c r="F104" s="9" t="s">
        <v>33</v>
      </c>
      <c r="G104" s="10"/>
      <c r="H104" s="12"/>
      <c r="I104" s="9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15.75" customHeight="1">
      <c r="A105" s="10"/>
      <c r="B105" s="12"/>
      <c r="C105" s="9"/>
      <c r="D105" s="7" t="s">
        <v>968</v>
      </c>
      <c r="E105" s="8">
        <v>8.3999999999999995E-3</v>
      </c>
      <c r="F105" s="9" t="s">
        <v>33</v>
      </c>
      <c r="G105" s="10"/>
      <c r="H105" s="12"/>
      <c r="I105" s="9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15.75" customHeight="1">
      <c r="A106" s="10"/>
      <c r="B106" s="12"/>
      <c r="C106" s="9"/>
      <c r="D106" s="7" t="s">
        <v>408</v>
      </c>
      <c r="E106" s="8">
        <v>8.3999999999999995E-3</v>
      </c>
      <c r="F106" s="9" t="s">
        <v>33</v>
      </c>
      <c r="G106" s="10"/>
      <c r="H106" s="12"/>
      <c r="I106" s="9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ht="15.75" customHeight="1">
      <c r="A107" s="10"/>
      <c r="B107" s="12"/>
      <c r="C107" s="9"/>
      <c r="D107" s="7" t="s">
        <v>969</v>
      </c>
      <c r="E107" s="8">
        <v>8.3999999999999995E-3</v>
      </c>
      <c r="F107" s="9" t="s">
        <v>33</v>
      </c>
      <c r="G107" s="10"/>
      <c r="H107" s="12"/>
      <c r="I107" s="9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15.75" customHeight="1">
      <c r="A108" s="10"/>
      <c r="B108" s="12"/>
      <c r="C108" s="9"/>
      <c r="D108" s="7" t="s">
        <v>137</v>
      </c>
      <c r="E108" s="8">
        <v>8.3999999999999995E-3</v>
      </c>
      <c r="F108" s="9" t="s">
        <v>42</v>
      </c>
      <c r="G108" s="10"/>
      <c r="H108" s="12"/>
      <c r="I108" s="9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ht="15.75" customHeight="1">
      <c r="A109" s="13"/>
      <c r="B109" s="14"/>
      <c r="C109" s="15"/>
      <c r="D109" s="13"/>
      <c r="E109" s="14"/>
      <c r="F109" s="15"/>
      <c r="G109" s="13"/>
      <c r="H109" s="14"/>
      <c r="I109" s="15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</sheetData>
  <mergeCells count="1">
    <mergeCell ref="C1:U1"/>
  </mergeCells>
  <phoneticPr fontId="19" type="noConversion"/>
  <dataValidations count="2">
    <dataValidation type="list" sqref="B1">
      <formula1>"1,2,3,4,5,6,7,8,9,10,11,12"</formula1>
      <formula2>0</formula2>
    </dataValidation>
    <dataValidation type="list" allowBlank="1" sqref="C3:C129 F3:F129 I3:I129 L3:L129 O3:O129 R3:R129 U3:U129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zoomScaleNormal="100" workbookViewId="0">
      <selection activeCell="J28" sqref="J28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2.44140625" style="150" customWidth="1"/>
    <col min="5" max="5" width="20" style="150" customWidth="1"/>
    <col min="6" max="6" width="10" style="150" customWidth="1"/>
    <col min="7" max="7" width="4.109375" style="150" customWidth="1"/>
    <col min="8" max="8" width="11.21875" style="150" customWidth="1"/>
    <col min="11" max="11" width="49.5546875" style="150" customWidth="1"/>
  </cols>
  <sheetData>
    <row r="1" spans="2:12" ht="27.75" customHeight="1">
      <c r="B1" s="181" t="s">
        <v>970</v>
      </c>
      <c r="C1" s="160"/>
      <c r="D1" s="160"/>
      <c r="E1" s="160"/>
      <c r="F1" s="160"/>
      <c r="G1" s="160"/>
      <c r="H1" s="160"/>
      <c r="I1" s="119"/>
      <c r="J1" s="119"/>
      <c r="K1" s="119"/>
      <c r="L1" s="119"/>
    </row>
    <row r="2" spans="2:12" ht="19.2" customHeight="1" thickBot="1"/>
    <row r="3" spans="2:12" ht="19.5" customHeight="1">
      <c r="B3" s="164" t="s">
        <v>6</v>
      </c>
      <c r="C3" s="165"/>
      <c r="E3" s="164" t="s">
        <v>7</v>
      </c>
      <c r="F3" s="165"/>
      <c r="H3" s="153" t="s">
        <v>971</v>
      </c>
      <c r="I3" s="183" t="s">
        <v>8</v>
      </c>
      <c r="J3" s="171"/>
      <c r="K3" s="171"/>
      <c r="L3" s="44" t="s">
        <v>9</v>
      </c>
    </row>
    <row r="4" spans="2:12" ht="16.5" customHeight="1">
      <c r="B4" s="21" t="s">
        <v>9</v>
      </c>
      <c r="C4" s="33">
        <v>1686</v>
      </c>
      <c r="E4" s="21" t="s">
        <v>189</v>
      </c>
      <c r="F4" s="34">
        <v>0.3281</v>
      </c>
      <c r="H4" s="29">
        <v>1</v>
      </c>
      <c r="I4" s="182" t="s">
        <v>203</v>
      </c>
      <c r="J4" s="160"/>
      <c r="K4" s="176"/>
      <c r="L4" s="47">
        <v>135</v>
      </c>
    </row>
    <row r="5" spans="2:12" ht="16.5" customHeight="1">
      <c r="B5" s="7" t="s">
        <v>10</v>
      </c>
      <c r="C5" s="24">
        <v>799</v>
      </c>
      <c r="E5" s="10" t="s">
        <v>191</v>
      </c>
      <c r="F5" s="35">
        <v>0.2051</v>
      </c>
      <c r="H5" s="30">
        <v>2</v>
      </c>
      <c r="I5" s="175" t="s">
        <v>754</v>
      </c>
      <c r="J5" s="160"/>
      <c r="K5" s="176"/>
      <c r="L5" s="48">
        <v>111</v>
      </c>
    </row>
    <row r="6" spans="2:12" ht="16.5" customHeight="1">
      <c r="B6" s="21" t="s">
        <v>11</v>
      </c>
      <c r="C6" s="33">
        <v>1089</v>
      </c>
      <c r="E6" s="21" t="s">
        <v>195</v>
      </c>
      <c r="F6" s="34">
        <v>0.14990000000000001</v>
      </c>
      <c r="H6" s="29">
        <v>3</v>
      </c>
      <c r="I6" s="177" t="s">
        <v>200</v>
      </c>
      <c r="J6" s="160"/>
      <c r="K6" s="176"/>
      <c r="L6" s="47">
        <v>108</v>
      </c>
    </row>
    <row r="7" spans="2:12" ht="16.5" customHeight="1">
      <c r="B7" s="7" t="s">
        <v>12</v>
      </c>
      <c r="C7" s="36">
        <v>0.113</v>
      </c>
      <c r="E7" s="7" t="s">
        <v>198</v>
      </c>
      <c r="F7" s="35">
        <v>0.12590000000000001</v>
      </c>
      <c r="H7" s="30">
        <v>4</v>
      </c>
      <c r="I7" s="175" t="s">
        <v>755</v>
      </c>
      <c r="J7" s="160"/>
      <c r="K7" s="176"/>
      <c r="L7" s="48">
        <v>90</v>
      </c>
    </row>
    <row r="8" spans="2:12" ht="16.5" customHeight="1" thickBot="1">
      <c r="B8" s="25" t="s">
        <v>13</v>
      </c>
      <c r="C8" s="26" t="s">
        <v>972</v>
      </c>
      <c r="E8" s="25" t="s">
        <v>193</v>
      </c>
      <c r="F8" s="37">
        <v>4.6699999999999998E-2</v>
      </c>
      <c r="H8" s="29">
        <v>5</v>
      </c>
      <c r="I8" s="177" t="s">
        <v>973</v>
      </c>
      <c r="J8" s="160"/>
      <c r="K8" s="176"/>
      <c r="L8" s="47">
        <v>77</v>
      </c>
    </row>
    <row r="9" spans="2:12" ht="17.25" customHeight="1" thickBot="1">
      <c r="H9" s="30">
        <v>6</v>
      </c>
      <c r="I9" s="175" t="s">
        <v>974</v>
      </c>
      <c r="J9" s="160"/>
      <c r="K9" s="176"/>
      <c r="L9" s="48">
        <v>65</v>
      </c>
    </row>
    <row r="10" spans="2:12" ht="19.5" customHeight="1">
      <c r="B10" s="164" t="s">
        <v>14</v>
      </c>
      <c r="C10" s="165"/>
      <c r="E10" s="164" t="s">
        <v>15</v>
      </c>
      <c r="F10" s="165"/>
      <c r="H10" s="29">
        <v>7</v>
      </c>
      <c r="I10" s="177" t="s">
        <v>975</v>
      </c>
      <c r="J10" s="160"/>
      <c r="K10" s="176"/>
      <c r="L10" s="47">
        <v>35</v>
      </c>
    </row>
    <row r="11" spans="2:12" ht="16.5" customHeight="1">
      <c r="B11" s="23" t="s">
        <v>976</v>
      </c>
      <c r="C11" s="33">
        <v>1267</v>
      </c>
      <c r="E11" s="21" t="s">
        <v>16</v>
      </c>
      <c r="F11" s="34">
        <v>0.254</v>
      </c>
      <c r="H11" s="30">
        <v>7</v>
      </c>
      <c r="I11" s="175" t="s">
        <v>746</v>
      </c>
      <c r="J11" s="160"/>
      <c r="K11" s="176"/>
      <c r="L11" s="49">
        <v>35</v>
      </c>
    </row>
    <row r="12" spans="2:12" ht="18.75" customHeight="1" thickBot="1">
      <c r="B12" s="10" t="s">
        <v>752</v>
      </c>
      <c r="C12" s="38">
        <v>2216</v>
      </c>
      <c r="E12" s="13" t="s">
        <v>17</v>
      </c>
      <c r="F12" s="39">
        <v>0.746</v>
      </c>
      <c r="H12" s="29">
        <v>9</v>
      </c>
      <c r="I12" s="177" t="s">
        <v>977</v>
      </c>
      <c r="J12" s="160"/>
      <c r="K12" s="176"/>
      <c r="L12" s="50">
        <v>31</v>
      </c>
    </row>
    <row r="13" spans="2:12" ht="15.75" customHeight="1" thickBot="1">
      <c r="B13" s="40" t="s">
        <v>446</v>
      </c>
      <c r="C13" s="41">
        <v>1835</v>
      </c>
      <c r="H13" s="51">
        <v>10</v>
      </c>
      <c r="I13" s="178" t="s">
        <v>978</v>
      </c>
      <c r="J13" s="179"/>
      <c r="K13" s="180"/>
      <c r="L13" s="52">
        <v>25</v>
      </c>
    </row>
    <row r="14" spans="2:12" ht="19.5" customHeight="1">
      <c r="B14" s="42">
        <v>2026.05</v>
      </c>
      <c r="C14" s="43">
        <v>1114</v>
      </c>
      <c r="E14" s="164" t="s">
        <v>979</v>
      </c>
      <c r="F14" s="165"/>
    </row>
    <row r="15" spans="2:12" ht="16.5" customHeight="1" thickBot="1">
      <c r="B15" s="45">
        <v>2026.06</v>
      </c>
      <c r="C15" s="46">
        <v>1686</v>
      </c>
      <c r="E15" s="23" t="s">
        <v>976</v>
      </c>
      <c r="F15" s="33">
        <v>577</v>
      </c>
    </row>
    <row r="16" spans="2:12" ht="16.5" customHeight="1" thickBot="1">
      <c r="E16" s="10" t="s">
        <v>752</v>
      </c>
      <c r="F16" s="38">
        <v>1448</v>
      </c>
    </row>
    <row r="17" spans="2:6" ht="16.5" customHeight="1">
      <c r="B17" s="164" t="s">
        <v>20</v>
      </c>
      <c r="C17" s="165"/>
      <c r="E17" s="40" t="s">
        <v>446</v>
      </c>
      <c r="F17" s="41">
        <v>1105</v>
      </c>
    </row>
    <row r="18" spans="2:6" ht="16.5" customHeight="1">
      <c r="B18" s="21" t="s">
        <v>83</v>
      </c>
      <c r="C18" s="34">
        <v>0.1217</v>
      </c>
      <c r="E18" s="42">
        <v>2026.05</v>
      </c>
      <c r="F18" s="43">
        <v>630</v>
      </c>
    </row>
    <row r="19" spans="2:6" ht="16.5" customHeight="1" thickBot="1">
      <c r="B19" s="7" t="s">
        <v>560</v>
      </c>
      <c r="C19" s="35">
        <v>7.3999999999999996E-2</v>
      </c>
      <c r="E19" s="45">
        <v>2026.06</v>
      </c>
      <c r="F19" s="46">
        <v>799</v>
      </c>
    </row>
    <row r="20" spans="2:6" ht="16.5" customHeight="1">
      <c r="B20" s="21" t="s">
        <v>30</v>
      </c>
      <c r="C20" s="34">
        <v>5.9700000000000003E-2</v>
      </c>
    </row>
    <row r="21" spans="2:6" ht="16.5" customHeight="1">
      <c r="B21" s="7" t="s">
        <v>818</v>
      </c>
      <c r="C21" s="35">
        <v>5.0099999999999999E-2</v>
      </c>
    </row>
    <row r="22" spans="2:6" ht="16.5" customHeight="1">
      <c r="B22" s="21" t="s">
        <v>41</v>
      </c>
      <c r="C22" s="34">
        <v>3.8199999999999998E-2</v>
      </c>
    </row>
    <row r="23" spans="2:6" ht="16.5" customHeight="1">
      <c r="B23" s="7" t="s">
        <v>612</v>
      </c>
      <c r="C23" s="35">
        <v>2.86E-2</v>
      </c>
    </row>
    <row r="24" spans="2:6" ht="16.5" customHeight="1">
      <c r="B24" s="21" t="s">
        <v>619</v>
      </c>
      <c r="C24" s="34">
        <v>2.63E-2</v>
      </c>
    </row>
    <row r="25" spans="2:6" ht="16.5" customHeight="1">
      <c r="B25" s="7" t="s">
        <v>92</v>
      </c>
      <c r="C25" s="35">
        <v>1.67E-2</v>
      </c>
    </row>
    <row r="26" spans="2:6" ht="16.5" customHeight="1">
      <c r="B26" s="21" t="s">
        <v>851</v>
      </c>
      <c r="C26" s="34">
        <v>1.43E-2</v>
      </c>
    </row>
    <row r="27" spans="2:6" ht="16.5" customHeight="1">
      <c r="B27" s="53" t="s">
        <v>128</v>
      </c>
      <c r="C27" s="39">
        <v>1.43E-2</v>
      </c>
    </row>
  </sheetData>
  <mergeCells count="18">
    <mergeCell ref="B17:C17"/>
    <mergeCell ref="I12:K12"/>
    <mergeCell ref="I4:K4"/>
    <mergeCell ref="E14:F14"/>
    <mergeCell ref="I3:K3"/>
    <mergeCell ref="I7:K7"/>
    <mergeCell ref="E3:F3"/>
    <mergeCell ref="I6:K6"/>
    <mergeCell ref="I11:K11"/>
    <mergeCell ref="I10:K10"/>
    <mergeCell ref="I13:K13"/>
    <mergeCell ref="E10:F10"/>
    <mergeCell ref="B1:H1"/>
    <mergeCell ref="B3:C3"/>
    <mergeCell ref="I5:K5"/>
    <mergeCell ref="B10:C10"/>
    <mergeCell ref="I9:K9"/>
    <mergeCell ref="I8:K8"/>
  </mergeCells>
  <phoneticPr fontId="19" type="noConversion"/>
  <hyperlinks>
    <hyperlink ref="I4" r:id="rId1"/>
    <hyperlink ref="I5" r:id="rId2"/>
    <hyperlink ref="I6" r:id="rId3"/>
    <hyperlink ref="I7" r:id="rId4"/>
    <hyperlink ref="I8" r:id="rId5"/>
    <hyperlink ref="I9" r:id="rId6"/>
    <hyperlink ref="I10" r:id="rId7"/>
    <hyperlink ref="I11" r:id="rId8"/>
    <hyperlink ref="I12" r:id="rId9"/>
    <hyperlink ref="I13" r:id="rId10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7"/>
  <sheetViews>
    <sheetView zoomScaleNormal="100" workbookViewId="0">
      <pane ySplit="1" topLeftCell="A182" activePane="bottomLeft" state="frozen"/>
      <selection pane="bottomLeft" activeCell="C210" sqref="C210"/>
    </sheetView>
  </sheetViews>
  <sheetFormatPr defaultColWidth="8.6640625" defaultRowHeight="14.4"/>
  <cols>
    <col min="1" max="1" width="17.77734375" style="150" customWidth="1"/>
    <col min="2" max="2" width="11.109375" style="150" customWidth="1"/>
    <col min="3" max="3" width="51.109375" style="150" customWidth="1"/>
    <col min="4" max="6" width="11.109375" style="150" customWidth="1"/>
    <col min="7" max="7" width="9.77734375" style="150" customWidth="1"/>
    <col min="8" max="8" width="8.88671875" style="150" customWidth="1"/>
  </cols>
  <sheetData>
    <row r="1" spans="1:6" ht="19.5" customHeight="1">
      <c r="A1" s="54" t="s">
        <v>22</v>
      </c>
      <c r="B1" s="54" t="s">
        <v>23</v>
      </c>
      <c r="C1" s="54" t="s">
        <v>2</v>
      </c>
      <c r="D1" s="54" t="s">
        <v>24</v>
      </c>
      <c r="E1" s="54" t="s">
        <v>25</v>
      </c>
      <c r="F1" s="54" t="s">
        <v>4</v>
      </c>
    </row>
    <row r="2" spans="1:6" ht="15.75" customHeight="1">
      <c r="A2" s="55" t="s">
        <v>83</v>
      </c>
      <c r="B2" s="56" t="s">
        <v>980</v>
      </c>
      <c r="C2" s="55" t="s">
        <v>83</v>
      </c>
      <c r="D2" s="56" t="s">
        <v>981</v>
      </c>
      <c r="E2" s="56">
        <v>1</v>
      </c>
      <c r="F2" s="57" t="s">
        <v>42</v>
      </c>
    </row>
    <row r="3" spans="1:6" ht="15.75" customHeight="1">
      <c r="A3" s="55" t="s">
        <v>83</v>
      </c>
      <c r="B3" s="56" t="s">
        <v>980</v>
      </c>
      <c r="C3" s="55" t="s">
        <v>41</v>
      </c>
      <c r="D3" s="56" t="s">
        <v>981</v>
      </c>
      <c r="E3" s="56">
        <v>1</v>
      </c>
      <c r="F3" s="57" t="s">
        <v>42</v>
      </c>
    </row>
    <row r="4" spans="1:6" ht="15.75" customHeight="1">
      <c r="A4" s="55" t="s">
        <v>83</v>
      </c>
      <c r="B4" s="56" t="s">
        <v>980</v>
      </c>
      <c r="C4" s="55" t="s">
        <v>739</v>
      </c>
      <c r="D4" s="56" t="s">
        <v>981</v>
      </c>
      <c r="E4" s="56">
        <v>1</v>
      </c>
      <c r="F4" s="57" t="s">
        <v>42</v>
      </c>
    </row>
    <row r="5" spans="1:6" ht="15.75" customHeight="1">
      <c r="A5" s="55" t="s">
        <v>83</v>
      </c>
      <c r="B5" s="56" t="s">
        <v>980</v>
      </c>
      <c r="C5" s="55" t="s">
        <v>41</v>
      </c>
      <c r="D5" s="56" t="s">
        <v>982</v>
      </c>
      <c r="E5" s="56">
        <v>2</v>
      </c>
      <c r="F5" s="57" t="s">
        <v>42</v>
      </c>
    </row>
    <row r="6" spans="1:6" ht="15.75" customHeight="1">
      <c r="A6" s="55" t="s">
        <v>83</v>
      </c>
      <c r="B6" s="56" t="s">
        <v>983</v>
      </c>
      <c r="C6" s="55" t="s">
        <v>83</v>
      </c>
      <c r="D6" s="56" t="s">
        <v>984</v>
      </c>
      <c r="E6" s="56">
        <v>2</v>
      </c>
      <c r="F6" s="57" t="s">
        <v>42</v>
      </c>
    </row>
    <row r="7" spans="1:6" ht="15.75" customHeight="1">
      <c r="A7" s="55" t="s">
        <v>83</v>
      </c>
      <c r="B7" s="56" t="s">
        <v>983</v>
      </c>
      <c r="C7" s="55" t="s">
        <v>41</v>
      </c>
      <c r="D7" s="56" t="s">
        <v>810</v>
      </c>
      <c r="E7" s="56">
        <v>1</v>
      </c>
      <c r="F7" s="57" t="s">
        <v>42</v>
      </c>
    </row>
    <row r="8" spans="1:6" ht="15.75" customHeight="1">
      <c r="A8" s="55" t="s">
        <v>83</v>
      </c>
      <c r="B8" s="56" t="s">
        <v>985</v>
      </c>
      <c r="C8" s="55" t="s">
        <v>83</v>
      </c>
      <c r="D8" s="56" t="s">
        <v>986</v>
      </c>
      <c r="E8" s="56">
        <v>2</v>
      </c>
      <c r="F8" s="57" t="s">
        <v>42</v>
      </c>
    </row>
    <row r="9" spans="1:6" ht="15.75" customHeight="1">
      <c r="A9" s="55" t="s">
        <v>83</v>
      </c>
      <c r="B9" s="56" t="s">
        <v>985</v>
      </c>
      <c r="C9" s="55" t="s">
        <v>92</v>
      </c>
      <c r="D9" s="56" t="s">
        <v>986</v>
      </c>
      <c r="E9" s="56">
        <v>2</v>
      </c>
      <c r="F9" s="57" t="s">
        <v>42</v>
      </c>
    </row>
    <row r="10" spans="1:6" ht="15.75" customHeight="1">
      <c r="A10" s="55" t="s">
        <v>83</v>
      </c>
      <c r="B10" s="56" t="s">
        <v>987</v>
      </c>
      <c r="C10" s="55" t="s">
        <v>83</v>
      </c>
      <c r="D10" s="56" t="s">
        <v>255</v>
      </c>
      <c r="E10" s="56">
        <v>1</v>
      </c>
      <c r="F10" s="57" t="s">
        <v>42</v>
      </c>
    </row>
    <row r="11" spans="1:6" ht="15.75" customHeight="1">
      <c r="A11" s="55" t="s">
        <v>83</v>
      </c>
      <c r="B11" s="56" t="s">
        <v>987</v>
      </c>
      <c r="C11" s="55" t="s">
        <v>92</v>
      </c>
      <c r="D11" s="56" t="s">
        <v>255</v>
      </c>
      <c r="E11" s="56">
        <v>1</v>
      </c>
      <c r="F11" s="57" t="s">
        <v>42</v>
      </c>
    </row>
    <row r="12" spans="1:6" ht="15.75" customHeight="1">
      <c r="A12" s="55" t="s">
        <v>83</v>
      </c>
      <c r="B12" s="56" t="s">
        <v>988</v>
      </c>
      <c r="C12" s="55" t="s">
        <v>83</v>
      </c>
      <c r="D12" s="56" t="s">
        <v>218</v>
      </c>
      <c r="E12" s="56">
        <v>1</v>
      </c>
      <c r="F12" s="57" t="s">
        <v>42</v>
      </c>
    </row>
    <row r="13" spans="1:6" ht="15.75" customHeight="1">
      <c r="A13" s="55" t="s">
        <v>83</v>
      </c>
      <c r="B13" s="56" t="s">
        <v>988</v>
      </c>
      <c r="C13" s="55" t="s">
        <v>876</v>
      </c>
      <c r="D13" s="56" t="s">
        <v>218</v>
      </c>
      <c r="E13" s="56">
        <v>1</v>
      </c>
      <c r="F13" s="57" t="s">
        <v>42</v>
      </c>
    </row>
    <row r="14" spans="1:6" ht="15.75" customHeight="1">
      <c r="A14" s="55" t="s">
        <v>83</v>
      </c>
      <c r="B14" s="56" t="s">
        <v>989</v>
      </c>
      <c r="C14" s="55" t="s">
        <v>83</v>
      </c>
      <c r="D14" s="56" t="s">
        <v>518</v>
      </c>
      <c r="E14" s="56">
        <v>2</v>
      </c>
      <c r="F14" s="57" t="s">
        <v>42</v>
      </c>
    </row>
    <row r="15" spans="1:6" ht="15.75" customHeight="1">
      <c r="A15" s="55" t="s">
        <v>83</v>
      </c>
      <c r="B15" s="56" t="s">
        <v>989</v>
      </c>
      <c r="C15" s="55" t="s">
        <v>41</v>
      </c>
      <c r="D15" s="56" t="s">
        <v>519</v>
      </c>
      <c r="E15" s="56">
        <v>1</v>
      </c>
      <c r="F15" s="57" t="s">
        <v>42</v>
      </c>
    </row>
    <row r="16" spans="1:6" ht="15.75" customHeight="1">
      <c r="A16" s="55" t="s">
        <v>83</v>
      </c>
      <c r="B16" s="56" t="s">
        <v>989</v>
      </c>
      <c r="C16" s="55" t="s">
        <v>105</v>
      </c>
      <c r="D16" s="56" t="s">
        <v>519</v>
      </c>
      <c r="E16" s="56">
        <v>1</v>
      </c>
      <c r="F16" s="57" t="s">
        <v>42</v>
      </c>
    </row>
    <row r="17" spans="1:6" ht="15.75" customHeight="1">
      <c r="A17" s="55" t="s">
        <v>83</v>
      </c>
      <c r="B17" s="56" t="s">
        <v>989</v>
      </c>
      <c r="C17" s="55" t="s">
        <v>137</v>
      </c>
      <c r="D17" s="56" t="s">
        <v>519</v>
      </c>
      <c r="E17" s="56">
        <v>1</v>
      </c>
      <c r="F17" s="57" t="s">
        <v>42</v>
      </c>
    </row>
    <row r="18" spans="1:6" ht="15.75" customHeight="1">
      <c r="A18" s="55" t="s">
        <v>83</v>
      </c>
      <c r="B18" s="56" t="s">
        <v>989</v>
      </c>
      <c r="C18" s="55" t="s">
        <v>83</v>
      </c>
      <c r="D18" s="56" t="s">
        <v>517</v>
      </c>
      <c r="E18" s="56">
        <v>3</v>
      </c>
      <c r="F18" s="57" t="s">
        <v>42</v>
      </c>
    </row>
    <row r="19" spans="1:6" ht="15.75" customHeight="1">
      <c r="A19" s="55" t="s">
        <v>83</v>
      </c>
      <c r="B19" s="56" t="s">
        <v>990</v>
      </c>
      <c r="C19" s="55" t="s">
        <v>83</v>
      </c>
      <c r="D19" s="56" t="s">
        <v>991</v>
      </c>
      <c r="E19" s="56">
        <v>3</v>
      </c>
      <c r="F19" s="57" t="s">
        <v>42</v>
      </c>
    </row>
    <row r="20" spans="1:6" ht="15.75" customHeight="1">
      <c r="A20" s="55" t="s">
        <v>83</v>
      </c>
      <c r="B20" s="56" t="s">
        <v>990</v>
      </c>
      <c r="C20" s="55" t="s">
        <v>41</v>
      </c>
      <c r="D20" s="56" t="s">
        <v>534</v>
      </c>
      <c r="E20" s="56">
        <v>1</v>
      </c>
      <c r="F20" s="57" t="s">
        <v>42</v>
      </c>
    </row>
    <row r="21" spans="1:6" ht="15.75" customHeight="1">
      <c r="A21" s="55" t="s">
        <v>83</v>
      </c>
      <c r="B21" s="56" t="s">
        <v>990</v>
      </c>
      <c r="C21" s="55" t="s">
        <v>41</v>
      </c>
      <c r="D21" s="56" t="s">
        <v>543</v>
      </c>
      <c r="E21" s="56">
        <v>2</v>
      </c>
      <c r="F21" s="57" t="s">
        <v>42</v>
      </c>
    </row>
    <row r="22" spans="1:6" ht="15.75" customHeight="1">
      <c r="A22" s="55" t="s">
        <v>83</v>
      </c>
      <c r="B22" s="56" t="s">
        <v>990</v>
      </c>
      <c r="C22" s="55" t="s">
        <v>83</v>
      </c>
      <c r="D22" s="56" t="s">
        <v>534</v>
      </c>
      <c r="E22" s="56">
        <v>1</v>
      </c>
      <c r="F22" s="57" t="s">
        <v>42</v>
      </c>
    </row>
    <row r="23" spans="1:6" ht="15.75" customHeight="1">
      <c r="A23" s="55" t="s">
        <v>83</v>
      </c>
      <c r="B23" s="56" t="s">
        <v>990</v>
      </c>
      <c r="C23" s="55" t="s">
        <v>922</v>
      </c>
      <c r="D23" s="56" t="s">
        <v>534</v>
      </c>
      <c r="E23" s="56">
        <v>1</v>
      </c>
      <c r="F23" s="57" t="s">
        <v>42</v>
      </c>
    </row>
    <row r="24" spans="1:6" ht="15.75" customHeight="1">
      <c r="A24" s="55" t="s">
        <v>83</v>
      </c>
      <c r="B24" s="56" t="s">
        <v>992</v>
      </c>
      <c r="C24" s="55" t="s">
        <v>83</v>
      </c>
      <c r="D24" s="56" t="s">
        <v>993</v>
      </c>
      <c r="E24" s="56">
        <v>3</v>
      </c>
      <c r="F24" s="57" t="s">
        <v>42</v>
      </c>
    </row>
    <row r="25" spans="1:6" ht="15.75" customHeight="1">
      <c r="A25" s="55" t="s">
        <v>83</v>
      </c>
      <c r="B25" s="56" t="s">
        <v>992</v>
      </c>
      <c r="C25" s="55" t="s">
        <v>83</v>
      </c>
      <c r="D25" s="56" t="s">
        <v>994</v>
      </c>
      <c r="E25" s="56">
        <v>2</v>
      </c>
      <c r="F25" s="57" t="s">
        <v>42</v>
      </c>
    </row>
    <row r="26" spans="1:6" ht="15.75" customHeight="1">
      <c r="A26" s="55" t="s">
        <v>83</v>
      </c>
      <c r="B26" s="56" t="s">
        <v>992</v>
      </c>
      <c r="C26" s="55" t="s">
        <v>92</v>
      </c>
      <c r="D26" s="56" t="s">
        <v>212</v>
      </c>
      <c r="E26" s="56">
        <v>1</v>
      </c>
      <c r="F26" s="57" t="s">
        <v>42</v>
      </c>
    </row>
    <row r="27" spans="1:6" ht="15.75" customHeight="1">
      <c r="A27" s="55" t="s">
        <v>83</v>
      </c>
      <c r="B27" s="56" t="s">
        <v>995</v>
      </c>
      <c r="C27" s="55" t="s">
        <v>83</v>
      </c>
      <c r="D27" s="56" t="s">
        <v>996</v>
      </c>
      <c r="E27" s="56">
        <v>3</v>
      </c>
      <c r="F27" s="57" t="s">
        <v>42</v>
      </c>
    </row>
    <row r="28" spans="1:6" ht="15.75" customHeight="1">
      <c r="A28" s="55" t="s">
        <v>83</v>
      </c>
      <c r="B28" s="56" t="s">
        <v>995</v>
      </c>
      <c r="C28" s="55" t="s">
        <v>137</v>
      </c>
      <c r="D28" s="56" t="s">
        <v>997</v>
      </c>
      <c r="E28" s="56">
        <v>1</v>
      </c>
      <c r="F28" s="57" t="s">
        <v>42</v>
      </c>
    </row>
    <row r="29" spans="1:6" ht="15.75" customHeight="1">
      <c r="A29" s="55" t="s">
        <v>83</v>
      </c>
      <c r="B29" s="56" t="s">
        <v>995</v>
      </c>
      <c r="C29" s="55" t="s">
        <v>906</v>
      </c>
      <c r="D29" s="56" t="s">
        <v>997</v>
      </c>
      <c r="E29" s="56">
        <v>1</v>
      </c>
      <c r="F29" s="57" t="s">
        <v>42</v>
      </c>
    </row>
    <row r="30" spans="1:6" ht="15.75" customHeight="1">
      <c r="A30" s="55" t="s">
        <v>83</v>
      </c>
      <c r="B30" s="56" t="s">
        <v>995</v>
      </c>
      <c r="C30" s="55" t="s">
        <v>105</v>
      </c>
      <c r="D30" s="56" t="s">
        <v>997</v>
      </c>
      <c r="E30" s="56">
        <v>1</v>
      </c>
      <c r="F30" s="57" t="s">
        <v>42</v>
      </c>
    </row>
    <row r="31" spans="1:6" ht="15.75" customHeight="1">
      <c r="A31" s="55" t="s">
        <v>83</v>
      </c>
      <c r="B31" s="56" t="s">
        <v>995</v>
      </c>
      <c r="C31" s="55" t="s">
        <v>83</v>
      </c>
      <c r="D31" s="56" t="s">
        <v>997</v>
      </c>
      <c r="E31" s="56">
        <v>1</v>
      </c>
      <c r="F31" s="57" t="s">
        <v>42</v>
      </c>
    </row>
    <row r="32" spans="1:6" ht="15" customHeight="1">
      <c r="A32" s="55" t="s">
        <v>83</v>
      </c>
      <c r="B32" s="56" t="s">
        <v>998</v>
      </c>
      <c r="C32" s="55" t="s">
        <v>83</v>
      </c>
      <c r="D32" s="56" t="s">
        <v>999</v>
      </c>
      <c r="E32" s="56">
        <v>2</v>
      </c>
      <c r="F32" s="57" t="s">
        <v>42</v>
      </c>
    </row>
    <row r="33" spans="1:6" ht="15" customHeight="1">
      <c r="A33" s="55" t="s">
        <v>83</v>
      </c>
      <c r="B33" s="56" t="s">
        <v>998</v>
      </c>
      <c r="C33" s="55" t="s">
        <v>83</v>
      </c>
      <c r="D33" s="56" t="s">
        <v>1000</v>
      </c>
      <c r="E33" s="56">
        <v>1</v>
      </c>
      <c r="F33" s="57" t="s">
        <v>42</v>
      </c>
    </row>
    <row r="34" spans="1:6" ht="15" customHeight="1">
      <c r="A34" s="55" t="s">
        <v>83</v>
      </c>
      <c r="B34" s="56" t="s">
        <v>1001</v>
      </c>
      <c r="C34" s="55" t="s">
        <v>83</v>
      </c>
      <c r="D34" s="56" t="s">
        <v>285</v>
      </c>
      <c r="E34" s="56">
        <v>2</v>
      </c>
      <c r="F34" s="57" t="s">
        <v>42</v>
      </c>
    </row>
    <row r="35" spans="1:6" ht="15" customHeight="1">
      <c r="A35" s="55" t="s">
        <v>83</v>
      </c>
      <c r="B35" s="56" t="s">
        <v>1001</v>
      </c>
      <c r="C35" s="55" t="s">
        <v>137</v>
      </c>
      <c r="D35" s="56" t="s">
        <v>249</v>
      </c>
      <c r="E35" s="56">
        <v>1</v>
      </c>
      <c r="F35" s="57" t="s">
        <v>42</v>
      </c>
    </row>
    <row r="36" spans="1:6" ht="15" customHeight="1">
      <c r="A36" s="55" t="s">
        <v>83</v>
      </c>
      <c r="B36" s="56" t="s">
        <v>1002</v>
      </c>
      <c r="C36" s="55" t="s">
        <v>92</v>
      </c>
      <c r="D36" s="56" t="s">
        <v>276</v>
      </c>
      <c r="E36" s="56">
        <v>1</v>
      </c>
      <c r="F36" s="57" t="s">
        <v>42</v>
      </c>
    </row>
    <row r="37" spans="1:6" ht="15" customHeight="1">
      <c r="A37" s="55" t="s">
        <v>83</v>
      </c>
      <c r="B37" s="56" t="s">
        <v>1003</v>
      </c>
      <c r="C37" s="55" t="s">
        <v>83</v>
      </c>
      <c r="D37" s="56" t="s">
        <v>524</v>
      </c>
      <c r="E37" s="56">
        <v>2</v>
      </c>
      <c r="F37" s="57" t="s">
        <v>42</v>
      </c>
    </row>
    <row r="38" spans="1:6" ht="15" customHeight="1">
      <c r="A38" s="55" t="s">
        <v>83</v>
      </c>
      <c r="B38" s="56" t="s">
        <v>1003</v>
      </c>
      <c r="C38" s="55" t="s">
        <v>92</v>
      </c>
      <c r="D38" s="56" t="s">
        <v>452</v>
      </c>
      <c r="E38" s="56">
        <v>1</v>
      </c>
      <c r="F38" s="57" t="s">
        <v>42</v>
      </c>
    </row>
    <row r="39" spans="1:6" ht="15" customHeight="1">
      <c r="A39" s="55" t="s">
        <v>83</v>
      </c>
      <c r="B39" s="56" t="s">
        <v>1004</v>
      </c>
      <c r="C39" s="55" t="s">
        <v>41</v>
      </c>
      <c r="D39" s="56" t="s">
        <v>509</v>
      </c>
      <c r="E39" s="56">
        <v>1</v>
      </c>
      <c r="F39" s="57" t="s">
        <v>42</v>
      </c>
    </row>
    <row r="40" spans="1:6" ht="15" customHeight="1">
      <c r="A40" s="55" t="s">
        <v>83</v>
      </c>
      <c r="B40" s="56" t="s">
        <v>1005</v>
      </c>
      <c r="C40" s="55" t="s">
        <v>83</v>
      </c>
      <c r="D40" s="56" t="s">
        <v>229</v>
      </c>
      <c r="E40" s="56">
        <v>1</v>
      </c>
      <c r="F40" s="57" t="s">
        <v>42</v>
      </c>
    </row>
    <row r="41" spans="1:6" ht="15" customHeight="1">
      <c r="A41" s="55" t="s">
        <v>83</v>
      </c>
      <c r="B41" s="56" t="s">
        <v>1005</v>
      </c>
      <c r="C41" s="55" t="s">
        <v>92</v>
      </c>
      <c r="D41" s="56" t="s">
        <v>229</v>
      </c>
      <c r="E41" s="56">
        <v>1</v>
      </c>
      <c r="F41" s="57" t="s">
        <v>42</v>
      </c>
    </row>
    <row r="42" spans="1:6" ht="15" customHeight="1">
      <c r="A42" s="55" t="s">
        <v>83</v>
      </c>
      <c r="B42" s="56" t="s">
        <v>1005</v>
      </c>
      <c r="C42" s="55" t="s">
        <v>83</v>
      </c>
      <c r="D42" s="56" t="s">
        <v>228</v>
      </c>
      <c r="E42" s="56">
        <v>2</v>
      </c>
      <c r="F42" s="57" t="s">
        <v>42</v>
      </c>
    </row>
    <row r="43" spans="1:6" ht="15" customHeight="1">
      <c r="A43" s="55" t="s">
        <v>83</v>
      </c>
      <c r="B43" s="56" t="s">
        <v>1005</v>
      </c>
      <c r="C43" s="55" t="s">
        <v>41</v>
      </c>
      <c r="D43" s="56" t="s">
        <v>229</v>
      </c>
      <c r="E43" s="56">
        <v>1</v>
      </c>
      <c r="F43" s="57" t="s">
        <v>42</v>
      </c>
    </row>
    <row r="44" spans="1:6" ht="15" customHeight="1">
      <c r="A44" s="55" t="s">
        <v>83</v>
      </c>
      <c r="B44" s="56" t="s">
        <v>1005</v>
      </c>
      <c r="C44" s="55" t="s">
        <v>951</v>
      </c>
      <c r="D44" s="56" t="s">
        <v>229</v>
      </c>
      <c r="E44" s="56">
        <v>1</v>
      </c>
      <c r="F44" s="57" t="s">
        <v>42</v>
      </c>
    </row>
    <row r="45" spans="1:6" ht="15" customHeight="1">
      <c r="A45" s="55" t="s">
        <v>83</v>
      </c>
      <c r="B45" s="56" t="s">
        <v>1005</v>
      </c>
      <c r="C45" s="55" t="s">
        <v>952</v>
      </c>
      <c r="D45" s="56" t="s">
        <v>229</v>
      </c>
      <c r="E45" s="56">
        <v>1</v>
      </c>
      <c r="F45" s="57" t="s">
        <v>42</v>
      </c>
    </row>
    <row r="46" spans="1:6" ht="15" customHeight="1">
      <c r="A46" s="55" t="s">
        <v>83</v>
      </c>
      <c r="B46" s="56" t="s">
        <v>1005</v>
      </c>
      <c r="C46" s="55" t="s">
        <v>953</v>
      </c>
      <c r="D46" s="56" t="s">
        <v>229</v>
      </c>
      <c r="E46" s="56">
        <v>1</v>
      </c>
      <c r="F46" s="57" t="s">
        <v>42</v>
      </c>
    </row>
    <row r="47" spans="1:6" ht="15" customHeight="1">
      <c r="A47" s="55" t="s">
        <v>83</v>
      </c>
      <c r="B47" s="56" t="s">
        <v>1006</v>
      </c>
      <c r="C47" s="55" t="s">
        <v>83</v>
      </c>
      <c r="D47" s="56" t="s">
        <v>532</v>
      </c>
      <c r="E47" s="56">
        <v>1</v>
      </c>
      <c r="F47" s="57" t="s">
        <v>42</v>
      </c>
    </row>
    <row r="48" spans="1:6" ht="15" customHeight="1">
      <c r="A48" s="55" t="s">
        <v>83</v>
      </c>
      <c r="B48" s="56" t="s">
        <v>1006</v>
      </c>
      <c r="C48" s="55" t="s">
        <v>940</v>
      </c>
      <c r="D48" s="56" t="s">
        <v>532</v>
      </c>
      <c r="E48" s="56">
        <v>1</v>
      </c>
      <c r="F48" s="57" t="s">
        <v>42</v>
      </c>
    </row>
    <row r="49" spans="1:6" ht="15" customHeight="1">
      <c r="A49" s="55" t="s">
        <v>83</v>
      </c>
      <c r="B49" s="56" t="s">
        <v>1006</v>
      </c>
      <c r="C49" s="55" t="s">
        <v>105</v>
      </c>
      <c r="D49" s="56" t="s">
        <v>532</v>
      </c>
      <c r="E49" s="56">
        <v>1</v>
      </c>
      <c r="F49" s="57" t="s">
        <v>42</v>
      </c>
    </row>
    <row r="50" spans="1:6" ht="15" customHeight="1">
      <c r="A50" s="55" t="s">
        <v>83</v>
      </c>
      <c r="B50" s="56" t="s">
        <v>1006</v>
      </c>
      <c r="C50" s="55" t="s">
        <v>83</v>
      </c>
      <c r="D50" s="56" t="s">
        <v>268</v>
      </c>
      <c r="E50" s="56">
        <v>2</v>
      </c>
      <c r="F50" s="57" t="s">
        <v>42</v>
      </c>
    </row>
    <row r="51" spans="1:6" ht="15" customHeight="1">
      <c r="A51" s="55" t="s">
        <v>83</v>
      </c>
      <c r="B51" s="56" t="s">
        <v>1006</v>
      </c>
      <c r="C51" s="55" t="s">
        <v>41</v>
      </c>
      <c r="D51" s="56" t="s">
        <v>532</v>
      </c>
      <c r="E51" s="56">
        <v>1</v>
      </c>
      <c r="F51" s="57" t="s">
        <v>42</v>
      </c>
    </row>
    <row r="52" spans="1:6" ht="15" customHeight="1">
      <c r="A52" s="55" t="s">
        <v>83</v>
      </c>
      <c r="B52" s="56" t="s">
        <v>1007</v>
      </c>
      <c r="C52" s="55" t="s">
        <v>41</v>
      </c>
      <c r="D52" s="56" t="s">
        <v>1008</v>
      </c>
      <c r="E52" s="56">
        <v>1</v>
      </c>
      <c r="F52" s="57" t="s">
        <v>42</v>
      </c>
    </row>
    <row r="53" spans="1:6" ht="15" customHeight="1">
      <c r="A53" s="55" t="s">
        <v>83</v>
      </c>
      <c r="B53" s="56" t="s">
        <v>1009</v>
      </c>
      <c r="C53" s="55" t="s">
        <v>661</v>
      </c>
      <c r="D53" s="56" t="s">
        <v>804</v>
      </c>
      <c r="E53" s="56">
        <v>1</v>
      </c>
      <c r="F53" s="57" t="s">
        <v>42</v>
      </c>
    </row>
    <row r="54" spans="1:6" ht="15" customHeight="1">
      <c r="A54" s="55" t="s">
        <v>83</v>
      </c>
      <c r="B54" s="56" t="s">
        <v>1010</v>
      </c>
      <c r="C54" s="55" t="s">
        <v>83</v>
      </c>
      <c r="D54" s="56" t="s">
        <v>502</v>
      </c>
      <c r="E54" s="56">
        <v>3</v>
      </c>
      <c r="F54" s="57" t="s">
        <v>42</v>
      </c>
    </row>
    <row r="55" spans="1:6" ht="15" customHeight="1">
      <c r="A55" s="55" t="s">
        <v>83</v>
      </c>
      <c r="B55" s="56" t="s">
        <v>1010</v>
      </c>
      <c r="C55" s="55" t="s">
        <v>83</v>
      </c>
      <c r="D55" s="56" t="s">
        <v>254</v>
      </c>
      <c r="E55" s="56">
        <v>1</v>
      </c>
      <c r="F55" s="57" t="s">
        <v>42</v>
      </c>
    </row>
    <row r="56" spans="1:6" ht="15" customHeight="1">
      <c r="A56" s="55" t="s">
        <v>83</v>
      </c>
      <c r="B56" s="56" t="s">
        <v>1011</v>
      </c>
      <c r="C56" s="55" t="s">
        <v>83</v>
      </c>
      <c r="D56" s="56" t="s">
        <v>1012</v>
      </c>
      <c r="E56" s="56">
        <v>1</v>
      </c>
      <c r="F56" s="57" t="s">
        <v>42</v>
      </c>
    </row>
    <row r="57" spans="1:6" ht="15" customHeight="1">
      <c r="A57" s="55" t="s">
        <v>83</v>
      </c>
      <c r="B57" s="56" t="s">
        <v>1011</v>
      </c>
      <c r="C57" s="55" t="s">
        <v>83</v>
      </c>
      <c r="D57" s="56" t="s">
        <v>1012</v>
      </c>
      <c r="E57" s="56">
        <v>1</v>
      </c>
      <c r="F57" s="57" t="s">
        <v>42</v>
      </c>
    </row>
    <row r="58" spans="1:6" ht="15" customHeight="1">
      <c r="A58" s="55" t="s">
        <v>83</v>
      </c>
      <c r="B58" s="56" t="s">
        <v>1013</v>
      </c>
      <c r="C58" s="55" t="s">
        <v>844</v>
      </c>
      <c r="D58" s="56" t="s">
        <v>233</v>
      </c>
      <c r="E58" s="56">
        <v>1</v>
      </c>
      <c r="F58" s="57" t="s">
        <v>42</v>
      </c>
    </row>
    <row r="59" spans="1:6" ht="15" customHeight="1">
      <c r="A59" s="55" t="s">
        <v>83</v>
      </c>
      <c r="B59" s="56" t="s">
        <v>1014</v>
      </c>
      <c r="C59" s="55" t="s">
        <v>83</v>
      </c>
      <c r="D59" s="56" t="s">
        <v>1015</v>
      </c>
      <c r="E59" s="56">
        <v>1</v>
      </c>
      <c r="F59" s="57" t="s">
        <v>42</v>
      </c>
    </row>
    <row r="60" spans="1:6" ht="15" customHeight="1">
      <c r="A60" s="55" t="s">
        <v>83</v>
      </c>
      <c r="B60" s="56" t="s">
        <v>1014</v>
      </c>
      <c r="C60" s="55" t="s">
        <v>41</v>
      </c>
      <c r="D60" s="56" t="s">
        <v>1015</v>
      </c>
      <c r="E60" s="56">
        <v>1</v>
      </c>
      <c r="F60" s="57" t="s">
        <v>42</v>
      </c>
    </row>
    <row r="61" spans="1:6" ht="15" customHeight="1">
      <c r="A61" s="55" t="s">
        <v>83</v>
      </c>
      <c r="B61" s="56" t="s">
        <v>1014</v>
      </c>
      <c r="C61" s="55" t="s">
        <v>83</v>
      </c>
      <c r="D61" s="56" t="s">
        <v>1016</v>
      </c>
      <c r="E61" s="56">
        <v>2</v>
      </c>
      <c r="F61" s="57" t="s">
        <v>42</v>
      </c>
    </row>
    <row r="62" spans="1:6" ht="15" customHeight="1">
      <c r="A62" s="55" t="s">
        <v>83</v>
      </c>
      <c r="B62" s="56" t="s">
        <v>1014</v>
      </c>
      <c r="C62" s="55" t="s">
        <v>137</v>
      </c>
      <c r="D62" s="56" t="s">
        <v>1015</v>
      </c>
      <c r="E62" s="56">
        <v>1</v>
      </c>
      <c r="F62" s="57" t="s">
        <v>42</v>
      </c>
    </row>
    <row r="63" spans="1:6" ht="15" customHeight="1">
      <c r="A63" s="55" t="s">
        <v>83</v>
      </c>
      <c r="B63" s="56" t="s">
        <v>1017</v>
      </c>
      <c r="C63" s="55" t="s">
        <v>41</v>
      </c>
      <c r="D63" s="56" t="s">
        <v>1008</v>
      </c>
      <c r="E63" s="56">
        <v>1</v>
      </c>
      <c r="F63" s="57" t="s">
        <v>42</v>
      </c>
    </row>
    <row r="64" spans="1:6" ht="15" customHeight="1">
      <c r="A64" s="55" t="s">
        <v>83</v>
      </c>
      <c r="B64" s="56" t="s">
        <v>1017</v>
      </c>
      <c r="C64" s="55" t="s">
        <v>41</v>
      </c>
      <c r="D64" s="56" t="s">
        <v>1008</v>
      </c>
      <c r="E64" s="56">
        <v>1</v>
      </c>
      <c r="F64" s="57" t="s">
        <v>42</v>
      </c>
    </row>
    <row r="65" spans="1:6" ht="15" customHeight="1">
      <c r="A65" s="55" t="s">
        <v>83</v>
      </c>
      <c r="B65" s="56" t="s">
        <v>1018</v>
      </c>
      <c r="C65" s="55" t="s">
        <v>83</v>
      </c>
      <c r="D65" s="56" t="s">
        <v>233</v>
      </c>
      <c r="E65" s="56">
        <v>1</v>
      </c>
      <c r="F65" s="57" t="s">
        <v>42</v>
      </c>
    </row>
    <row r="66" spans="1:6" ht="15" customHeight="1">
      <c r="A66" s="55" t="s">
        <v>83</v>
      </c>
      <c r="B66" s="56" t="s">
        <v>1018</v>
      </c>
      <c r="C66" s="55" t="s">
        <v>41</v>
      </c>
      <c r="D66" s="56" t="s">
        <v>233</v>
      </c>
      <c r="E66" s="56">
        <v>1</v>
      </c>
      <c r="F66" s="57" t="s">
        <v>42</v>
      </c>
    </row>
    <row r="67" spans="1:6" ht="15" customHeight="1">
      <c r="A67" s="55" t="s">
        <v>83</v>
      </c>
      <c r="B67" s="56" t="s">
        <v>1019</v>
      </c>
      <c r="C67" s="55" t="s">
        <v>83</v>
      </c>
      <c r="D67" s="56" t="s">
        <v>502</v>
      </c>
      <c r="E67" s="56">
        <v>1</v>
      </c>
      <c r="F67" s="57" t="s">
        <v>42</v>
      </c>
    </row>
    <row r="68" spans="1:6" ht="15" customHeight="1">
      <c r="A68" s="55" t="s">
        <v>83</v>
      </c>
      <c r="B68" s="56" t="s">
        <v>1019</v>
      </c>
      <c r="C68" s="55" t="s">
        <v>846</v>
      </c>
      <c r="D68" s="56" t="s">
        <v>502</v>
      </c>
      <c r="E68" s="56">
        <v>1</v>
      </c>
      <c r="F68" s="57" t="s">
        <v>42</v>
      </c>
    </row>
    <row r="69" spans="1:6" ht="15" customHeight="1">
      <c r="A69" s="55" t="s">
        <v>83</v>
      </c>
      <c r="B69" s="56" t="s">
        <v>1020</v>
      </c>
      <c r="C69" s="55" t="s">
        <v>83</v>
      </c>
      <c r="D69" s="56" t="s">
        <v>256</v>
      </c>
      <c r="E69" s="56">
        <v>1</v>
      </c>
      <c r="F69" s="57" t="s">
        <v>42</v>
      </c>
    </row>
    <row r="70" spans="1:6" ht="15" customHeight="1">
      <c r="A70" s="55" t="s">
        <v>83</v>
      </c>
      <c r="B70" s="56" t="s">
        <v>1021</v>
      </c>
      <c r="C70" s="55" t="s">
        <v>584</v>
      </c>
      <c r="D70" s="56" t="s">
        <v>223</v>
      </c>
      <c r="E70" s="56">
        <v>2</v>
      </c>
      <c r="F70" s="57" t="s">
        <v>42</v>
      </c>
    </row>
    <row r="71" spans="1:6" ht="15" customHeight="1">
      <c r="A71" s="55" t="s">
        <v>83</v>
      </c>
      <c r="B71" s="56" t="s">
        <v>1021</v>
      </c>
      <c r="C71" s="55" t="s">
        <v>83</v>
      </c>
      <c r="D71" s="56" t="s">
        <v>224</v>
      </c>
      <c r="E71" s="56">
        <v>1</v>
      </c>
      <c r="F71" s="57" t="s">
        <v>42</v>
      </c>
    </row>
    <row r="72" spans="1:6" ht="15" customHeight="1">
      <c r="A72" s="55" t="s">
        <v>30</v>
      </c>
      <c r="B72" s="56" t="s">
        <v>980</v>
      </c>
      <c r="C72" s="55" t="s">
        <v>869</v>
      </c>
      <c r="D72" s="56" t="s">
        <v>981</v>
      </c>
      <c r="E72" s="56">
        <v>1</v>
      </c>
      <c r="F72" s="58" t="s">
        <v>37</v>
      </c>
    </row>
    <row r="73" spans="1:6" ht="15" customHeight="1">
      <c r="A73" s="55" t="s">
        <v>30</v>
      </c>
      <c r="B73" s="56" t="s">
        <v>980</v>
      </c>
      <c r="C73" s="55" t="s">
        <v>75</v>
      </c>
      <c r="D73" s="56" t="s">
        <v>981</v>
      </c>
      <c r="E73" s="56">
        <v>1</v>
      </c>
      <c r="F73" s="58" t="s">
        <v>37</v>
      </c>
    </row>
    <row r="74" spans="1:6" ht="15" customHeight="1">
      <c r="A74" s="55" t="s">
        <v>30</v>
      </c>
      <c r="B74" s="56" t="s">
        <v>980</v>
      </c>
      <c r="C74" s="55" t="s">
        <v>442</v>
      </c>
      <c r="D74" s="56" t="s">
        <v>981</v>
      </c>
      <c r="E74" s="56">
        <v>1</v>
      </c>
      <c r="F74" s="59" t="s">
        <v>27</v>
      </c>
    </row>
    <row r="75" spans="1:6" ht="15" customHeight="1">
      <c r="A75" s="55" t="s">
        <v>30</v>
      </c>
      <c r="B75" s="56" t="s">
        <v>980</v>
      </c>
      <c r="C75" s="55" t="s">
        <v>889</v>
      </c>
      <c r="D75" s="56" t="s">
        <v>981</v>
      </c>
      <c r="E75" s="56">
        <v>1</v>
      </c>
      <c r="F75" s="58" t="s">
        <v>37</v>
      </c>
    </row>
    <row r="76" spans="1:6" ht="15" customHeight="1">
      <c r="A76" s="55" t="s">
        <v>30</v>
      </c>
      <c r="B76" s="56" t="s">
        <v>980</v>
      </c>
      <c r="C76" s="55" t="s">
        <v>43</v>
      </c>
      <c r="D76" s="56" t="s">
        <v>981</v>
      </c>
      <c r="E76" s="56">
        <v>1</v>
      </c>
      <c r="F76" s="58" t="s">
        <v>37</v>
      </c>
    </row>
    <row r="77" spans="1:6" ht="15" customHeight="1">
      <c r="A77" s="55" t="s">
        <v>30</v>
      </c>
      <c r="B77" s="56" t="s">
        <v>983</v>
      </c>
      <c r="C77" s="55" t="s">
        <v>873</v>
      </c>
      <c r="D77" s="56" t="s">
        <v>810</v>
      </c>
      <c r="E77" s="56">
        <v>1</v>
      </c>
      <c r="F77" s="60" t="s">
        <v>33</v>
      </c>
    </row>
    <row r="78" spans="1:6" ht="15" customHeight="1">
      <c r="A78" s="55" t="s">
        <v>30</v>
      </c>
      <c r="B78" s="56" t="s">
        <v>983</v>
      </c>
      <c r="C78" s="55" t="s">
        <v>30</v>
      </c>
      <c r="D78" s="56" t="s">
        <v>810</v>
      </c>
      <c r="E78" s="56">
        <v>1</v>
      </c>
      <c r="F78" s="58" t="s">
        <v>37</v>
      </c>
    </row>
    <row r="79" spans="1:6" ht="15" customHeight="1">
      <c r="A79" s="55" t="s">
        <v>30</v>
      </c>
      <c r="B79" s="56" t="s">
        <v>983</v>
      </c>
      <c r="C79" s="55" t="s">
        <v>880</v>
      </c>
      <c r="D79" s="56" t="s">
        <v>810</v>
      </c>
      <c r="E79" s="56">
        <v>1</v>
      </c>
      <c r="F79" s="58" t="s">
        <v>37</v>
      </c>
    </row>
    <row r="80" spans="1:6" ht="15" customHeight="1">
      <c r="A80" s="55" t="s">
        <v>30</v>
      </c>
      <c r="B80" s="56" t="s">
        <v>985</v>
      </c>
      <c r="C80" s="55" t="s">
        <v>30</v>
      </c>
      <c r="D80" s="56" t="s">
        <v>986</v>
      </c>
      <c r="E80" s="56">
        <v>2</v>
      </c>
      <c r="F80" s="58" t="s">
        <v>37</v>
      </c>
    </row>
    <row r="81" spans="1:6" ht="15" customHeight="1">
      <c r="A81" s="55" t="s">
        <v>30</v>
      </c>
      <c r="B81" s="56" t="s">
        <v>985</v>
      </c>
      <c r="C81" s="55" t="s">
        <v>871</v>
      </c>
      <c r="D81" s="56" t="s">
        <v>1022</v>
      </c>
      <c r="E81" s="56">
        <v>1</v>
      </c>
      <c r="F81" s="58" t="s">
        <v>37</v>
      </c>
    </row>
    <row r="82" spans="1:6" ht="15" customHeight="1">
      <c r="A82" s="55" t="s">
        <v>30</v>
      </c>
      <c r="B82" s="56" t="s">
        <v>985</v>
      </c>
      <c r="C82" s="55" t="s">
        <v>878</v>
      </c>
      <c r="D82" s="56" t="s">
        <v>1022</v>
      </c>
      <c r="E82" s="56">
        <v>1</v>
      </c>
      <c r="F82" s="58" t="s">
        <v>37</v>
      </c>
    </row>
    <row r="83" spans="1:6" ht="15" customHeight="1">
      <c r="A83" s="55" t="s">
        <v>30</v>
      </c>
      <c r="B83" s="56" t="s">
        <v>985</v>
      </c>
      <c r="C83" s="55" t="s">
        <v>30</v>
      </c>
      <c r="D83" s="56" t="s">
        <v>1022</v>
      </c>
      <c r="E83" s="56">
        <v>1</v>
      </c>
      <c r="F83" s="58" t="s">
        <v>37</v>
      </c>
    </row>
    <row r="84" spans="1:6" ht="15" customHeight="1">
      <c r="A84" s="55" t="s">
        <v>30</v>
      </c>
      <c r="B84" s="56" t="s">
        <v>985</v>
      </c>
      <c r="C84" s="55" t="s">
        <v>881</v>
      </c>
      <c r="D84" s="56" t="s">
        <v>1022</v>
      </c>
      <c r="E84" s="56">
        <v>1</v>
      </c>
      <c r="F84" s="58" t="s">
        <v>37</v>
      </c>
    </row>
    <row r="85" spans="1:6" ht="15" customHeight="1">
      <c r="A85" s="55" t="s">
        <v>30</v>
      </c>
      <c r="B85" s="56" t="s">
        <v>989</v>
      </c>
      <c r="C85" s="55" t="s">
        <v>30</v>
      </c>
      <c r="D85" s="56" t="s">
        <v>519</v>
      </c>
      <c r="E85" s="56">
        <v>1</v>
      </c>
      <c r="F85" s="58" t="s">
        <v>37</v>
      </c>
    </row>
    <row r="86" spans="1:6" ht="15" customHeight="1">
      <c r="A86" s="55" t="s">
        <v>30</v>
      </c>
      <c r="B86" s="56" t="s">
        <v>989</v>
      </c>
      <c r="C86" s="55" t="s">
        <v>367</v>
      </c>
      <c r="D86" s="56" t="s">
        <v>519</v>
      </c>
      <c r="E86" s="56">
        <v>1</v>
      </c>
      <c r="F86" s="58" t="s">
        <v>37</v>
      </c>
    </row>
    <row r="87" spans="1:6" ht="15" customHeight="1">
      <c r="A87" s="55" t="s">
        <v>30</v>
      </c>
      <c r="B87" s="56" t="s">
        <v>989</v>
      </c>
      <c r="C87" s="55" t="s">
        <v>30</v>
      </c>
      <c r="D87" s="56" t="s">
        <v>519</v>
      </c>
      <c r="E87" s="56">
        <v>1</v>
      </c>
      <c r="F87" s="58" t="s">
        <v>37</v>
      </c>
    </row>
    <row r="88" spans="1:6" ht="15" customHeight="1">
      <c r="A88" s="55" t="s">
        <v>30</v>
      </c>
      <c r="B88" s="56" t="s">
        <v>989</v>
      </c>
      <c r="C88" s="55" t="s">
        <v>920</v>
      </c>
      <c r="D88" s="56" t="s">
        <v>519</v>
      </c>
      <c r="E88" s="56">
        <v>1</v>
      </c>
      <c r="F88" s="58" t="s">
        <v>37</v>
      </c>
    </row>
    <row r="89" spans="1:6" ht="15" customHeight="1">
      <c r="A89" s="55" t="s">
        <v>30</v>
      </c>
      <c r="B89" s="56" t="s">
        <v>990</v>
      </c>
      <c r="C89" s="55" t="s">
        <v>895</v>
      </c>
      <c r="D89" s="56" t="s">
        <v>534</v>
      </c>
      <c r="E89" s="56">
        <v>1</v>
      </c>
      <c r="F89" s="58" t="s">
        <v>37</v>
      </c>
    </row>
    <row r="90" spans="1:6" ht="15" customHeight="1">
      <c r="A90" s="55" t="s">
        <v>30</v>
      </c>
      <c r="B90" s="56" t="s">
        <v>990</v>
      </c>
      <c r="C90" s="55" t="s">
        <v>871</v>
      </c>
      <c r="D90" s="56" t="s">
        <v>534</v>
      </c>
      <c r="E90" s="56">
        <v>1</v>
      </c>
      <c r="F90" s="58" t="s">
        <v>37</v>
      </c>
    </row>
    <row r="91" spans="1:6" ht="15" customHeight="1">
      <c r="A91" s="55" t="s">
        <v>30</v>
      </c>
      <c r="B91" s="56" t="s">
        <v>990</v>
      </c>
      <c r="C91" s="55" t="s">
        <v>367</v>
      </c>
      <c r="D91" s="56" t="s">
        <v>534</v>
      </c>
      <c r="E91" s="56">
        <v>1</v>
      </c>
      <c r="F91" s="58" t="s">
        <v>37</v>
      </c>
    </row>
    <row r="92" spans="1:6" ht="15" customHeight="1">
      <c r="A92" s="55" t="s">
        <v>30</v>
      </c>
      <c r="B92" s="56" t="s">
        <v>990</v>
      </c>
      <c r="C92" s="55" t="s">
        <v>30</v>
      </c>
      <c r="D92" s="56" t="s">
        <v>534</v>
      </c>
      <c r="E92" s="56">
        <v>1</v>
      </c>
      <c r="F92" s="58" t="s">
        <v>37</v>
      </c>
    </row>
    <row r="93" spans="1:6" ht="15" customHeight="1">
      <c r="A93" s="55" t="s">
        <v>30</v>
      </c>
      <c r="B93" s="56" t="s">
        <v>992</v>
      </c>
      <c r="C93" s="55" t="s">
        <v>30</v>
      </c>
      <c r="D93" s="56" t="s">
        <v>212</v>
      </c>
      <c r="E93" s="56">
        <v>1</v>
      </c>
      <c r="F93" s="58" t="s">
        <v>37</v>
      </c>
    </row>
    <row r="94" spans="1:6" ht="15" customHeight="1">
      <c r="A94" s="55" t="s">
        <v>30</v>
      </c>
      <c r="B94" s="56" t="s">
        <v>995</v>
      </c>
      <c r="C94" s="55" t="s">
        <v>30</v>
      </c>
      <c r="D94" s="56" t="s">
        <v>996</v>
      </c>
      <c r="E94" s="56">
        <v>3</v>
      </c>
      <c r="F94" s="58" t="s">
        <v>37</v>
      </c>
    </row>
    <row r="95" spans="1:6" ht="15" customHeight="1">
      <c r="A95" s="55" t="s">
        <v>30</v>
      </c>
      <c r="B95" s="56" t="s">
        <v>998</v>
      </c>
      <c r="C95" s="55" t="s">
        <v>918</v>
      </c>
      <c r="D95" s="56" t="s">
        <v>1000</v>
      </c>
      <c r="E95" s="56">
        <v>1</v>
      </c>
      <c r="F95" s="58" t="s">
        <v>37</v>
      </c>
    </row>
    <row r="96" spans="1:6" ht="15" customHeight="1">
      <c r="A96" s="55" t="s">
        <v>30</v>
      </c>
      <c r="B96" s="56" t="s">
        <v>1001</v>
      </c>
      <c r="C96" s="55" t="s">
        <v>817</v>
      </c>
      <c r="D96" s="56" t="s">
        <v>249</v>
      </c>
      <c r="E96" s="56">
        <v>1</v>
      </c>
      <c r="F96" s="58" t="s">
        <v>37</v>
      </c>
    </row>
    <row r="97" spans="1:6" ht="15" customHeight="1">
      <c r="A97" s="55" t="s">
        <v>30</v>
      </c>
      <c r="B97" s="56" t="s">
        <v>1002</v>
      </c>
      <c r="C97" s="55" t="s">
        <v>30</v>
      </c>
      <c r="D97" s="56" t="s">
        <v>276</v>
      </c>
      <c r="E97" s="56">
        <v>1</v>
      </c>
      <c r="F97" s="58" t="s">
        <v>37</v>
      </c>
    </row>
    <row r="98" spans="1:6" ht="15" customHeight="1">
      <c r="A98" s="55" t="s">
        <v>30</v>
      </c>
      <c r="B98" s="56" t="s">
        <v>1003</v>
      </c>
      <c r="C98" s="55" t="s">
        <v>898</v>
      </c>
      <c r="D98" s="56" t="s">
        <v>452</v>
      </c>
      <c r="E98" s="56">
        <v>1</v>
      </c>
      <c r="F98" s="60" t="s">
        <v>33</v>
      </c>
    </row>
    <row r="99" spans="1:6" ht="15" customHeight="1">
      <c r="A99" s="55" t="s">
        <v>30</v>
      </c>
      <c r="B99" s="56" t="s">
        <v>1005</v>
      </c>
      <c r="C99" s="55" t="s">
        <v>30</v>
      </c>
      <c r="D99" s="56" t="s">
        <v>228</v>
      </c>
      <c r="E99" s="56">
        <v>2</v>
      </c>
      <c r="F99" s="58" t="s">
        <v>37</v>
      </c>
    </row>
    <row r="100" spans="1:6" ht="15" customHeight="1">
      <c r="A100" s="55" t="s">
        <v>30</v>
      </c>
      <c r="B100" s="56" t="s">
        <v>1005</v>
      </c>
      <c r="C100" s="55" t="s">
        <v>629</v>
      </c>
      <c r="D100" s="56" t="s">
        <v>229</v>
      </c>
      <c r="E100" s="56">
        <v>1</v>
      </c>
      <c r="F100" s="58" t="s">
        <v>37</v>
      </c>
    </row>
    <row r="101" spans="1:6" ht="15" customHeight="1">
      <c r="A101" s="55" t="s">
        <v>30</v>
      </c>
      <c r="B101" s="56" t="s">
        <v>1005</v>
      </c>
      <c r="C101" s="55" t="s">
        <v>946</v>
      </c>
      <c r="D101" s="56" t="s">
        <v>229</v>
      </c>
      <c r="E101" s="56">
        <v>1</v>
      </c>
      <c r="F101" s="58" t="s">
        <v>37</v>
      </c>
    </row>
    <row r="102" spans="1:6" ht="15" customHeight="1">
      <c r="A102" s="55" t="s">
        <v>30</v>
      </c>
      <c r="B102" s="56" t="s">
        <v>1006</v>
      </c>
      <c r="C102" s="55" t="s">
        <v>30</v>
      </c>
      <c r="D102" s="56" t="s">
        <v>532</v>
      </c>
      <c r="E102" s="56">
        <v>1</v>
      </c>
      <c r="F102" s="58" t="s">
        <v>37</v>
      </c>
    </row>
    <row r="103" spans="1:6" ht="15" customHeight="1">
      <c r="A103" s="55" t="s">
        <v>30</v>
      </c>
      <c r="B103" s="56" t="s">
        <v>1006</v>
      </c>
      <c r="C103" s="55" t="s">
        <v>43</v>
      </c>
      <c r="D103" s="56" t="s">
        <v>532</v>
      </c>
      <c r="E103" s="56">
        <v>1</v>
      </c>
      <c r="F103" s="58" t="s">
        <v>37</v>
      </c>
    </row>
    <row r="104" spans="1:6" ht="15" customHeight="1">
      <c r="A104" s="55" t="s">
        <v>30</v>
      </c>
      <c r="B104" s="56" t="s">
        <v>1006</v>
      </c>
      <c r="C104" s="55" t="s">
        <v>136</v>
      </c>
      <c r="D104" s="56" t="s">
        <v>532</v>
      </c>
      <c r="E104" s="56">
        <v>1</v>
      </c>
      <c r="F104" s="58" t="s">
        <v>37</v>
      </c>
    </row>
    <row r="105" spans="1:6" ht="15" customHeight="1">
      <c r="A105" s="55" t="s">
        <v>30</v>
      </c>
      <c r="B105" s="56" t="s">
        <v>1006</v>
      </c>
      <c r="C105" s="55" t="s">
        <v>30</v>
      </c>
      <c r="D105" s="56" t="s">
        <v>268</v>
      </c>
      <c r="E105" s="56">
        <v>2</v>
      </c>
      <c r="F105" s="58" t="s">
        <v>37</v>
      </c>
    </row>
    <row r="106" spans="1:6" ht="15" customHeight="1">
      <c r="A106" s="55" t="s">
        <v>30</v>
      </c>
      <c r="B106" s="56" t="s">
        <v>1007</v>
      </c>
      <c r="C106" s="55" t="s">
        <v>30</v>
      </c>
      <c r="D106" s="56" t="s">
        <v>1008</v>
      </c>
      <c r="E106" s="56">
        <v>1</v>
      </c>
      <c r="F106" s="58" t="s">
        <v>37</v>
      </c>
    </row>
    <row r="107" spans="1:6" ht="15" customHeight="1">
      <c r="A107" s="55" t="s">
        <v>30</v>
      </c>
      <c r="B107" s="56" t="s">
        <v>1007</v>
      </c>
      <c r="C107" s="55" t="s">
        <v>30</v>
      </c>
      <c r="D107" s="56" t="s">
        <v>1008</v>
      </c>
      <c r="E107" s="56">
        <v>1</v>
      </c>
      <c r="F107" s="58" t="s">
        <v>37</v>
      </c>
    </row>
    <row r="108" spans="1:6" ht="15" customHeight="1">
      <c r="A108" s="55" t="s">
        <v>30</v>
      </c>
      <c r="B108" s="56" t="s">
        <v>1023</v>
      </c>
      <c r="C108" s="55" t="s">
        <v>629</v>
      </c>
      <c r="D108" s="56" t="s">
        <v>519</v>
      </c>
      <c r="E108" s="56">
        <v>1</v>
      </c>
      <c r="F108" s="58" t="s">
        <v>37</v>
      </c>
    </row>
    <row r="109" spans="1:6" ht="15" customHeight="1">
      <c r="A109" s="55" t="s">
        <v>30</v>
      </c>
      <c r="B109" s="56" t="s">
        <v>1023</v>
      </c>
      <c r="C109" s="55" t="s">
        <v>935</v>
      </c>
      <c r="D109" s="56" t="s">
        <v>519</v>
      </c>
      <c r="E109" s="56">
        <v>1</v>
      </c>
      <c r="F109" s="58" t="s">
        <v>37</v>
      </c>
    </row>
    <row r="110" spans="1:6" ht="15" customHeight="1">
      <c r="A110" s="55" t="s">
        <v>30</v>
      </c>
      <c r="B110" s="56" t="s">
        <v>1023</v>
      </c>
      <c r="C110" s="55" t="s">
        <v>941</v>
      </c>
      <c r="D110" s="56" t="s">
        <v>519</v>
      </c>
      <c r="E110" s="56">
        <v>1</v>
      </c>
      <c r="F110" s="58" t="s">
        <v>37</v>
      </c>
    </row>
    <row r="111" spans="1:6" ht="15" customHeight="1">
      <c r="A111" s="55" t="s">
        <v>30</v>
      </c>
      <c r="B111" s="56" t="s">
        <v>1023</v>
      </c>
      <c r="C111" s="55" t="s">
        <v>945</v>
      </c>
      <c r="D111" s="56" t="s">
        <v>519</v>
      </c>
      <c r="E111" s="56">
        <v>1</v>
      </c>
      <c r="F111" s="60" t="s">
        <v>33</v>
      </c>
    </row>
    <row r="112" spans="1:6" ht="15" customHeight="1">
      <c r="A112" s="55" t="s">
        <v>30</v>
      </c>
      <c r="B112" s="56" t="s">
        <v>1023</v>
      </c>
      <c r="C112" s="55" t="s">
        <v>30</v>
      </c>
      <c r="D112" s="56" t="s">
        <v>519</v>
      </c>
      <c r="E112" s="56">
        <v>1</v>
      </c>
      <c r="F112" s="58" t="s">
        <v>37</v>
      </c>
    </row>
    <row r="113" spans="1:6" ht="15" customHeight="1">
      <c r="A113" s="55" t="s">
        <v>30</v>
      </c>
      <c r="B113" s="56" t="s">
        <v>1011</v>
      </c>
      <c r="C113" s="55" t="s">
        <v>956</v>
      </c>
      <c r="D113" s="56" t="s">
        <v>1012</v>
      </c>
      <c r="E113" s="56">
        <v>1</v>
      </c>
      <c r="F113" s="58" t="s">
        <v>37</v>
      </c>
    </row>
    <row r="114" spans="1:6" ht="15" customHeight="1">
      <c r="A114" s="55" t="s">
        <v>30</v>
      </c>
      <c r="B114" s="56" t="s">
        <v>1011</v>
      </c>
      <c r="C114" s="55" t="s">
        <v>30</v>
      </c>
      <c r="D114" s="56" t="s">
        <v>1012</v>
      </c>
      <c r="E114" s="56">
        <v>1</v>
      </c>
      <c r="F114" s="58" t="s">
        <v>37</v>
      </c>
    </row>
    <row r="115" spans="1:6" ht="15" customHeight="1">
      <c r="A115" s="55" t="s">
        <v>30</v>
      </c>
      <c r="B115" s="56" t="s">
        <v>1013</v>
      </c>
      <c r="C115" s="55" t="s">
        <v>629</v>
      </c>
      <c r="D115" s="56" t="s">
        <v>233</v>
      </c>
      <c r="E115" s="56">
        <v>1</v>
      </c>
      <c r="F115" s="58" t="s">
        <v>37</v>
      </c>
    </row>
    <row r="116" spans="1:6" ht="15" customHeight="1">
      <c r="A116" s="55" t="s">
        <v>30</v>
      </c>
      <c r="B116" s="56" t="s">
        <v>1013</v>
      </c>
      <c r="C116" s="55" t="s">
        <v>30</v>
      </c>
      <c r="D116" s="56" t="s">
        <v>233</v>
      </c>
      <c r="E116" s="56">
        <v>1</v>
      </c>
      <c r="F116" s="58" t="s">
        <v>37</v>
      </c>
    </row>
    <row r="117" spans="1:6" ht="15" customHeight="1">
      <c r="A117" s="55" t="s">
        <v>30</v>
      </c>
      <c r="B117" s="56" t="s">
        <v>1013</v>
      </c>
      <c r="C117" s="55" t="s">
        <v>30</v>
      </c>
      <c r="D117" s="56" t="s">
        <v>233</v>
      </c>
      <c r="E117" s="56">
        <v>1</v>
      </c>
      <c r="F117" s="58" t="s">
        <v>37</v>
      </c>
    </row>
    <row r="118" spans="1:6" ht="15" customHeight="1">
      <c r="A118" s="55" t="s">
        <v>30</v>
      </c>
      <c r="B118" s="56" t="s">
        <v>1014</v>
      </c>
      <c r="C118" s="55" t="s">
        <v>629</v>
      </c>
      <c r="D118" s="56" t="s">
        <v>1015</v>
      </c>
      <c r="E118" s="56">
        <v>1</v>
      </c>
      <c r="F118" s="58" t="s">
        <v>37</v>
      </c>
    </row>
    <row r="119" spans="1:6" ht="15" customHeight="1">
      <c r="A119" s="55" t="s">
        <v>30</v>
      </c>
      <c r="B119" s="56" t="s">
        <v>1014</v>
      </c>
      <c r="C119" s="55" t="s">
        <v>30</v>
      </c>
      <c r="D119" s="56" t="s">
        <v>1015</v>
      </c>
      <c r="E119" s="56">
        <v>1</v>
      </c>
      <c r="F119" s="58" t="s">
        <v>37</v>
      </c>
    </row>
    <row r="120" spans="1:6" ht="15" customHeight="1">
      <c r="A120" s="55" t="s">
        <v>30</v>
      </c>
      <c r="B120" s="56" t="s">
        <v>1014</v>
      </c>
      <c r="C120" s="55" t="s">
        <v>961</v>
      </c>
      <c r="D120" s="56" t="s">
        <v>1015</v>
      </c>
      <c r="E120" s="56">
        <v>1</v>
      </c>
      <c r="F120" s="59" t="s">
        <v>27</v>
      </c>
    </row>
    <row r="121" spans="1:6" ht="15" customHeight="1">
      <c r="A121" s="55" t="s">
        <v>30</v>
      </c>
      <c r="B121" s="56" t="s">
        <v>1014</v>
      </c>
      <c r="C121" s="55" t="s">
        <v>622</v>
      </c>
      <c r="D121" s="56" t="s">
        <v>1015</v>
      </c>
      <c r="E121" s="56">
        <v>1</v>
      </c>
      <c r="F121" s="59" t="s">
        <v>27</v>
      </c>
    </row>
    <row r="122" spans="1:6" ht="15" customHeight="1">
      <c r="A122" s="55" t="s">
        <v>30</v>
      </c>
      <c r="B122" s="56" t="s">
        <v>1017</v>
      </c>
      <c r="C122" s="55" t="s">
        <v>848</v>
      </c>
      <c r="D122" s="56" t="s">
        <v>1008</v>
      </c>
      <c r="E122" s="56">
        <v>1</v>
      </c>
      <c r="F122" s="58" t="s">
        <v>37</v>
      </c>
    </row>
    <row r="123" spans="1:6" ht="15" customHeight="1">
      <c r="A123" s="55" t="s">
        <v>30</v>
      </c>
      <c r="B123" s="56" t="s">
        <v>1017</v>
      </c>
      <c r="C123" s="55" t="s">
        <v>442</v>
      </c>
      <c r="D123" s="56" t="s">
        <v>1008</v>
      </c>
      <c r="E123" s="56">
        <v>1</v>
      </c>
      <c r="F123" s="58" t="s">
        <v>37</v>
      </c>
    </row>
    <row r="124" spans="1:6" ht="15" customHeight="1">
      <c r="A124" s="55" t="s">
        <v>30</v>
      </c>
      <c r="B124" s="56" t="s">
        <v>1018</v>
      </c>
      <c r="C124" s="55" t="s">
        <v>820</v>
      </c>
      <c r="D124" s="56" t="s">
        <v>233</v>
      </c>
      <c r="E124" s="56">
        <v>1</v>
      </c>
      <c r="F124" s="58" t="s">
        <v>37</v>
      </c>
    </row>
    <row r="125" spans="1:6" ht="15" customHeight="1">
      <c r="A125" s="55" t="s">
        <v>30</v>
      </c>
      <c r="B125" s="56" t="s">
        <v>1019</v>
      </c>
      <c r="C125" s="55" t="s">
        <v>30</v>
      </c>
      <c r="D125" s="56" t="s">
        <v>502</v>
      </c>
      <c r="E125" s="56">
        <v>1</v>
      </c>
      <c r="F125" s="58" t="s">
        <v>37</v>
      </c>
    </row>
    <row r="126" spans="1:6" ht="15" customHeight="1">
      <c r="A126" s="55" t="s">
        <v>30</v>
      </c>
      <c r="B126" s="56" t="s">
        <v>1021</v>
      </c>
      <c r="C126" s="55" t="s">
        <v>820</v>
      </c>
      <c r="D126" s="56" t="s">
        <v>224</v>
      </c>
      <c r="E126" s="56">
        <v>1</v>
      </c>
      <c r="F126" s="58" t="s">
        <v>37</v>
      </c>
    </row>
    <row r="127" spans="1:6" ht="15" customHeight="1">
      <c r="A127" s="55" t="s">
        <v>30</v>
      </c>
      <c r="B127" s="56" t="s">
        <v>1024</v>
      </c>
      <c r="C127" s="55" t="s">
        <v>299</v>
      </c>
      <c r="D127" s="56" t="s">
        <v>275</v>
      </c>
      <c r="E127" s="56">
        <v>2</v>
      </c>
      <c r="F127" s="59" t="s">
        <v>27</v>
      </c>
    </row>
    <row r="128" spans="1:6" ht="15" customHeight="1">
      <c r="A128" s="55" t="s">
        <v>30</v>
      </c>
      <c r="B128" s="56" t="s">
        <v>1024</v>
      </c>
      <c r="C128" s="55" t="s">
        <v>871</v>
      </c>
      <c r="D128" s="56" t="s">
        <v>214</v>
      </c>
      <c r="E128" s="56">
        <v>1</v>
      </c>
      <c r="F128" s="58" t="s">
        <v>37</v>
      </c>
    </row>
    <row r="129" spans="1:6" ht="15" customHeight="1">
      <c r="A129" s="55" t="s">
        <v>30</v>
      </c>
      <c r="B129" s="56" t="s">
        <v>1024</v>
      </c>
      <c r="C129" s="55" t="s">
        <v>43</v>
      </c>
      <c r="D129" s="56" t="s">
        <v>214</v>
      </c>
      <c r="E129" s="56">
        <v>1</v>
      </c>
      <c r="F129" s="58" t="s">
        <v>37</v>
      </c>
    </row>
    <row r="130" spans="1:6" ht="15" customHeight="1">
      <c r="A130" s="55" t="s">
        <v>30</v>
      </c>
      <c r="B130" s="56" t="s">
        <v>1024</v>
      </c>
      <c r="C130" s="55" t="s">
        <v>892</v>
      </c>
      <c r="D130" s="56" t="s">
        <v>214</v>
      </c>
      <c r="E130" s="56">
        <v>1</v>
      </c>
      <c r="F130" s="59" t="s">
        <v>27</v>
      </c>
    </row>
    <row r="131" spans="1:6" ht="15" customHeight="1">
      <c r="A131" s="55" t="s">
        <v>30</v>
      </c>
      <c r="B131" s="56" t="s">
        <v>1024</v>
      </c>
      <c r="C131" s="55" t="s">
        <v>367</v>
      </c>
      <c r="D131" s="56" t="s">
        <v>214</v>
      </c>
      <c r="E131" s="56">
        <v>1</v>
      </c>
      <c r="F131" s="58" t="s">
        <v>37</v>
      </c>
    </row>
    <row r="132" spans="1:6" ht="15" customHeight="1">
      <c r="A132" s="55" t="s">
        <v>1025</v>
      </c>
      <c r="B132" s="56" t="s">
        <v>983</v>
      </c>
      <c r="C132" s="55" t="s">
        <v>886</v>
      </c>
      <c r="D132" s="56" t="s">
        <v>810</v>
      </c>
      <c r="E132" s="56">
        <v>1</v>
      </c>
      <c r="F132" s="60" t="s">
        <v>33</v>
      </c>
    </row>
    <row r="133" spans="1:6" ht="15" customHeight="1">
      <c r="A133" s="55" t="s">
        <v>1025</v>
      </c>
      <c r="B133" s="56" t="s">
        <v>988</v>
      </c>
      <c r="C133" s="55" t="s">
        <v>851</v>
      </c>
      <c r="D133" s="56" t="s">
        <v>218</v>
      </c>
      <c r="E133" s="56">
        <v>1</v>
      </c>
      <c r="F133" s="60" t="s">
        <v>33</v>
      </c>
    </row>
    <row r="134" spans="1:6" ht="15" customHeight="1">
      <c r="A134" s="55" t="s">
        <v>1025</v>
      </c>
      <c r="B134" s="56" t="s">
        <v>989</v>
      </c>
      <c r="C134" s="55" t="s">
        <v>894</v>
      </c>
      <c r="D134" s="56" t="s">
        <v>519</v>
      </c>
      <c r="E134" s="56">
        <v>1</v>
      </c>
      <c r="F134" s="60" t="s">
        <v>33</v>
      </c>
    </row>
    <row r="135" spans="1:6" ht="15" customHeight="1">
      <c r="A135" s="55" t="s">
        <v>1025</v>
      </c>
      <c r="B135" s="56" t="s">
        <v>992</v>
      </c>
      <c r="C135" s="55" t="s">
        <v>560</v>
      </c>
      <c r="D135" s="56" t="s">
        <v>212</v>
      </c>
      <c r="E135" s="56">
        <v>1</v>
      </c>
      <c r="F135" s="60" t="s">
        <v>33</v>
      </c>
    </row>
    <row r="136" spans="1:6" ht="15" customHeight="1">
      <c r="A136" s="55" t="s">
        <v>1025</v>
      </c>
      <c r="B136" s="56" t="s">
        <v>992</v>
      </c>
      <c r="C136" s="55" t="s">
        <v>905</v>
      </c>
      <c r="D136" s="56" t="s">
        <v>212</v>
      </c>
      <c r="E136" s="56">
        <v>1</v>
      </c>
      <c r="F136" s="60" t="s">
        <v>33</v>
      </c>
    </row>
    <row r="137" spans="1:6" ht="15" customHeight="1">
      <c r="A137" s="55" t="s">
        <v>1025</v>
      </c>
      <c r="B137" s="56" t="s">
        <v>992</v>
      </c>
      <c r="C137" s="55" t="s">
        <v>916</v>
      </c>
      <c r="D137" s="56" t="s">
        <v>212</v>
      </c>
      <c r="E137" s="56">
        <v>1</v>
      </c>
      <c r="F137" s="58" t="s">
        <v>37</v>
      </c>
    </row>
    <row r="138" spans="1:6" ht="15" customHeight="1">
      <c r="A138" s="55" t="s">
        <v>1025</v>
      </c>
      <c r="B138" s="56" t="s">
        <v>1003</v>
      </c>
      <c r="C138" s="55" t="s">
        <v>560</v>
      </c>
      <c r="D138" s="56" t="s">
        <v>1026</v>
      </c>
      <c r="E138" s="56">
        <v>18</v>
      </c>
      <c r="F138" s="60" t="s">
        <v>33</v>
      </c>
    </row>
    <row r="139" spans="1:6" ht="15" customHeight="1">
      <c r="A139" s="55" t="s">
        <v>1025</v>
      </c>
      <c r="B139" s="56" t="s">
        <v>1003</v>
      </c>
      <c r="C139" s="55" t="s">
        <v>902</v>
      </c>
      <c r="D139" s="56" t="s">
        <v>452</v>
      </c>
      <c r="E139" s="56">
        <v>1</v>
      </c>
      <c r="F139" s="58" t="s">
        <v>37</v>
      </c>
    </row>
    <row r="140" spans="1:6" ht="15" customHeight="1">
      <c r="A140" s="55" t="s">
        <v>1025</v>
      </c>
      <c r="B140" s="56" t="s">
        <v>1004</v>
      </c>
      <c r="C140" s="55" t="s">
        <v>560</v>
      </c>
      <c r="D140" s="56" t="s">
        <v>509</v>
      </c>
      <c r="E140" s="56">
        <v>1</v>
      </c>
      <c r="F140" s="60" t="s">
        <v>33</v>
      </c>
    </row>
    <row r="141" spans="1:6" ht="15" customHeight="1">
      <c r="A141" s="55" t="s">
        <v>1025</v>
      </c>
      <c r="B141" s="56" t="s">
        <v>1004</v>
      </c>
      <c r="C141" s="55" t="s">
        <v>560</v>
      </c>
      <c r="D141" s="56" t="s">
        <v>509</v>
      </c>
      <c r="E141" s="56">
        <v>1</v>
      </c>
      <c r="F141" s="60" t="s">
        <v>33</v>
      </c>
    </row>
    <row r="142" spans="1:6" ht="15" customHeight="1">
      <c r="A142" s="55" t="s">
        <v>1025</v>
      </c>
      <c r="B142" s="56" t="s">
        <v>1005</v>
      </c>
      <c r="C142" s="55" t="s">
        <v>936</v>
      </c>
      <c r="D142" s="56" t="s">
        <v>229</v>
      </c>
      <c r="E142" s="56">
        <v>1</v>
      </c>
      <c r="F142" s="60" t="s">
        <v>33</v>
      </c>
    </row>
    <row r="143" spans="1:6" ht="15" customHeight="1">
      <c r="A143" s="55" t="s">
        <v>1025</v>
      </c>
      <c r="B143" s="56" t="s">
        <v>1005</v>
      </c>
      <c r="C143" s="55" t="s">
        <v>851</v>
      </c>
      <c r="D143" s="56" t="s">
        <v>229</v>
      </c>
      <c r="E143" s="56">
        <v>1</v>
      </c>
      <c r="F143" s="60" t="s">
        <v>33</v>
      </c>
    </row>
    <row r="144" spans="1:6" ht="15" customHeight="1">
      <c r="A144" s="55" t="s">
        <v>1025</v>
      </c>
      <c r="B144" s="56" t="s">
        <v>1006</v>
      </c>
      <c r="C144" s="55" t="s">
        <v>851</v>
      </c>
      <c r="D144" s="56" t="s">
        <v>268</v>
      </c>
      <c r="E144" s="56">
        <v>2</v>
      </c>
      <c r="F144" s="60" t="s">
        <v>33</v>
      </c>
    </row>
    <row r="145" spans="1:6" ht="15" customHeight="1">
      <c r="A145" s="55" t="s">
        <v>1025</v>
      </c>
      <c r="B145" s="56" t="s">
        <v>1006</v>
      </c>
      <c r="C145" s="55" t="s">
        <v>560</v>
      </c>
      <c r="D145" s="56" t="s">
        <v>532</v>
      </c>
      <c r="E145" s="56">
        <v>1</v>
      </c>
      <c r="F145" s="60" t="s">
        <v>33</v>
      </c>
    </row>
    <row r="146" spans="1:6" ht="15" customHeight="1">
      <c r="A146" s="55" t="s">
        <v>1025</v>
      </c>
      <c r="B146" s="56" t="s">
        <v>1023</v>
      </c>
      <c r="C146" s="55" t="s">
        <v>560</v>
      </c>
      <c r="D146" s="56" t="s">
        <v>519</v>
      </c>
      <c r="E146" s="56">
        <v>1</v>
      </c>
      <c r="F146" s="60" t="s">
        <v>33</v>
      </c>
    </row>
    <row r="147" spans="1:6" ht="15" customHeight="1">
      <c r="A147" s="55" t="s">
        <v>1025</v>
      </c>
      <c r="B147" s="56" t="s">
        <v>1023</v>
      </c>
      <c r="C147" s="55" t="s">
        <v>851</v>
      </c>
      <c r="D147" s="56" t="s">
        <v>519</v>
      </c>
      <c r="E147" s="56">
        <v>1</v>
      </c>
      <c r="F147" s="60" t="s">
        <v>33</v>
      </c>
    </row>
    <row r="148" spans="1:6" ht="15" customHeight="1">
      <c r="A148" s="55" t="s">
        <v>1025</v>
      </c>
      <c r="B148" s="56" t="s">
        <v>1009</v>
      </c>
      <c r="C148" s="55" t="s">
        <v>560</v>
      </c>
      <c r="D148" s="56" t="s">
        <v>1027</v>
      </c>
      <c r="E148" s="56">
        <v>3</v>
      </c>
      <c r="F148" s="60" t="s">
        <v>33</v>
      </c>
    </row>
    <row r="149" spans="1:6" ht="15" customHeight="1">
      <c r="A149" s="55" t="s">
        <v>1025</v>
      </c>
      <c r="B149" s="56" t="s">
        <v>1010</v>
      </c>
      <c r="C149" s="55" t="s">
        <v>560</v>
      </c>
      <c r="D149" s="56" t="s">
        <v>502</v>
      </c>
      <c r="E149" s="56">
        <v>3</v>
      </c>
      <c r="F149" s="60" t="s">
        <v>33</v>
      </c>
    </row>
    <row r="150" spans="1:6" ht="15" customHeight="1">
      <c r="A150" s="55" t="s">
        <v>1025</v>
      </c>
      <c r="B150" s="56" t="s">
        <v>1010</v>
      </c>
      <c r="C150" s="55" t="s">
        <v>560</v>
      </c>
      <c r="D150" s="56" t="s">
        <v>254</v>
      </c>
      <c r="E150" s="56">
        <v>1</v>
      </c>
      <c r="F150" s="60" t="s">
        <v>33</v>
      </c>
    </row>
    <row r="151" spans="1:6" ht="15" customHeight="1">
      <c r="A151" s="55" t="s">
        <v>1025</v>
      </c>
      <c r="B151" s="56" t="s">
        <v>1014</v>
      </c>
      <c r="C151" s="55" t="s">
        <v>958</v>
      </c>
      <c r="D151" s="56" t="s">
        <v>1015</v>
      </c>
      <c r="E151" s="56">
        <v>1</v>
      </c>
      <c r="F151" s="60" t="s">
        <v>33</v>
      </c>
    </row>
    <row r="152" spans="1:6" ht="15" customHeight="1">
      <c r="A152" s="55" t="s">
        <v>1025</v>
      </c>
      <c r="B152" s="56" t="s">
        <v>1014</v>
      </c>
      <c r="C152" s="55" t="s">
        <v>560</v>
      </c>
      <c r="D152" s="56" t="s">
        <v>1015</v>
      </c>
      <c r="E152" s="56">
        <v>1</v>
      </c>
      <c r="F152" s="60" t="s">
        <v>33</v>
      </c>
    </row>
    <row r="153" spans="1:6" ht="15" customHeight="1">
      <c r="A153" s="55" t="s">
        <v>1025</v>
      </c>
      <c r="B153" s="56" t="s">
        <v>1028</v>
      </c>
      <c r="C153" s="55" t="s">
        <v>850</v>
      </c>
      <c r="D153" s="56" t="s">
        <v>500</v>
      </c>
      <c r="E153" s="56">
        <v>1</v>
      </c>
      <c r="F153" s="58" t="s">
        <v>37</v>
      </c>
    </row>
    <row r="154" spans="1:6" ht="15" customHeight="1">
      <c r="A154" s="55" t="s">
        <v>1025</v>
      </c>
      <c r="B154" s="56" t="s">
        <v>1017</v>
      </c>
      <c r="C154" s="55" t="s">
        <v>851</v>
      </c>
      <c r="D154" s="56" t="s">
        <v>1008</v>
      </c>
      <c r="E154" s="56">
        <v>1</v>
      </c>
      <c r="F154" s="60" t="s">
        <v>33</v>
      </c>
    </row>
    <row r="155" spans="1:6" ht="15" customHeight="1">
      <c r="A155" s="55" t="s">
        <v>1025</v>
      </c>
      <c r="B155" s="56" t="s">
        <v>1018</v>
      </c>
      <c r="C155" s="55" t="s">
        <v>854</v>
      </c>
      <c r="D155" s="56" t="s">
        <v>233</v>
      </c>
      <c r="E155" s="56">
        <v>1</v>
      </c>
      <c r="F155" s="60" t="s">
        <v>33</v>
      </c>
    </row>
    <row r="156" spans="1:6" ht="15" customHeight="1">
      <c r="A156" s="55" t="s">
        <v>1025</v>
      </c>
      <c r="B156" s="56" t="s">
        <v>1018</v>
      </c>
      <c r="C156" s="55" t="s">
        <v>857</v>
      </c>
      <c r="D156" s="56" t="s">
        <v>233</v>
      </c>
      <c r="E156" s="56">
        <v>1</v>
      </c>
      <c r="F156" s="60" t="s">
        <v>33</v>
      </c>
    </row>
    <row r="157" spans="1:6" ht="15" customHeight="1">
      <c r="A157" s="55" t="s">
        <v>1025</v>
      </c>
      <c r="B157" s="56" t="s">
        <v>1020</v>
      </c>
      <c r="C157" s="55" t="s">
        <v>830</v>
      </c>
      <c r="D157" s="56" t="s">
        <v>256</v>
      </c>
      <c r="E157" s="56">
        <v>1</v>
      </c>
      <c r="F157" s="58" t="s">
        <v>37</v>
      </c>
    </row>
    <row r="158" spans="1:6" ht="15" customHeight="1">
      <c r="A158" s="55" t="s">
        <v>1025</v>
      </c>
      <c r="B158" s="56" t="s">
        <v>1021</v>
      </c>
      <c r="C158" s="55" t="s">
        <v>874</v>
      </c>
      <c r="D158" s="56" t="s">
        <v>224</v>
      </c>
      <c r="E158" s="56">
        <v>1</v>
      </c>
      <c r="F158" s="60" t="s">
        <v>33</v>
      </c>
    </row>
    <row r="159" spans="1:6" ht="15" customHeight="1">
      <c r="A159" s="55" t="s">
        <v>1029</v>
      </c>
      <c r="B159" s="56" t="s">
        <v>980</v>
      </c>
      <c r="C159" s="55" t="s">
        <v>818</v>
      </c>
      <c r="D159" s="56" t="s">
        <v>1030</v>
      </c>
      <c r="E159" s="56">
        <v>3</v>
      </c>
      <c r="F159" s="60" t="s">
        <v>33</v>
      </c>
    </row>
    <row r="160" spans="1:6" ht="15" customHeight="1">
      <c r="A160" s="55" t="s">
        <v>1029</v>
      </c>
      <c r="B160" s="56" t="s">
        <v>983</v>
      </c>
      <c r="C160" s="55" t="s">
        <v>818</v>
      </c>
      <c r="D160" s="56" t="s">
        <v>984</v>
      </c>
      <c r="E160" s="56">
        <v>2</v>
      </c>
      <c r="F160" s="60" t="s">
        <v>33</v>
      </c>
    </row>
    <row r="161" spans="1:6" ht="15" customHeight="1">
      <c r="A161" s="55" t="s">
        <v>1029</v>
      </c>
      <c r="B161" s="56" t="s">
        <v>985</v>
      </c>
      <c r="C161" s="55" t="s">
        <v>884</v>
      </c>
      <c r="D161" s="56" t="s">
        <v>1022</v>
      </c>
      <c r="E161" s="56">
        <v>1</v>
      </c>
      <c r="F161" s="58" t="s">
        <v>37</v>
      </c>
    </row>
    <row r="162" spans="1:6" ht="15" customHeight="1">
      <c r="A162" s="55" t="s">
        <v>1029</v>
      </c>
      <c r="B162" s="56" t="s">
        <v>992</v>
      </c>
      <c r="C162" s="55" t="s">
        <v>818</v>
      </c>
      <c r="D162" s="56" t="s">
        <v>212</v>
      </c>
      <c r="E162" s="56">
        <v>1</v>
      </c>
      <c r="F162" s="60" t="s">
        <v>33</v>
      </c>
    </row>
    <row r="163" spans="1:6" ht="15" customHeight="1">
      <c r="A163" s="55" t="s">
        <v>1029</v>
      </c>
      <c r="B163" s="56" t="s">
        <v>998</v>
      </c>
      <c r="C163" s="55" t="s">
        <v>593</v>
      </c>
      <c r="D163" s="56" t="s">
        <v>999</v>
      </c>
      <c r="E163" s="56">
        <v>2</v>
      </c>
      <c r="F163" s="57" t="s">
        <v>42</v>
      </c>
    </row>
    <row r="164" spans="1:6" ht="15" customHeight="1">
      <c r="A164" s="55" t="s">
        <v>1029</v>
      </c>
      <c r="B164" s="56" t="s">
        <v>998</v>
      </c>
      <c r="C164" s="55" t="s">
        <v>901</v>
      </c>
      <c r="D164" s="56" t="s">
        <v>1000</v>
      </c>
      <c r="E164" s="56">
        <v>1</v>
      </c>
      <c r="F164" s="58" t="s">
        <v>37</v>
      </c>
    </row>
    <row r="165" spans="1:6" ht="15" customHeight="1">
      <c r="A165" s="55" t="s">
        <v>1029</v>
      </c>
      <c r="B165" s="56" t="s">
        <v>998</v>
      </c>
      <c r="C165" s="55" t="s">
        <v>911</v>
      </c>
      <c r="D165" s="56" t="s">
        <v>1000</v>
      </c>
      <c r="E165" s="56">
        <v>1</v>
      </c>
      <c r="F165" s="58" t="s">
        <v>37</v>
      </c>
    </row>
    <row r="166" spans="1:6" ht="15" customHeight="1">
      <c r="A166" s="55" t="s">
        <v>1029</v>
      </c>
      <c r="B166" s="56" t="s">
        <v>1002</v>
      </c>
      <c r="C166" s="55" t="s">
        <v>296</v>
      </c>
      <c r="D166" s="56" t="s">
        <v>276</v>
      </c>
      <c r="E166" s="56">
        <v>1</v>
      </c>
      <c r="F166" s="57" t="s">
        <v>42</v>
      </c>
    </row>
    <row r="167" spans="1:6" ht="15" customHeight="1">
      <c r="A167" s="55" t="s">
        <v>1029</v>
      </c>
      <c r="B167" s="56" t="s">
        <v>1004</v>
      </c>
      <c r="C167" s="55" t="s">
        <v>928</v>
      </c>
      <c r="D167" s="56" t="s">
        <v>509</v>
      </c>
      <c r="E167" s="56">
        <v>1</v>
      </c>
      <c r="F167" s="58" t="s">
        <v>37</v>
      </c>
    </row>
    <row r="168" spans="1:6" ht="15" customHeight="1">
      <c r="A168" s="55" t="s">
        <v>1029</v>
      </c>
      <c r="B168" s="56" t="s">
        <v>1004</v>
      </c>
      <c r="C168" s="55" t="s">
        <v>933</v>
      </c>
      <c r="D168" s="56" t="s">
        <v>509</v>
      </c>
      <c r="E168" s="56">
        <v>1</v>
      </c>
      <c r="F168" s="58" t="s">
        <v>37</v>
      </c>
    </row>
    <row r="169" spans="1:6" ht="15" customHeight="1">
      <c r="A169" s="55" t="s">
        <v>1029</v>
      </c>
      <c r="B169" s="56" t="s">
        <v>1005</v>
      </c>
      <c r="C169" s="55" t="s">
        <v>98</v>
      </c>
      <c r="D169" s="56" t="s">
        <v>261</v>
      </c>
      <c r="E169" s="56">
        <v>3</v>
      </c>
      <c r="F169" s="57" t="s">
        <v>42</v>
      </c>
    </row>
    <row r="170" spans="1:6" ht="15" customHeight="1">
      <c r="A170" s="55" t="s">
        <v>1029</v>
      </c>
      <c r="B170" s="56" t="s">
        <v>1005</v>
      </c>
      <c r="C170" s="55" t="s">
        <v>593</v>
      </c>
      <c r="D170" s="56" t="s">
        <v>228</v>
      </c>
      <c r="E170" s="56">
        <v>2</v>
      </c>
      <c r="F170" s="57" t="s">
        <v>42</v>
      </c>
    </row>
    <row r="171" spans="1:6" ht="15" customHeight="1">
      <c r="A171" s="55" t="s">
        <v>1029</v>
      </c>
      <c r="B171" s="56" t="s">
        <v>1007</v>
      </c>
      <c r="C171" s="55" t="s">
        <v>925</v>
      </c>
      <c r="D171" s="56" t="s">
        <v>1008</v>
      </c>
      <c r="E171" s="56">
        <v>1</v>
      </c>
      <c r="F171" s="58" t="s">
        <v>37</v>
      </c>
    </row>
    <row r="172" spans="1:6" ht="15" customHeight="1">
      <c r="A172" s="55" t="s">
        <v>1029</v>
      </c>
      <c r="B172" s="56" t="s">
        <v>1007</v>
      </c>
      <c r="C172" s="55" t="s">
        <v>926</v>
      </c>
      <c r="D172" s="56" t="s">
        <v>1008</v>
      </c>
      <c r="E172" s="56">
        <v>1</v>
      </c>
      <c r="F172" s="57" t="s">
        <v>42</v>
      </c>
    </row>
    <row r="173" spans="1:6" ht="15" customHeight="1">
      <c r="A173" s="55" t="s">
        <v>1029</v>
      </c>
      <c r="B173" s="56" t="s">
        <v>1009</v>
      </c>
      <c r="C173" s="55" t="s">
        <v>929</v>
      </c>
      <c r="D173" s="56" t="s">
        <v>804</v>
      </c>
      <c r="E173" s="56">
        <v>1</v>
      </c>
      <c r="F173" s="58" t="s">
        <v>37</v>
      </c>
    </row>
    <row r="174" spans="1:6" ht="15" customHeight="1">
      <c r="A174" s="55" t="s">
        <v>1029</v>
      </c>
      <c r="B174" s="56" t="s">
        <v>1010</v>
      </c>
      <c r="C174" s="55" t="s">
        <v>593</v>
      </c>
      <c r="D174" s="56" t="s">
        <v>254</v>
      </c>
      <c r="E174" s="56">
        <v>1</v>
      </c>
      <c r="F174" s="57" t="s">
        <v>42</v>
      </c>
    </row>
    <row r="175" spans="1:6" ht="15" customHeight="1">
      <c r="A175" s="55" t="s">
        <v>1029</v>
      </c>
      <c r="B175" s="56" t="s">
        <v>1011</v>
      </c>
      <c r="C175" s="55" t="s">
        <v>954</v>
      </c>
      <c r="D175" s="56" t="s">
        <v>1012</v>
      </c>
      <c r="E175" s="56">
        <v>1</v>
      </c>
      <c r="F175" s="58" t="s">
        <v>37</v>
      </c>
    </row>
    <row r="176" spans="1:6" ht="15" customHeight="1">
      <c r="A176" s="55" t="s">
        <v>1029</v>
      </c>
      <c r="B176" s="56" t="s">
        <v>1011</v>
      </c>
      <c r="C176" s="55" t="s">
        <v>296</v>
      </c>
      <c r="D176" s="56" t="s">
        <v>1012</v>
      </c>
      <c r="E176" s="56">
        <v>1</v>
      </c>
      <c r="F176" s="57" t="s">
        <v>42</v>
      </c>
    </row>
    <row r="177" spans="1:6" ht="15" customHeight="1">
      <c r="A177" s="55" t="s">
        <v>1029</v>
      </c>
      <c r="B177" s="56" t="s">
        <v>1013</v>
      </c>
      <c r="C177" s="55" t="s">
        <v>818</v>
      </c>
      <c r="D177" s="56" t="s">
        <v>1031</v>
      </c>
      <c r="E177" s="56">
        <v>4</v>
      </c>
      <c r="F177" s="60" t="s">
        <v>33</v>
      </c>
    </row>
    <row r="178" spans="1:6" ht="15" customHeight="1">
      <c r="A178" s="55" t="s">
        <v>1029</v>
      </c>
      <c r="B178" s="56" t="s">
        <v>1013</v>
      </c>
      <c r="C178" s="55" t="s">
        <v>296</v>
      </c>
      <c r="D178" s="56" t="s">
        <v>233</v>
      </c>
      <c r="E178" s="56">
        <v>1</v>
      </c>
      <c r="F178" s="57" t="s">
        <v>42</v>
      </c>
    </row>
    <row r="179" spans="1:6" ht="15" customHeight="1">
      <c r="A179" s="55" t="s">
        <v>1029</v>
      </c>
      <c r="B179" s="56" t="s">
        <v>1028</v>
      </c>
      <c r="C179" s="55" t="s">
        <v>818</v>
      </c>
      <c r="D179" s="56" t="s">
        <v>500</v>
      </c>
      <c r="E179" s="56">
        <v>1</v>
      </c>
      <c r="F179" s="60" t="s">
        <v>33</v>
      </c>
    </row>
    <row r="180" spans="1:6" ht="15" customHeight="1">
      <c r="A180" s="55" t="s">
        <v>1029</v>
      </c>
      <c r="B180" s="56" t="s">
        <v>1028</v>
      </c>
      <c r="C180" s="55" t="s">
        <v>73</v>
      </c>
      <c r="D180" s="56" t="s">
        <v>500</v>
      </c>
      <c r="E180" s="56">
        <v>1</v>
      </c>
      <c r="F180" s="57" t="s">
        <v>42</v>
      </c>
    </row>
    <row r="181" spans="1:6" ht="15" customHeight="1">
      <c r="A181" s="55" t="s">
        <v>1029</v>
      </c>
      <c r="B181" s="56" t="s">
        <v>1028</v>
      </c>
      <c r="C181" s="55" t="s">
        <v>818</v>
      </c>
      <c r="D181" s="56" t="s">
        <v>270</v>
      </c>
      <c r="E181" s="56">
        <v>3</v>
      </c>
      <c r="F181" s="60" t="s">
        <v>33</v>
      </c>
    </row>
    <row r="182" spans="1:6" ht="15" customHeight="1">
      <c r="A182" s="55" t="s">
        <v>1029</v>
      </c>
      <c r="B182" s="56" t="s">
        <v>1017</v>
      </c>
      <c r="C182" s="55" t="s">
        <v>818</v>
      </c>
      <c r="D182" s="56" t="s">
        <v>1008</v>
      </c>
      <c r="E182" s="56">
        <v>1</v>
      </c>
      <c r="F182" s="60" t="s">
        <v>33</v>
      </c>
    </row>
    <row r="183" spans="1:6" ht="15" customHeight="1">
      <c r="A183" s="55" t="s">
        <v>1029</v>
      </c>
      <c r="B183" s="56" t="s">
        <v>1017</v>
      </c>
      <c r="C183" s="55" t="s">
        <v>853</v>
      </c>
      <c r="D183" s="56" t="s">
        <v>1008</v>
      </c>
      <c r="E183" s="56">
        <v>1</v>
      </c>
      <c r="F183" s="60" t="s">
        <v>33</v>
      </c>
    </row>
    <row r="184" spans="1:6" ht="15" customHeight="1">
      <c r="A184" s="55" t="s">
        <v>1029</v>
      </c>
      <c r="B184" s="56" t="s">
        <v>1019</v>
      </c>
      <c r="C184" s="55" t="s">
        <v>840</v>
      </c>
      <c r="D184" s="56" t="s">
        <v>502</v>
      </c>
      <c r="E184" s="56">
        <v>1</v>
      </c>
      <c r="F184" s="60" t="s">
        <v>33</v>
      </c>
    </row>
    <row r="185" spans="1:6" ht="15" customHeight="1">
      <c r="A185" s="55" t="s">
        <v>1029</v>
      </c>
      <c r="B185" s="56" t="s">
        <v>1020</v>
      </c>
      <c r="C185" s="55" t="s">
        <v>822</v>
      </c>
      <c r="D185" s="56" t="s">
        <v>797</v>
      </c>
      <c r="E185" s="56">
        <v>2</v>
      </c>
      <c r="F185" s="60" t="s">
        <v>33</v>
      </c>
    </row>
    <row r="186" spans="1:6" ht="15" customHeight="1">
      <c r="A186" s="55" t="s">
        <v>1029</v>
      </c>
      <c r="B186" s="56" t="s">
        <v>1021</v>
      </c>
      <c r="C186" s="55" t="s">
        <v>867</v>
      </c>
      <c r="D186" s="56" t="s">
        <v>224</v>
      </c>
      <c r="E186" s="56">
        <v>1</v>
      </c>
      <c r="F186" s="58" t="s">
        <v>37</v>
      </c>
    </row>
    <row r="187" spans="1:6" ht="15" customHeight="1">
      <c r="A187" s="55" t="s">
        <v>1029</v>
      </c>
      <c r="B187" s="56" t="s">
        <v>1021</v>
      </c>
      <c r="C187" s="55" t="s">
        <v>818</v>
      </c>
      <c r="D187" s="56" t="s">
        <v>224</v>
      </c>
      <c r="E187" s="56">
        <v>1</v>
      </c>
      <c r="F187" s="60" t="s">
        <v>33</v>
      </c>
    </row>
    <row r="188" spans="1:6" ht="15" customHeight="1">
      <c r="A188" s="55" t="s">
        <v>1029</v>
      </c>
      <c r="B188" s="56" t="s">
        <v>1024</v>
      </c>
      <c r="C188" s="55" t="s">
        <v>818</v>
      </c>
      <c r="D188" s="56" t="s">
        <v>525</v>
      </c>
      <c r="E188" s="56">
        <v>3</v>
      </c>
      <c r="F188" s="60" t="s">
        <v>33</v>
      </c>
    </row>
    <row r="189" spans="1:6" ht="15" customHeight="1">
      <c r="A189" s="55" t="s">
        <v>1029</v>
      </c>
      <c r="B189" s="56" t="s">
        <v>1024</v>
      </c>
      <c r="C189" s="55" t="s">
        <v>818</v>
      </c>
      <c r="D189" s="56" t="s">
        <v>275</v>
      </c>
      <c r="E189" s="56">
        <v>2</v>
      </c>
      <c r="F189" s="60" t="s">
        <v>33</v>
      </c>
    </row>
    <row r="190" spans="1:6" ht="15" customHeight="1">
      <c r="A190" s="55" t="s">
        <v>1032</v>
      </c>
      <c r="B190" s="56" t="s">
        <v>983</v>
      </c>
      <c r="C190" s="55" t="s">
        <v>877</v>
      </c>
      <c r="D190" s="56" t="s">
        <v>810</v>
      </c>
      <c r="E190" s="56">
        <v>1</v>
      </c>
      <c r="F190" s="60" t="s">
        <v>33</v>
      </c>
    </row>
    <row r="191" spans="1:6" ht="15" customHeight="1">
      <c r="A191" s="55" t="s">
        <v>1032</v>
      </c>
      <c r="B191" s="56" t="s">
        <v>983</v>
      </c>
      <c r="C191" s="55" t="s">
        <v>890</v>
      </c>
      <c r="D191" s="56" t="s">
        <v>810</v>
      </c>
      <c r="E191" s="56">
        <v>1</v>
      </c>
      <c r="F191" s="60" t="s">
        <v>33</v>
      </c>
    </row>
    <row r="192" spans="1:6" ht="15" customHeight="1">
      <c r="A192" s="55" t="s">
        <v>1032</v>
      </c>
      <c r="B192" s="56" t="s">
        <v>989</v>
      </c>
      <c r="C192" s="55" t="s">
        <v>909</v>
      </c>
      <c r="D192" s="56" t="s">
        <v>519</v>
      </c>
      <c r="E192" s="56">
        <v>1</v>
      </c>
      <c r="F192" s="60" t="s">
        <v>33</v>
      </c>
    </row>
    <row r="193" spans="1:6" ht="15" customHeight="1">
      <c r="A193" s="55" t="s">
        <v>1032</v>
      </c>
      <c r="B193" s="56" t="s">
        <v>990</v>
      </c>
      <c r="C193" s="55" t="s">
        <v>115</v>
      </c>
      <c r="D193" s="56" t="s">
        <v>534</v>
      </c>
      <c r="E193" s="56">
        <v>1</v>
      </c>
      <c r="F193" s="60" t="s">
        <v>33</v>
      </c>
    </row>
    <row r="194" spans="1:6" ht="15" customHeight="1">
      <c r="A194" s="55" t="s">
        <v>1032</v>
      </c>
      <c r="B194" s="56" t="s">
        <v>1001</v>
      </c>
      <c r="C194" s="55" t="s">
        <v>823</v>
      </c>
      <c r="D194" s="56" t="s">
        <v>249</v>
      </c>
      <c r="E194" s="56">
        <v>1</v>
      </c>
      <c r="F194" s="60" t="s">
        <v>33</v>
      </c>
    </row>
    <row r="195" spans="1:6" ht="15" customHeight="1">
      <c r="A195" s="55" t="s">
        <v>1032</v>
      </c>
      <c r="B195" s="56" t="s">
        <v>1001</v>
      </c>
      <c r="C195" s="55" t="s">
        <v>831</v>
      </c>
      <c r="D195" s="56" t="s">
        <v>249</v>
      </c>
      <c r="E195" s="56">
        <v>1</v>
      </c>
      <c r="F195" s="60" t="s">
        <v>33</v>
      </c>
    </row>
    <row r="196" spans="1:6" ht="15" customHeight="1">
      <c r="A196" s="55" t="s">
        <v>1032</v>
      </c>
      <c r="B196" s="56" t="s">
        <v>1001</v>
      </c>
      <c r="C196" s="55" t="s">
        <v>843</v>
      </c>
      <c r="D196" s="56" t="s">
        <v>249</v>
      </c>
      <c r="E196" s="56">
        <v>1</v>
      </c>
      <c r="F196" s="60" t="s">
        <v>33</v>
      </c>
    </row>
    <row r="197" spans="1:6" ht="15" customHeight="1">
      <c r="A197" s="55" t="s">
        <v>1032</v>
      </c>
      <c r="B197" s="56" t="s">
        <v>1002</v>
      </c>
      <c r="C197" s="55" t="s">
        <v>912</v>
      </c>
      <c r="D197" s="56" t="s">
        <v>276</v>
      </c>
      <c r="E197" s="56">
        <v>1</v>
      </c>
      <c r="F197" s="60" t="s">
        <v>33</v>
      </c>
    </row>
    <row r="198" spans="1:6" ht="15" customHeight="1">
      <c r="A198" s="55" t="s">
        <v>1032</v>
      </c>
      <c r="B198" s="56" t="s">
        <v>1003</v>
      </c>
      <c r="C198" s="55" t="s">
        <v>913</v>
      </c>
      <c r="D198" s="56" t="s">
        <v>524</v>
      </c>
      <c r="E198" s="56">
        <v>2</v>
      </c>
      <c r="F198" s="60" t="s">
        <v>33</v>
      </c>
    </row>
    <row r="199" spans="1:6" ht="15" customHeight="1">
      <c r="A199" s="55" t="s">
        <v>1032</v>
      </c>
      <c r="B199" s="56" t="s">
        <v>1005</v>
      </c>
      <c r="C199" s="55" t="s">
        <v>415</v>
      </c>
      <c r="D199" s="56" t="s">
        <v>229</v>
      </c>
      <c r="E199" s="56">
        <v>1</v>
      </c>
      <c r="F199" s="60" t="s">
        <v>33</v>
      </c>
    </row>
    <row r="200" spans="1:6" ht="15" customHeight="1">
      <c r="A200" s="55" t="s">
        <v>1032</v>
      </c>
      <c r="B200" s="56" t="s">
        <v>1023</v>
      </c>
      <c r="C200" s="55" t="s">
        <v>927</v>
      </c>
      <c r="D200" s="56" t="s">
        <v>519</v>
      </c>
      <c r="E200" s="56">
        <v>1</v>
      </c>
      <c r="F200" s="60" t="s">
        <v>33</v>
      </c>
    </row>
    <row r="201" spans="1:6" ht="15" customHeight="1">
      <c r="A201" s="55" t="s">
        <v>1032</v>
      </c>
      <c r="B201" s="56" t="s">
        <v>1023</v>
      </c>
      <c r="C201" s="55" t="s">
        <v>943</v>
      </c>
      <c r="D201" s="56" t="s">
        <v>519</v>
      </c>
      <c r="E201" s="56">
        <v>1</v>
      </c>
      <c r="F201" s="60" t="s">
        <v>33</v>
      </c>
    </row>
    <row r="202" spans="1:6" ht="15" customHeight="1">
      <c r="A202" s="55" t="s">
        <v>1032</v>
      </c>
      <c r="B202" s="56" t="s">
        <v>1009</v>
      </c>
      <c r="C202" s="55" t="s">
        <v>932</v>
      </c>
      <c r="D202" s="56" t="s">
        <v>804</v>
      </c>
      <c r="E202" s="56">
        <v>1</v>
      </c>
      <c r="F202" s="60" t="s">
        <v>33</v>
      </c>
    </row>
    <row r="203" spans="1:6" ht="15" customHeight="1">
      <c r="A203" s="55" t="s">
        <v>1032</v>
      </c>
      <c r="B203" s="56" t="s">
        <v>1011</v>
      </c>
      <c r="C203" s="55" t="s">
        <v>959</v>
      </c>
      <c r="D203" s="56" t="s">
        <v>1012</v>
      </c>
      <c r="E203" s="56">
        <v>1</v>
      </c>
      <c r="F203" s="60" t="s">
        <v>33</v>
      </c>
    </row>
    <row r="204" spans="1:6" ht="15" customHeight="1">
      <c r="A204" s="55" t="s">
        <v>1032</v>
      </c>
      <c r="B204" s="56" t="s">
        <v>1011</v>
      </c>
      <c r="C204" s="55" t="s">
        <v>932</v>
      </c>
      <c r="D204" s="56" t="s">
        <v>1012</v>
      </c>
      <c r="E204" s="56">
        <v>1</v>
      </c>
      <c r="F204" s="60" t="s">
        <v>33</v>
      </c>
    </row>
    <row r="205" spans="1:6" ht="15" customHeight="1">
      <c r="A205" s="55" t="s">
        <v>1032</v>
      </c>
      <c r="B205" s="56" t="s">
        <v>1011</v>
      </c>
      <c r="C205" s="55" t="s">
        <v>966</v>
      </c>
      <c r="D205" s="56" t="s">
        <v>1012</v>
      </c>
      <c r="E205" s="56">
        <v>1</v>
      </c>
      <c r="F205" s="60" t="s">
        <v>33</v>
      </c>
    </row>
    <row r="206" spans="1:6" ht="15" customHeight="1">
      <c r="A206" s="55" t="s">
        <v>1032</v>
      </c>
      <c r="B206" s="56" t="s">
        <v>1013</v>
      </c>
      <c r="C206" s="55" t="s">
        <v>832</v>
      </c>
      <c r="D206" s="56" t="s">
        <v>233</v>
      </c>
      <c r="E206" s="56">
        <v>1</v>
      </c>
      <c r="F206" s="60" t="s">
        <v>33</v>
      </c>
    </row>
    <row r="207" spans="1:6" ht="15" customHeight="1">
      <c r="A207" s="55" t="s">
        <v>1032</v>
      </c>
      <c r="B207" s="56" t="s">
        <v>1013</v>
      </c>
      <c r="C207" s="55" t="s">
        <v>855</v>
      </c>
      <c r="D207" s="56" t="s">
        <v>233</v>
      </c>
      <c r="E207" s="56">
        <v>1</v>
      </c>
      <c r="F207" s="60" t="s">
        <v>33</v>
      </c>
    </row>
    <row r="208" spans="1:6" ht="15" customHeight="1">
      <c r="A208" s="55" t="s">
        <v>1032</v>
      </c>
      <c r="B208" s="56" t="s">
        <v>1013</v>
      </c>
      <c r="C208" s="55" t="s">
        <v>415</v>
      </c>
      <c r="D208" s="56" t="s">
        <v>233</v>
      </c>
      <c r="E208" s="56">
        <v>1</v>
      </c>
      <c r="F208" s="60" t="s">
        <v>33</v>
      </c>
    </row>
    <row r="209" spans="1:6" ht="15" customHeight="1">
      <c r="A209" s="55" t="s">
        <v>1032</v>
      </c>
      <c r="B209" s="56" t="s">
        <v>1013</v>
      </c>
      <c r="C209" s="55" t="s">
        <v>866</v>
      </c>
      <c r="D209" s="56" t="s">
        <v>233</v>
      </c>
      <c r="E209" s="56">
        <v>1</v>
      </c>
      <c r="F209" s="60" t="s">
        <v>33</v>
      </c>
    </row>
    <row r="210" spans="1:6" ht="15" customHeight="1">
      <c r="A210" s="55" t="s">
        <v>1032</v>
      </c>
      <c r="B210" s="56" t="s">
        <v>1028</v>
      </c>
      <c r="C210" s="55" t="s">
        <v>819</v>
      </c>
      <c r="D210" s="56" t="s">
        <v>500</v>
      </c>
      <c r="E210" s="56">
        <v>1</v>
      </c>
      <c r="F210" s="60" t="s">
        <v>33</v>
      </c>
    </row>
    <row r="211" spans="1:6" ht="15" customHeight="1">
      <c r="A211" s="55" t="s">
        <v>1032</v>
      </c>
      <c r="B211" s="56" t="s">
        <v>1018</v>
      </c>
      <c r="C211" s="55" t="s">
        <v>858</v>
      </c>
      <c r="D211" s="56" t="s">
        <v>233</v>
      </c>
      <c r="E211" s="56">
        <v>1</v>
      </c>
      <c r="F211" s="60" t="s">
        <v>33</v>
      </c>
    </row>
    <row r="212" spans="1:6" ht="15" customHeight="1">
      <c r="A212" s="55" t="s">
        <v>1032</v>
      </c>
      <c r="B212" s="56" t="s">
        <v>1019</v>
      </c>
      <c r="C212" s="55" t="s">
        <v>829</v>
      </c>
      <c r="D212" s="56" t="s">
        <v>502</v>
      </c>
      <c r="E212" s="56">
        <v>1</v>
      </c>
      <c r="F212" s="60" t="s">
        <v>33</v>
      </c>
    </row>
    <row r="213" spans="1:6" ht="15" customHeight="1">
      <c r="A213" s="55" t="s">
        <v>1032</v>
      </c>
      <c r="B213" s="56" t="s">
        <v>1020</v>
      </c>
      <c r="C213" s="55" t="s">
        <v>827</v>
      </c>
      <c r="D213" s="56" t="s">
        <v>256</v>
      </c>
      <c r="E213" s="56">
        <v>1</v>
      </c>
      <c r="F213" s="60" t="s">
        <v>33</v>
      </c>
    </row>
    <row r="214" spans="1:6" ht="15" customHeight="1">
      <c r="A214" s="55" t="s">
        <v>1032</v>
      </c>
      <c r="B214" s="56" t="s">
        <v>1020</v>
      </c>
      <c r="C214" s="55" t="s">
        <v>836</v>
      </c>
      <c r="D214" s="56" t="s">
        <v>256</v>
      </c>
      <c r="E214" s="56">
        <v>1</v>
      </c>
      <c r="F214" s="60" t="s">
        <v>33</v>
      </c>
    </row>
    <row r="215" spans="1:6" ht="15" customHeight="1">
      <c r="A215" s="55" t="s">
        <v>1032</v>
      </c>
      <c r="B215" s="56" t="s">
        <v>1021</v>
      </c>
      <c r="C215" s="55" t="s">
        <v>885</v>
      </c>
      <c r="D215" s="56" t="s">
        <v>224</v>
      </c>
      <c r="E215" s="56">
        <v>1</v>
      </c>
      <c r="F215" s="60" t="s">
        <v>33</v>
      </c>
    </row>
    <row r="216" spans="1:6" ht="15" customHeight="1">
      <c r="A216" s="55" t="s">
        <v>619</v>
      </c>
      <c r="B216" s="56" t="s">
        <v>1023</v>
      </c>
      <c r="C216" s="55" t="s">
        <v>619</v>
      </c>
      <c r="D216" s="56" t="s">
        <v>454</v>
      </c>
      <c r="E216" s="56">
        <v>5</v>
      </c>
      <c r="F216" s="60" t="s">
        <v>33</v>
      </c>
    </row>
    <row r="217" spans="1:6" ht="15" customHeight="1">
      <c r="A217" s="55" t="s">
        <v>619</v>
      </c>
      <c r="B217" s="56" t="s">
        <v>1023</v>
      </c>
      <c r="C217" s="55" t="s">
        <v>619</v>
      </c>
      <c r="D217" s="56" t="s">
        <v>519</v>
      </c>
      <c r="E217" s="56">
        <v>1</v>
      </c>
      <c r="F217" s="60" t="s">
        <v>33</v>
      </c>
    </row>
    <row r="218" spans="1:6" ht="15" customHeight="1">
      <c r="A218" s="55" t="s">
        <v>619</v>
      </c>
      <c r="B218" s="56" t="s">
        <v>1023</v>
      </c>
      <c r="C218" s="55" t="s">
        <v>334</v>
      </c>
      <c r="D218" s="56" t="s">
        <v>519</v>
      </c>
      <c r="E218" s="56">
        <v>1</v>
      </c>
      <c r="F218" s="60" t="s">
        <v>33</v>
      </c>
    </row>
    <row r="219" spans="1:6" ht="15" customHeight="1">
      <c r="A219" s="55" t="s">
        <v>619</v>
      </c>
      <c r="B219" s="56" t="s">
        <v>1023</v>
      </c>
      <c r="C219" s="55" t="s">
        <v>949</v>
      </c>
      <c r="D219" s="56" t="s">
        <v>519</v>
      </c>
      <c r="E219" s="56">
        <v>1</v>
      </c>
      <c r="F219" s="60" t="s">
        <v>33</v>
      </c>
    </row>
    <row r="220" spans="1:6" ht="15" customHeight="1">
      <c r="A220" s="55" t="s">
        <v>619</v>
      </c>
      <c r="B220" s="56" t="s">
        <v>1023</v>
      </c>
      <c r="C220" s="55" t="s">
        <v>949</v>
      </c>
      <c r="D220" s="56" t="s">
        <v>519</v>
      </c>
      <c r="E220" s="56">
        <v>1</v>
      </c>
      <c r="F220" s="60" t="s">
        <v>33</v>
      </c>
    </row>
    <row r="221" spans="1:6" ht="15" customHeight="1">
      <c r="A221" s="55" t="s">
        <v>619</v>
      </c>
      <c r="B221" s="56" t="s">
        <v>1009</v>
      </c>
      <c r="C221" s="55" t="s">
        <v>577</v>
      </c>
      <c r="D221" s="56" t="s">
        <v>804</v>
      </c>
      <c r="E221" s="56">
        <v>1</v>
      </c>
      <c r="F221" s="60" t="s">
        <v>33</v>
      </c>
    </row>
    <row r="222" spans="1:6" ht="15" customHeight="1">
      <c r="A222" s="55" t="s">
        <v>619</v>
      </c>
      <c r="B222" s="56" t="s">
        <v>1009</v>
      </c>
      <c r="C222" s="55" t="s">
        <v>937</v>
      </c>
      <c r="D222" s="56" t="s">
        <v>804</v>
      </c>
      <c r="E222" s="56">
        <v>1</v>
      </c>
      <c r="F222" s="60" t="s">
        <v>33</v>
      </c>
    </row>
    <row r="223" spans="1:6" ht="15" customHeight="1">
      <c r="A223" s="55" t="s">
        <v>619</v>
      </c>
      <c r="B223" s="56" t="s">
        <v>1009</v>
      </c>
      <c r="C223" s="55" t="s">
        <v>619</v>
      </c>
      <c r="D223" s="56" t="s">
        <v>804</v>
      </c>
      <c r="E223" s="56">
        <v>1</v>
      </c>
      <c r="F223" s="60" t="s">
        <v>33</v>
      </c>
    </row>
    <row r="224" spans="1:6" ht="15" customHeight="1">
      <c r="A224" s="55" t="s">
        <v>619</v>
      </c>
      <c r="B224" s="56" t="s">
        <v>1009</v>
      </c>
      <c r="C224" s="55" t="s">
        <v>944</v>
      </c>
      <c r="D224" s="56" t="s">
        <v>804</v>
      </c>
      <c r="E224" s="56">
        <v>1</v>
      </c>
      <c r="F224" s="60" t="s">
        <v>33</v>
      </c>
    </row>
    <row r="225" spans="1:6" ht="15" customHeight="1">
      <c r="A225" s="55" t="s">
        <v>619</v>
      </c>
      <c r="B225" s="56" t="s">
        <v>1010</v>
      </c>
      <c r="C225" s="55" t="s">
        <v>619</v>
      </c>
      <c r="D225" s="56" t="s">
        <v>1033</v>
      </c>
      <c r="E225" s="56">
        <v>4</v>
      </c>
      <c r="F225" s="60" t="s">
        <v>33</v>
      </c>
    </row>
    <row r="226" spans="1:6" ht="15" customHeight="1">
      <c r="A226" s="55" t="s">
        <v>619</v>
      </c>
      <c r="B226" s="56" t="s">
        <v>1010</v>
      </c>
      <c r="C226" s="55" t="s">
        <v>577</v>
      </c>
      <c r="D226" s="56" t="s">
        <v>254</v>
      </c>
      <c r="E226" s="56">
        <v>1</v>
      </c>
      <c r="F226" s="60" t="s">
        <v>33</v>
      </c>
    </row>
    <row r="227" spans="1:6" ht="15" customHeight="1">
      <c r="A227" s="55" t="s">
        <v>619</v>
      </c>
      <c r="B227" s="56" t="s">
        <v>1010</v>
      </c>
      <c r="C227" s="55" t="s">
        <v>650</v>
      </c>
      <c r="D227" s="56" t="s">
        <v>254</v>
      </c>
      <c r="E227" s="56">
        <v>1</v>
      </c>
      <c r="F227" s="60" t="s">
        <v>33</v>
      </c>
    </row>
    <row r="228" spans="1:6" ht="15" customHeight="1">
      <c r="A228" s="55" t="s">
        <v>619</v>
      </c>
      <c r="B228" s="56" t="s">
        <v>1011</v>
      </c>
      <c r="C228" s="55" t="s">
        <v>577</v>
      </c>
      <c r="D228" s="56" t="s">
        <v>1012</v>
      </c>
      <c r="E228" s="56">
        <v>1</v>
      </c>
      <c r="F228" s="60" t="s">
        <v>33</v>
      </c>
    </row>
    <row r="229" spans="1:6" ht="15" customHeight="1">
      <c r="A229" s="55" t="s">
        <v>619</v>
      </c>
      <c r="B229" s="56" t="s">
        <v>1014</v>
      </c>
      <c r="C229" s="55" t="s">
        <v>960</v>
      </c>
      <c r="D229" s="56" t="s">
        <v>1015</v>
      </c>
      <c r="E229" s="56">
        <v>1</v>
      </c>
      <c r="F229" s="60" t="s">
        <v>33</v>
      </c>
    </row>
    <row r="230" spans="1:6" ht="15" customHeight="1">
      <c r="A230" s="55" t="s">
        <v>619</v>
      </c>
      <c r="B230" s="56" t="s">
        <v>1014</v>
      </c>
      <c r="C230" s="55" t="s">
        <v>618</v>
      </c>
      <c r="D230" s="56" t="s">
        <v>1016</v>
      </c>
      <c r="E230" s="56">
        <v>2</v>
      </c>
      <c r="F230" s="60" t="s">
        <v>33</v>
      </c>
    </row>
    <row r="231" spans="1:6" ht="15" customHeight="1">
      <c r="A231" s="55" t="s">
        <v>619</v>
      </c>
      <c r="B231" s="56" t="s">
        <v>1014</v>
      </c>
      <c r="C231" s="55" t="s">
        <v>965</v>
      </c>
      <c r="D231" s="56" t="s">
        <v>1015</v>
      </c>
      <c r="E231" s="56">
        <v>1</v>
      </c>
      <c r="F231" s="60" t="s">
        <v>33</v>
      </c>
    </row>
    <row r="232" spans="1:6" ht="15" customHeight="1">
      <c r="A232" s="55" t="s">
        <v>619</v>
      </c>
      <c r="B232" s="56" t="s">
        <v>1014</v>
      </c>
      <c r="C232" s="55" t="s">
        <v>408</v>
      </c>
      <c r="D232" s="56" t="s">
        <v>1015</v>
      </c>
      <c r="E232" s="56">
        <v>1</v>
      </c>
      <c r="F232" s="60" t="s">
        <v>33</v>
      </c>
    </row>
    <row r="233" spans="1:6" ht="15" customHeight="1">
      <c r="A233" s="55" t="s">
        <v>619</v>
      </c>
      <c r="B233" s="56" t="s">
        <v>1014</v>
      </c>
      <c r="C233" s="55" t="s">
        <v>969</v>
      </c>
      <c r="D233" s="56" t="s">
        <v>1015</v>
      </c>
      <c r="E233" s="56">
        <v>1</v>
      </c>
      <c r="F233" s="60" t="s">
        <v>33</v>
      </c>
    </row>
    <row r="234" spans="1:6" ht="15" customHeight="1">
      <c r="A234" s="55" t="s">
        <v>1034</v>
      </c>
      <c r="B234" s="56" t="s">
        <v>980</v>
      </c>
      <c r="C234" s="55" t="s">
        <v>375</v>
      </c>
      <c r="D234" s="56" t="s">
        <v>981</v>
      </c>
      <c r="E234" s="56">
        <v>1</v>
      </c>
      <c r="F234" s="57" t="s">
        <v>42</v>
      </c>
    </row>
    <row r="235" spans="1:6" ht="15" customHeight="1">
      <c r="A235" s="55" t="s">
        <v>1034</v>
      </c>
      <c r="B235" s="56" t="s">
        <v>987</v>
      </c>
      <c r="C235" s="55" t="s">
        <v>875</v>
      </c>
      <c r="D235" s="56" t="s">
        <v>255</v>
      </c>
      <c r="E235" s="56">
        <v>1</v>
      </c>
      <c r="F235" s="57" t="s">
        <v>42</v>
      </c>
    </row>
    <row r="236" spans="1:6" ht="15" customHeight="1">
      <c r="A236" s="55" t="s">
        <v>1034</v>
      </c>
      <c r="B236" s="56" t="s">
        <v>990</v>
      </c>
      <c r="C236" s="55" t="s">
        <v>128</v>
      </c>
      <c r="D236" s="56" t="s">
        <v>534</v>
      </c>
      <c r="E236" s="56">
        <v>1</v>
      </c>
      <c r="F236" s="57" t="s">
        <v>42</v>
      </c>
    </row>
    <row r="237" spans="1:6" ht="15" customHeight="1">
      <c r="A237" s="55" t="s">
        <v>1034</v>
      </c>
      <c r="B237" s="56" t="s">
        <v>1001</v>
      </c>
      <c r="C237" s="55" t="s">
        <v>837</v>
      </c>
      <c r="D237" s="56" t="s">
        <v>249</v>
      </c>
      <c r="E237" s="56">
        <v>1</v>
      </c>
      <c r="F237" s="57" t="s">
        <v>42</v>
      </c>
    </row>
    <row r="238" spans="1:6" ht="15" customHeight="1">
      <c r="A238" s="55" t="s">
        <v>1034</v>
      </c>
      <c r="B238" s="56" t="s">
        <v>1006</v>
      </c>
      <c r="C238" s="55" t="s">
        <v>134</v>
      </c>
      <c r="D238" s="56" t="s">
        <v>532</v>
      </c>
      <c r="E238" s="56">
        <v>1</v>
      </c>
      <c r="F238" s="57" t="s">
        <v>42</v>
      </c>
    </row>
    <row r="239" spans="1:6" ht="15" customHeight="1">
      <c r="A239" s="55" t="s">
        <v>1034</v>
      </c>
      <c r="B239" s="56" t="s">
        <v>1006</v>
      </c>
      <c r="C239" s="55" t="s">
        <v>339</v>
      </c>
      <c r="D239" s="56" t="s">
        <v>532</v>
      </c>
      <c r="E239" s="56">
        <v>1</v>
      </c>
      <c r="F239" s="57" t="s">
        <v>42</v>
      </c>
    </row>
    <row r="240" spans="1:6" ht="15" customHeight="1">
      <c r="A240" s="55" t="s">
        <v>1034</v>
      </c>
      <c r="B240" s="56" t="s">
        <v>1023</v>
      </c>
      <c r="C240" s="55" t="s">
        <v>128</v>
      </c>
      <c r="D240" s="56" t="s">
        <v>519</v>
      </c>
      <c r="E240" s="56">
        <v>1</v>
      </c>
      <c r="F240" s="57" t="s">
        <v>42</v>
      </c>
    </row>
    <row r="241" spans="1:6" ht="15" customHeight="1">
      <c r="A241" s="55" t="s">
        <v>1034</v>
      </c>
      <c r="B241" s="56" t="s">
        <v>1013</v>
      </c>
      <c r="C241" s="55" t="s">
        <v>128</v>
      </c>
      <c r="D241" s="56" t="s">
        <v>233</v>
      </c>
      <c r="E241" s="56">
        <v>1</v>
      </c>
      <c r="F241" s="57" t="s">
        <v>42</v>
      </c>
    </row>
    <row r="242" spans="1:6" ht="15" customHeight="1">
      <c r="A242" s="55" t="s">
        <v>1034</v>
      </c>
      <c r="B242" s="56" t="s">
        <v>1014</v>
      </c>
      <c r="C242" s="55" t="s">
        <v>955</v>
      </c>
      <c r="D242" s="56" t="s">
        <v>1015</v>
      </c>
      <c r="E242" s="56">
        <v>1</v>
      </c>
      <c r="F242" s="57" t="s">
        <v>42</v>
      </c>
    </row>
    <row r="243" spans="1:6" ht="15" customHeight="1">
      <c r="A243" s="55" t="s">
        <v>1034</v>
      </c>
      <c r="B243" s="56" t="s">
        <v>1014</v>
      </c>
      <c r="C243" s="55" t="s">
        <v>133</v>
      </c>
      <c r="D243" s="56" t="s">
        <v>1015</v>
      </c>
      <c r="E243" s="56">
        <v>1</v>
      </c>
      <c r="F243" s="57" t="s">
        <v>42</v>
      </c>
    </row>
    <row r="244" spans="1:6" ht="15" customHeight="1">
      <c r="A244" s="55" t="s">
        <v>1034</v>
      </c>
      <c r="B244" s="56" t="s">
        <v>1014</v>
      </c>
      <c r="C244" s="55" t="s">
        <v>128</v>
      </c>
      <c r="D244" s="56" t="s">
        <v>1015</v>
      </c>
      <c r="E244" s="56">
        <v>1</v>
      </c>
      <c r="F244" s="57" t="s">
        <v>42</v>
      </c>
    </row>
    <row r="245" spans="1:6" ht="15" customHeight="1">
      <c r="A245" s="55" t="s">
        <v>1034</v>
      </c>
      <c r="B245" s="56" t="s">
        <v>1018</v>
      </c>
      <c r="C245" s="55" t="s">
        <v>849</v>
      </c>
      <c r="D245" s="56" t="s">
        <v>233</v>
      </c>
      <c r="E245" s="56">
        <v>1</v>
      </c>
      <c r="F245" s="57" t="s">
        <v>42</v>
      </c>
    </row>
    <row r="246" spans="1:6" ht="15" customHeight="1">
      <c r="A246" s="55" t="s">
        <v>1034</v>
      </c>
      <c r="B246" s="56" t="s">
        <v>1018</v>
      </c>
      <c r="C246" s="55" t="s">
        <v>863</v>
      </c>
      <c r="D246" s="56" t="s">
        <v>233</v>
      </c>
      <c r="E246" s="56">
        <v>1</v>
      </c>
      <c r="F246" s="57" t="s">
        <v>42</v>
      </c>
    </row>
    <row r="247" spans="1:6" ht="15" customHeight="1">
      <c r="A247" s="55" t="s">
        <v>1034</v>
      </c>
      <c r="B247" s="56" t="s">
        <v>1018</v>
      </c>
      <c r="C247" s="55" t="s">
        <v>864</v>
      </c>
      <c r="D247" s="56" t="s">
        <v>233</v>
      </c>
      <c r="E247" s="56">
        <v>1</v>
      </c>
      <c r="F247" s="57" t="s">
        <v>42</v>
      </c>
    </row>
    <row r="248" spans="1:6" ht="15" customHeight="1">
      <c r="A248" s="55" t="s">
        <v>1034</v>
      </c>
      <c r="B248" s="56" t="s">
        <v>1021</v>
      </c>
      <c r="C248" s="55" t="s">
        <v>128</v>
      </c>
      <c r="D248" s="56" t="s">
        <v>224</v>
      </c>
      <c r="E248" s="56">
        <v>1</v>
      </c>
      <c r="F248" s="57" t="s">
        <v>42</v>
      </c>
    </row>
    <row r="249" spans="1:6" ht="15" customHeight="1">
      <c r="A249" s="55" t="s">
        <v>1034</v>
      </c>
      <c r="B249" s="56" t="s">
        <v>1024</v>
      </c>
      <c r="C249" s="55" t="s">
        <v>128</v>
      </c>
      <c r="D249" s="56" t="s">
        <v>214</v>
      </c>
      <c r="E249" s="56">
        <v>1</v>
      </c>
      <c r="F249" s="57" t="s">
        <v>42</v>
      </c>
    </row>
    <row r="250" spans="1:6" ht="15" customHeight="1">
      <c r="A250" s="55" t="s">
        <v>1034</v>
      </c>
      <c r="B250" s="56" t="s">
        <v>1024</v>
      </c>
      <c r="C250" s="55" t="s">
        <v>893</v>
      </c>
      <c r="D250" s="56" t="s">
        <v>214</v>
      </c>
      <c r="E250" s="56">
        <v>1</v>
      </c>
      <c r="F250" s="57" t="s">
        <v>42</v>
      </c>
    </row>
    <row r="251" spans="1:6" ht="15" customHeight="1">
      <c r="A251" s="55" t="s">
        <v>612</v>
      </c>
      <c r="B251" s="56" t="s">
        <v>987</v>
      </c>
      <c r="C251" s="55" t="s">
        <v>612</v>
      </c>
      <c r="D251" s="56" t="s">
        <v>1035</v>
      </c>
      <c r="E251" s="56">
        <v>4</v>
      </c>
      <c r="F251" s="60" t="s">
        <v>33</v>
      </c>
    </row>
    <row r="252" spans="1:6" ht="15" customHeight="1">
      <c r="A252" s="55" t="s">
        <v>612</v>
      </c>
      <c r="B252" s="56" t="s">
        <v>988</v>
      </c>
      <c r="C252" s="55" t="s">
        <v>612</v>
      </c>
      <c r="D252" s="56" t="s">
        <v>218</v>
      </c>
      <c r="E252" s="56">
        <v>1</v>
      </c>
      <c r="F252" s="60" t="s">
        <v>33</v>
      </c>
    </row>
    <row r="253" spans="1:6" ht="15" customHeight="1">
      <c r="A253" s="55" t="s">
        <v>612</v>
      </c>
      <c r="B253" s="56" t="s">
        <v>1001</v>
      </c>
      <c r="C253" s="55" t="s">
        <v>572</v>
      </c>
      <c r="D253" s="56" t="s">
        <v>249</v>
      </c>
      <c r="E253" s="56">
        <v>1</v>
      </c>
      <c r="F253" s="60" t="s">
        <v>33</v>
      </c>
    </row>
    <row r="254" spans="1:6" ht="15" customHeight="1">
      <c r="A254" s="55" t="s">
        <v>612</v>
      </c>
      <c r="B254" s="56" t="s">
        <v>1013</v>
      </c>
      <c r="C254" s="55" t="s">
        <v>612</v>
      </c>
      <c r="D254" s="56" t="s">
        <v>233</v>
      </c>
      <c r="E254" s="56">
        <v>1</v>
      </c>
      <c r="F254" s="60" t="s">
        <v>33</v>
      </c>
    </row>
    <row r="255" spans="1:6" ht="15" customHeight="1">
      <c r="A255" s="55" t="s">
        <v>612</v>
      </c>
      <c r="B255" s="56" t="s">
        <v>1028</v>
      </c>
      <c r="C255" s="55" t="s">
        <v>612</v>
      </c>
      <c r="D255" s="56" t="s">
        <v>500</v>
      </c>
      <c r="E255" s="56">
        <v>1</v>
      </c>
      <c r="F255" s="60" t="s">
        <v>33</v>
      </c>
    </row>
    <row r="256" spans="1:6" ht="15" customHeight="1">
      <c r="A256" s="55" t="s">
        <v>612</v>
      </c>
      <c r="B256" s="56" t="s">
        <v>1017</v>
      </c>
      <c r="C256" s="55" t="s">
        <v>612</v>
      </c>
      <c r="D256" s="56" t="s">
        <v>490</v>
      </c>
      <c r="E256" s="56">
        <v>2</v>
      </c>
      <c r="F256" s="60" t="s">
        <v>33</v>
      </c>
    </row>
    <row r="257" spans="1:6" ht="15" customHeight="1">
      <c r="A257" s="55" t="s">
        <v>612</v>
      </c>
      <c r="B257" s="56" t="s">
        <v>1019</v>
      </c>
      <c r="C257" s="55" t="s">
        <v>612</v>
      </c>
      <c r="D257" s="56" t="s">
        <v>502</v>
      </c>
      <c r="E257" s="56">
        <v>1</v>
      </c>
      <c r="F257" s="60" t="s">
        <v>33</v>
      </c>
    </row>
    <row r="258" spans="1:6" ht="15" customHeight="1">
      <c r="A258" s="55" t="s">
        <v>612</v>
      </c>
      <c r="B258" s="56" t="s">
        <v>1021</v>
      </c>
      <c r="C258" s="55" t="s">
        <v>612</v>
      </c>
      <c r="D258" s="56" t="s">
        <v>224</v>
      </c>
      <c r="E258" s="56">
        <v>1</v>
      </c>
      <c r="F258" s="60" t="s">
        <v>33</v>
      </c>
    </row>
    <row r="259" spans="1:6" ht="15" customHeight="1">
      <c r="A259" s="55" t="s">
        <v>612</v>
      </c>
      <c r="B259" s="56" t="s">
        <v>1024</v>
      </c>
      <c r="C259" s="55" t="s">
        <v>612</v>
      </c>
      <c r="D259" s="56" t="s">
        <v>214</v>
      </c>
      <c r="E259" s="56">
        <v>1</v>
      </c>
      <c r="F259" s="60" t="s">
        <v>33</v>
      </c>
    </row>
    <row r="260" spans="1:6" ht="15" customHeight="1">
      <c r="A260" s="55" t="s">
        <v>1036</v>
      </c>
      <c r="B260" s="56" t="s">
        <v>985</v>
      </c>
      <c r="C260" s="55" t="s">
        <v>887</v>
      </c>
      <c r="D260" s="56" t="s">
        <v>1022</v>
      </c>
      <c r="E260" s="56">
        <v>1</v>
      </c>
      <c r="F260" s="57" t="s">
        <v>42</v>
      </c>
    </row>
    <row r="261" spans="1:6" ht="15" customHeight="1">
      <c r="A261" s="55" t="s">
        <v>1036</v>
      </c>
      <c r="B261" s="56" t="s">
        <v>989</v>
      </c>
      <c r="C261" s="55" t="s">
        <v>841</v>
      </c>
      <c r="D261" s="56" t="s">
        <v>519</v>
      </c>
      <c r="E261" s="56">
        <v>1</v>
      </c>
      <c r="F261" s="57" t="s">
        <v>42</v>
      </c>
    </row>
    <row r="262" spans="1:6" ht="15" customHeight="1">
      <c r="A262" s="55" t="s">
        <v>1036</v>
      </c>
      <c r="B262" s="56" t="s">
        <v>998</v>
      </c>
      <c r="C262" s="55" t="s">
        <v>907</v>
      </c>
      <c r="D262" s="56" t="s">
        <v>1000</v>
      </c>
      <c r="E262" s="56">
        <v>1</v>
      </c>
      <c r="F262" s="61"/>
    </row>
    <row r="263" spans="1:6" ht="15" customHeight="1">
      <c r="A263" s="55" t="s">
        <v>1036</v>
      </c>
      <c r="B263" s="56" t="s">
        <v>1002</v>
      </c>
      <c r="C263" s="55" t="s">
        <v>908</v>
      </c>
      <c r="D263" s="56" t="s">
        <v>276</v>
      </c>
      <c r="E263" s="56">
        <v>1</v>
      </c>
      <c r="F263" s="57" t="s">
        <v>42</v>
      </c>
    </row>
    <row r="264" spans="1:6" ht="15" customHeight="1">
      <c r="A264" s="55" t="s">
        <v>1036</v>
      </c>
      <c r="B264" s="56" t="s">
        <v>1005</v>
      </c>
      <c r="C264" s="55" t="s">
        <v>930</v>
      </c>
      <c r="D264" s="56" t="s">
        <v>229</v>
      </c>
      <c r="E264" s="56">
        <v>1</v>
      </c>
      <c r="F264" s="58" t="s">
        <v>37</v>
      </c>
    </row>
    <row r="265" spans="1:6" ht="15" customHeight="1">
      <c r="A265" s="55" t="s">
        <v>1036</v>
      </c>
      <c r="B265" s="56" t="s">
        <v>1005</v>
      </c>
      <c r="C265" s="55" t="s">
        <v>934</v>
      </c>
      <c r="D265" s="56" t="s">
        <v>229</v>
      </c>
      <c r="E265" s="56">
        <v>1</v>
      </c>
      <c r="F265" s="57" t="s">
        <v>42</v>
      </c>
    </row>
    <row r="266" spans="1:6" ht="15" customHeight="1">
      <c r="A266" s="55" t="s">
        <v>1036</v>
      </c>
      <c r="B266" s="56" t="s">
        <v>1007</v>
      </c>
      <c r="C266" s="55" t="s">
        <v>931</v>
      </c>
      <c r="D266" s="56" t="s">
        <v>1008</v>
      </c>
      <c r="E266" s="56">
        <v>1</v>
      </c>
      <c r="F266" s="57" t="s">
        <v>42</v>
      </c>
    </row>
    <row r="267" spans="1:6" ht="15" customHeight="1">
      <c r="A267" s="55" t="s">
        <v>1036</v>
      </c>
      <c r="B267" s="56" t="s">
        <v>1013</v>
      </c>
      <c r="C267" s="55" t="s">
        <v>824</v>
      </c>
      <c r="D267" s="56" t="s">
        <v>233</v>
      </c>
      <c r="E267" s="56">
        <v>1</v>
      </c>
      <c r="F267" s="58" t="s">
        <v>37</v>
      </c>
    </row>
    <row r="268" spans="1:6" ht="15" customHeight="1">
      <c r="A268" s="55" t="s">
        <v>1036</v>
      </c>
      <c r="B268" s="56" t="s">
        <v>1017</v>
      </c>
      <c r="C268" s="55" t="s">
        <v>825</v>
      </c>
      <c r="D268" s="56" t="s">
        <v>1008</v>
      </c>
      <c r="E268" s="56">
        <v>1</v>
      </c>
      <c r="F268" s="57" t="s">
        <v>42</v>
      </c>
    </row>
    <row r="269" spans="1:6" ht="15" customHeight="1">
      <c r="A269" s="55" t="s">
        <v>1036</v>
      </c>
      <c r="B269" s="56" t="s">
        <v>1018</v>
      </c>
      <c r="C269" s="55" t="s">
        <v>826</v>
      </c>
      <c r="D269" s="56" t="s">
        <v>233</v>
      </c>
      <c r="E269" s="56">
        <v>1</v>
      </c>
      <c r="F269" s="58" t="s">
        <v>37</v>
      </c>
    </row>
    <row r="270" spans="1:6" ht="15" customHeight="1">
      <c r="A270" s="55" t="s">
        <v>1036</v>
      </c>
      <c r="B270" s="56" t="s">
        <v>1018</v>
      </c>
      <c r="C270" s="55" t="s">
        <v>828</v>
      </c>
      <c r="D270" s="56" t="s">
        <v>233</v>
      </c>
      <c r="E270" s="56">
        <v>1</v>
      </c>
      <c r="F270" s="57" t="s">
        <v>42</v>
      </c>
    </row>
    <row r="271" spans="1:6" ht="15" customHeight="1">
      <c r="A271" s="55" t="s">
        <v>1036</v>
      </c>
      <c r="B271" s="56" t="s">
        <v>1020</v>
      </c>
      <c r="C271" s="55" t="s">
        <v>841</v>
      </c>
      <c r="D271" s="56" t="s">
        <v>256</v>
      </c>
      <c r="E271" s="56">
        <v>1</v>
      </c>
      <c r="F271" s="57" t="s">
        <v>42</v>
      </c>
    </row>
    <row r="272" spans="1:6" ht="15" customHeight="1">
      <c r="A272" s="55" t="s">
        <v>1037</v>
      </c>
      <c r="B272" s="56" t="s">
        <v>989</v>
      </c>
      <c r="C272" s="55" t="s">
        <v>903</v>
      </c>
      <c r="D272" s="56" t="s">
        <v>519</v>
      </c>
      <c r="E272" s="56">
        <v>1</v>
      </c>
      <c r="F272" s="58" t="s">
        <v>37</v>
      </c>
    </row>
    <row r="273" spans="1:6" ht="15" customHeight="1">
      <c r="A273" s="55" t="s">
        <v>1037</v>
      </c>
      <c r="B273" s="56" t="s">
        <v>990</v>
      </c>
      <c r="C273" s="55" t="s">
        <v>904</v>
      </c>
      <c r="D273" s="56" t="s">
        <v>534</v>
      </c>
      <c r="E273" s="56">
        <v>1</v>
      </c>
      <c r="F273" s="57" t="s">
        <v>42</v>
      </c>
    </row>
    <row r="274" spans="1:6" ht="15" customHeight="1">
      <c r="A274" s="55" t="s">
        <v>1037</v>
      </c>
      <c r="B274" s="56" t="s">
        <v>990</v>
      </c>
      <c r="C274" s="55" t="s">
        <v>919</v>
      </c>
      <c r="D274" s="56" t="s">
        <v>534</v>
      </c>
      <c r="E274" s="56">
        <v>1</v>
      </c>
      <c r="F274" s="57" t="s">
        <v>42</v>
      </c>
    </row>
    <row r="275" spans="1:6" ht="15" customHeight="1">
      <c r="A275" s="55" t="s">
        <v>1037</v>
      </c>
      <c r="B275" s="56" t="s">
        <v>995</v>
      </c>
      <c r="C275" s="55" t="s">
        <v>917</v>
      </c>
      <c r="D275" s="56" t="s">
        <v>997</v>
      </c>
      <c r="E275" s="56">
        <v>1</v>
      </c>
      <c r="F275" s="57" t="s">
        <v>42</v>
      </c>
    </row>
    <row r="276" spans="1:6" ht="15" customHeight="1">
      <c r="A276" s="55" t="s">
        <v>1037</v>
      </c>
      <c r="B276" s="56" t="s">
        <v>1005</v>
      </c>
      <c r="C276" s="55" t="s">
        <v>939</v>
      </c>
      <c r="D276" s="56" t="s">
        <v>229</v>
      </c>
      <c r="E276" s="56">
        <v>1</v>
      </c>
      <c r="F276" s="57" t="s">
        <v>42</v>
      </c>
    </row>
    <row r="277" spans="1:6" ht="15" customHeight="1">
      <c r="A277" s="55" t="s">
        <v>1037</v>
      </c>
      <c r="B277" s="56" t="s">
        <v>1009</v>
      </c>
      <c r="C277" s="55" t="s">
        <v>942</v>
      </c>
      <c r="D277" s="56" t="s">
        <v>804</v>
      </c>
      <c r="E277" s="56">
        <v>1</v>
      </c>
      <c r="F277" s="57" t="s">
        <v>42</v>
      </c>
    </row>
    <row r="278" spans="1:6" ht="15" customHeight="1">
      <c r="A278" s="55" t="s">
        <v>1037</v>
      </c>
      <c r="B278" s="56" t="s">
        <v>1011</v>
      </c>
      <c r="C278" s="55" t="s">
        <v>963</v>
      </c>
      <c r="D278" s="56" t="s">
        <v>1012</v>
      </c>
      <c r="E278" s="56">
        <v>1</v>
      </c>
      <c r="F278" s="57" t="s">
        <v>42</v>
      </c>
    </row>
    <row r="279" spans="1:6" ht="15" customHeight="1">
      <c r="A279" s="55" t="s">
        <v>1037</v>
      </c>
      <c r="B279" s="56" t="s">
        <v>1028</v>
      </c>
      <c r="C279" s="55" t="s">
        <v>847</v>
      </c>
      <c r="D279" s="56" t="s">
        <v>500</v>
      </c>
      <c r="E279" s="56">
        <v>1</v>
      </c>
      <c r="F279" s="57" t="s">
        <v>42</v>
      </c>
    </row>
    <row r="280" spans="1:6" ht="15" customHeight="1">
      <c r="A280" s="55" t="s">
        <v>1037</v>
      </c>
      <c r="B280" s="56" t="s">
        <v>1017</v>
      </c>
      <c r="C280" s="55" t="s">
        <v>834</v>
      </c>
      <c r="D280" s="56" t="s">
        <v>1008</v>
      </c>
      <c r="E280" s="56">
        <v>1</v>
      </c>
      <c r="F280" s="57" t="s">
        <v>42</v>
      </c>
    </row>
    <row r="281" spans="1:6" ht="15" customHeight="1">
      <c r="A281" s="55" t="s">
        <v>1037</v>
      </c>
      <c r="B281" s="56" t="s">
        <v>1017</v>
      </c>
      <c r="C281" s="55" t="s">
        <v>838</v>
      </c>
      <c r="D281" s="56" t="s">
        <v>1008</v>
      </c>
      <c r="E281" s="56">
        <v>1</v>
      </c>
      <c r="F281" s="58" t="s">
        <v>37</v>
      </c>
    </row>
    <row r="282" spans="1:6" ht="15" customHeight="1">
      <c r="A282" s="55" t="s">
        <v>1037</v>
      </c>
      <c r="B282" s="56" t="s">
        <v>1018</v>
      </c>
      <c r="C282" s="55" t="s">
        <v>839</v>
      </c>
      <c r="D282" s="56" t="s">
        <v>233</v>
      </c>
      <c r="E282" s="56">
        <v>1</v>
      </c>
      <c r="F282" s="57" t="s">
        <v>42</v>
      </c>
    </row>
    <row r="283" spans="1:6" ht="15" customHeight="1">
      <c r="A283" s="55" t="s">
        <v>1037</v>
      </c>
      <c r="B283" s="56" t="s">
        <v>1018</v>
      </c>
      <c r="C283" s="55" t="s">
        <v>861</v>
      </c>
      <c r="D283" s="56" t="s">
        <v>233</v>
      </c>
      <c r="E283" s="56">
        <v>1</v>
      </c>
      <c r="F283" s="58" t="s">
        <v>37</v>
      </c>
    </row>
    <row r="284" spans="1:6" ht="15" customHeight="1">
      <c r="A284" s="55" t="s">
        <v>1038</v>
      </c>
      <c r="B284" s="56" t="s">
        <v>983</v>
      </c>
      <c r="C284" s="55" t="s">
        <v>883</v>
      </c>
      <c r="D284" s="56" t="s">
        <v>810</v>
      </c>
      <c r="E284" s="56">
        <v>1</v>
      </c>
      <c r="F284" s="60" t="s">
        <v>33</v>
      </c>
    </row>
    <row r="285" spans="1:6" ht="15" customHeight="1">
      <c r="A285" s="55" t="s">
        <v>1038</v>
      </c>
      <c r="B285" s="56" t="s">
        <v>990</v>
      </c>
      <c r="C285" s="55" t="s">
        <v>914</v>
      </c>
      <c r="D285" s="56" t="s">
        <v>534</v>
      </c>
      <c r="E285" s="56">
        <v>1</v>
      </c>
      <c r="F285" s="60" t="s">
        <v>33</v>
      </c>
    </row>
    <row r="286" spans="1:6" ht="15" customHeight="1">
      <c r="A286" s="55" t="s">
        <v>1038</v>
      </c>
      <c r="B286" s="56" t="s">
        <v>1001</v>
      </c>
      <c r="C286" s="55" t="s">
        <v>151</v>
      </c>
      <c r="D286" s="56" t="s">
        <v>249</v>
      </c>
      <c r="E286" s="56">
        <v>1</v>
      </c>
      <c r="F286" s="60" t="s">
        <v>33</v>
      </c>
    </row>
    <row r="287" spans="1:6" ht="15" customHeight="1">
      <c r="A287" s="55" t="s">
        <v>1038</v>
      </c>
      <c r="B287" s="56" t="s">
        <v>1002</v>
      </c>
      <c r="C287" s="55" t="s">
        <v>897</v>
      </c>
      <c r="D287" s="56" t="s">
        <v>276</v>
      </c>
      <c r="E287" s="56">
        <v>1</v>
      </c>
      <c r="F287" s="60" t="s">
        <v>33</v>
      </c>
    </row>
    <row r="288" spans="1:6" ht="15" customHeight="1">
      <c r="A288" s="55" t="s">
        <v>1038</v>
      </c>
      <c r="B288" s="56" t="s">
        <v>1005</v>
      </c>
      <c r="C288" s="55" t="s">
        <v>947</v>
      </c>
      <c r="D288" s="56" t="s">
        <v>229</v>
      </c>
      <c r="E288" s="56">
        <v>1</v>
      </c>
      <c r="F288" s="60" t="s">
        <v>33</v>
      </c>
    </row>
    <row r="289" spans="1:6" ht="15" customHeight="1">
      <c r="A289" s="55" t="s">
        <v>1038</v>
      </c>
      <c r="B289" s="56" t="s">
        <v>1006</v>
      </c>
      <c r="C289" s="55" t="s">
        <v>835</v>
      </c>
      <c r="D289" s="56" t="s">
        <v>532</v>
      </c>
      <c r="E289" s="56">
        <v>1</v>
      </c>
      <c r="F289" s="60" t="s">
        <v>33</v>
      </c>
    </row>
    <row r="290" spans="1:6" ht="15" customHeight="1">
      <c r="A290" s="55" t="s">
        <v>1038</v>
      </c>
      <c r="B290" s="56" t="s">
        <v>1011</v>
      </c>
      <c r="C290" s="55" t="s">
        <v>914</v>
      </c>
      <c r="D290" s="56" t="s">
        <v>1012</v>
      </c>
      <c r="E290" s="56">
        <v>1</v>
      </c>
      <c r="F290" s="60" t="s">
        <v>33</v>
      </c>
    </row>
    <row r="291" spans="1:6" ht="15" customHeight="1">
      <c r="A291" s="55" t="s">
        <v>1038</v>
      </c>
      <c r="B291" s="56" t="s">
        <v>1013</v>
      </c>
      <c r="C291" s="55" t="s">
        <v>842</v>
      </c>
      <c r="D291" s="56" t="s">
        <v>233</v>
      </c>
      <c r="E291" s="56">
        <v>1</v>
      </c>
      <c r="F291" s="60" t="s">
        <v>33</v>
      </c>
    </row>
    <row r="292" spans="1:6" ht="15" customHeight="1">
      <c r="A292" s="55" t="s">
        <v>1038</v>
      </c>
      <c r="B292" s="56" t="s">
        <v>1014</v>
      </c>
      <c r="C292" s="55" t="s">
        <v>968</v>
      </c>
      <c r="D292" s="56" t="s">
        <v>1015</v>
      </c>
      <c r="E292" s="56">
        <v>1</v>
      </c>
      <c r="F292" s="60" t="s">
        <v>33</v>
      </c>
    </row>
    <row r="293" spans="1:6" ht="15" customHeight="1">
      <c r="A293" s="55" t="s">
        <v>1038</v>
      </c>
      <c r="B293" s="56" t="s">
        <v>1018</v>
      </c>
      <c r="C293" s="55" t="s">
        <v>835</v>
      </c>
      <c r="D293" s="56" t="s">
        <v>233</v>
      </c>
      <c r="E293" s="56">
        <v>1</v>
      </c>
      <c r="F293" s="60" t="s">
        <v>33</v>
      </c>
    </row>
    <row r="294" spans="1:6" ht="15" customHeight="1">
      <c r="A294" s="55" t="s">
        <v>1038</v>
      </c>
      <c r="B294" s="56" t="s">
        <v>1018</v>
      </c>
      <c r="C294" s="55" t="s">
        <v>859</v>
      </c>
      <c r="D294" s="56" t="s">
        <v>233</v>
      </c>
      <c r="E294" s="56">
        <v>1</v>
      </c>
      <c r="F294" s="60" t="s">
        <v>33</v>
      </c>
    </row>
    <row r="295" spans="1:6" ht="15" customHeight="1">
      <c r="A295" s="55" t="s">
        <v>891</v>
      </c>
      <c r="B295" s="56" t="s">
        <v>980</v>
      </c>
      <c r="C295" s="55" t="s">
        <v>891</v>
      </c>
      <c r="D295" s="56" t="s">
        <v>981</v>
      </c>
      <c r="E295" s="56">
        <v>1</v>
      </c>
      <c r="F295" s="60" t="s">
        <v>33</v>
      </c>
    </row>
    <row r="296" spans="1:6" ht="15" customHeight="1">
      <c r="A296" s="55" t="s">
        <v>891</v>
      </c>
      <c r="B296" s="56" t="s">
        <v>985</v>
      </c>
      <c r="C296" s="55" t="s">
        <v>563</v>
      </c>
      <c r="D296" s="56" t="s">
        <v>1022</v>
      </c>
      <c r="E296" s="56">
        <v>1</v>
      </c>
      <c r="F296" s="60" t="s">
        <v>33</v>
      </c>
    </row>
    <row r="297" spans="1:6" ht="15" customHeight="1">
      <c r="A297" s="55" t="s">
        <v>891</v>
      </c>
      <c r="B297" s="56" t="s">
        <v>989</v>
      </c>
      <c r="C297" s="55" t="s">
        <v>891</v>
      </c>
      <c r="D297" s="56" t="s">
        <v>519</v>
      </c>
      <c r="E297" s="56">
        <v>1</v>
      </c>
      <c r="F297" s="60" t="s">
        <v>33</v>
      </c>
    </row>
    <row r="298" spans="1:6" ht="15" customHeight="1">
      <c r="A298" s="55" t="s">
        <v>891</v>
      </c>
      <c r="B298" s="56" t="s">
        <v>990</v>
      </c>
      <c r="C298" s="55" t="s">
        <v>891</v>
      </c>
      <c r="D298" s="56" t="s">
        <v>534</v>
      </c>
      <c r="E298" s="56">
        <v>1</v>
      </c>
      <c r="F298" s="60" t="s">
        <v>33</v>
      </c>
    </row>
    <row r="299" spans="1:6" ht="15" customHeight="1">
      <c r="A299" s="55" t="s">
        <v>891</v>
      </c>
      <c r="B299" s="56" t="s">
        <v>998</v>
      </c>
      <c r="C299" s="55" t="s">
        <v>630</v>
      </c>
      <c r="D299" s="56" t="s">
        <v>1000</v>
      </c>
      <c r="E299" s="56">
        <v>1</v>
      </c>
      <c r="F299" s="60" t="s">
        <v>33</v>
      </c>
    </row>
    <row r="300" spans="1:6" ht="15" customHeight="1">
      <c r="A300" s="55" t="s">
        <v>891</v>
      </c>
      <c r="B300" s="56" t="s">
        <v>1005</v>
      </c>
      <c r="C300" s="55" t="s">
        <v>630</v>
      </c>
      <c r="D300" s="56" t="s">
        <v>229</v>
      </c>
      <c r="E300" s="56">
        <v>1</v>
      </c>
      <c r="F300" s="60" t="s">
        <v>33</v>
      </c>
    </row>
    <row r="301" spans="1:6" ht="15" customHeight="1">
      <c r="A301" s="55" t="s">
        <v>891</v>
      </c>
      <c r="B301" s="56" t="s">
        <v>1013</v>
      </c>
      <c r="C301" s="55" t="s">
        <v>563</v>
      </c>
      <c r="D301" s="56" t="s">
        <v>233</v>
      </c>
      <c r="E301" s="56">
        <v>1</v>
      </c>
      <c r="F301" s="60" t="s">
        <v>33</v>
      </c>
    </row>
    <row r="302" spans="1:6" ht="15" customHeight="1">
      <c r="A302" s="55" t="s">
        <v>891</v>
      </c>
      <c r="B302" s="56" t="s">
        <v>1028</v>
      </c>
      <c r="C302" s="55" t="s">
        <v>563</v>
      </c>
      <c r="D302" s="56" t="s">
        <v>500</v>
      </c>
      <c r="E302" s="56">
        <v>1</v>
      </c>
      <c r="F302" s="60" t="s">
        <v>33</v>
      </c>
    </row>
    <row r="303" spans="1:6" ht="15" customHeight="1">
      <c r="A303" s="55" t="s">
        <v>891</v>
      </c>
      <c r="B303" s="56" t="s">
        <v>1024</v>
      </c>
      <c r="C303" s="55" t="s">
        <v>882</v>
      </c>
      <c r="D303" s="56" t="s">
        <v>214</v>
      </c>
      <c r="E303" s="56">
        <v>1</v>
      </c>
      <c r="F303" s="60" t="s">
        <v>33</v>
      </c>
    </row>
    <row r="304" spans="1:6" ht="15" customHeight="1">
      <c r="A304" s="55" t="s">
        <v>891</v>
      </c>
      <c r="B304" s="56" t="s">
        <v>1024</v>
      </c>
      <c r="C304" s="55" t="s">
        <v>563</v>
      </c>
      <c r="D304" s="56" t="s">
        <v>214</v>
      </c>
      <c r="E304" s="56">
        <v>1</v>
      </c>
      <c r="F304" s="60" t="s">
        <v>33</v>
      </c>
    </row>
    <row r="305" spans="1:6" ht="15" customHeight="1">
      <c r="A305" s="55" t="s">
        <v>891</v>
      </c>
      <c r="B305" s="56" t="s">
        <v>1024</v>
      </c>
      <c r="C305" s="55" t="s">
        <v>888</v>
      </c>
      <c r="D305" s="56" t="s">
        <v>214</v>
      </c>
      <c r="E305" s="56">
        <v>1</v>
      </c>
      <c r="F305" s="60" t="s">
        <v>33</v>
      </c>
    </row>
    <row r="306" spans="1:6" ht="15" customHeight="1">
      <c r="A306" s="55" t="s">
        <v>1039</v>
      </c>
      <c r="B306" s="56" t="s">
        <v>980</v>
      </c>
      <c r="C306" s="55" t="s">
        <v>872</v>
      </c>
      <c r="D306" s="56" t="s">
        <v>981</v>
      </c>
      <c r="E306" s="56">
        <v>1</v>
      </c>
      <c r="F306" s="62" t="s">
        <v>35</v>
      </c>
    </row>
    <row r="307" spans="1:6" ht="15" customHeight="1">
      <c r="A307" s="55" t="s">
        <v>1039</v>
      </c>
      <c r="B307" s="56" t="s">
        <v>992</v>
      </c>
      <c r="C307" s="55" t="s">
        <v>910</v>
      </c>
      <c r="D307" s="56" t="s">
        <v>212</v>
      </c>
      <c r="E307" s="56">
        <v>1</v>
      </c>
      <c r="F307" s="62" t="s">
        <v>35</v>
      </c>
    </row>
    <row r="308" spans="1:6" ht="15" customHeight="1">
      <c r="A308" s="55" t="s">
        <v>1039</v>
      </c>
      <c r="B308" s="56" t="s">
        <v>995</v>
      </c>
      <c r="C308" s="55" t="s">
        <v>915</v>
      </c>
      <c r="D308" s="56" t="s">
        <v>997</v>
      </c>
      <c r="E308" s="56">
        <v>1</v>
      </c>
      <c r="F308" s="62" t="s">
        <v>35</v>
      </c>
    </row>
    <row r="309" spans="1:6" ht="15" customHeight="1">
      <c r="A309" s="55" t="s">
        <v>1039</v>
      </c>
      <c r="B309" s="56" t="s">
        <v>1004</v>
      </c>
      <c r="C309" s="55" t="s">
        <v>924</v>
      </c>
      <c r="D309" s="56" t="s">
        <v>509</v>
      </c>
      <c r="E309" s="56">
        <v>1</v>
      </c>
      <c r="F309" s="62" t="s">
        <v>35</v>
      </c>
    </row>
    <row r="310" spans="1:6" ht="15" customHeight="1">
      <c r="A310" s="55" t="s">
        <v>1039</v>
      </c>
      <c r="B310" s="56" t="s">
        <v>1014</v>
      </c>
      <c r="C310" s="55" t="s">
        <v>967</v>
      </c>
      <c r="D310" s="56" t="s">
        <v>1015</v>
      </c>
      <c r="E310" s="56">
        <v>1</v>
      </c>
      <c r="F310" s="62" t="s">
        <v>35</v>
      </c>
    </row>
    <row r="311" spans="1:6" ht="15" customHeight="1">
      <c r="A311" s="55" t="s">
        <v>1039</v>
      </c>
      <c r="B311" s="56" t="s">
        <v>1028</v>
      </c>
      <c r="C311" s="55" t="s">
        <v>833</v>
      </c>
      <c r="D311" s="56" t="s">
        <v>500</v>
      </c>
      <c r="E311" s="56">
        <v>1</v>
      </c>
      <c r="F311" s="62" t="s">
        <v>35</v>
      </c>
    </row>
    <row r="312" spans="1:6" ht="15" customHeight="1">
      <c r="A312" s="55" t="s">
        <v>1039</v>
      </c>
      <c r="B312" s="56" t="s">
        <v>1018</v>
      </c>
      <c r="C312" s="55" t="s">
        <v>385</v>
      </c>
      <c r="D312" s="56" t="s">
        <v>233</v>
      </c>
      <c r="E312" s="56">
        <v>1</v>
      </c>
      <c r="F312" s="62" t="s">
        <v>35</v>
      </c>
    </row>
    <row r="313" spans="1:6" ht="15" customHeight="1">
      <c r="A313" s="55" t="s">
        <v>281</v>
      </c>
      <c r="B313" s="56" t="s">
        <v>983</v>
      </c>
      <c r="C313" s="55" t="s">
        <v>868</v>
      </c>
      <c r="D313" s="56" t="s">
        <v>984</v>
      </c>
      <c r="E313" s="56">
        <v>2</v>
      </c>
      <c r="F313" s="57" t="s">
        <v>42</v>
      </c>
    </row>
    <row r="314" spans="1:6" ht="15" customHeight="1">
      <c r="A314" s="55" t="s">
        <v>281</v>
      </c>
      <c r="B314" s="56" t="s">
        <v>989</v>
      </c>
      <c r="C314" s="55" t="s">
        <v>921</v>
      </c>
      <c r="D314" s="56" t="s">
        <v>519</v>
      </c>
      <c r="E314" s="56">
        <v>1</v>
      </c>
      <c r="F314" s="57" t="s">
        <v>42</v>
      </c>
    </row>
    <row r="315" spans="1:6" ht="15" customHeight="1">
      <c r="A315" s="55" t="s">
        <v>281</v>
      </c>
      <c r="B315" s="56" t="s">
        <v>989</v>
      </c>
      <c r="C315" s="55" t="s">
        <v>923</v>
      </c>
      <c r="D315" s="56" t="s">
        <v>519</v>
      </c>
      <c r="E315" s="56">
        <v>1</v>
      </c>
      <c r="F315" s="57" t="s">
        <v>42</v>
      </c>
    </row>
    <row r="316" spans="1:6" ht="15" customHeight="1">
      <c r="A316" s="55" t="s">
        <v>281</v>
      </c>
      <c r="B316" s="56" t="s">
        <v>990</v>
      </c>
      <c r="C316" s="55" t="s">
        <v>899</v>
      </c>
      <c r="D316" s="56" t="s">
        <v>534</v>
      </c>
      <c r="E316" s="56">
        <v>1</v>
      </c>
      <c r="F316" s="57" t="s">
        <v>42</v>
      </c>
    </row>
    <row r="317" spans="1:6" ht="15" customHeight="1">
      <c r="A317" s="55" t="s">
        <v>281</v>
      </c>
      <c r="B317" s="56" t="s">
        <v>995</v>
      </c>
      <c r="C317" s="55" t="s">
        <v>900</v>
      </c>
      <c r="D317" s="56" t="s">
        <v>997</v>
      </c>
      <c r="E317" s="56">
        <v>1</v>
      </c>
      <c r="F317" s="57" t="s">
        <v>42</v>
      </c>
    </row>
    <row r="318" spans="1:6" ht="15" customHeight="1">
      <c r="A318" s="55" t="s">
        <v>281</v>
      </c>
      <c r="B318" s="56" t="s">
        <v>998</v>
      </c>
      <c r="C318" s="55" t="s">
        <v>896</v>
      </c>
      <c r="D318" s="56" t="s">
        <v>1000</v>
      </c>
      <c r="E318" s="56">
        <v>1</v>
      </c>
      <c r="F318" s="58" t="s">
        <v>37</v>
      </c>
    </row>
    <row r="319" spans="1:6" ht="15" customHeight="1">
      <c r="A319" s="55" t="s">
        <v>281</v>
      </c>
      <c r="B319" s="56" t="s">
        <v>1006</v>
      </c>
      <c r="C319" s="55" t="s">
        <v>948</v>
      </c>
      <c r="D319" s="56" t="s">
        <v>532</v>
      </c>
      <c r="E319" s="56">
        <v>1</v>
      </c>
      <c r="F319" s="60" t="s">
        <v>33</v>
      </c>
    </row>
    <row r="320" spans="1:6" ht="15" customHeight="1">
      <c r="A320" s="55" t="s">
        <v>281</v>
      </c>
      <c r="B320" s="56" t="s">
        <v>1023</v>
      </c>
      <c r="C320" s="55" t="s">
        <v>413</v>
      </c>
      <c r="D320" s="56" t="s">
        <v>519</v>
      </c>
      <c r="E320" s="56">
        <v>1</v>
      </c>
      <c r="F320" s="57" t="s">
        <v>42</v>
      </c>
    </row>
    <row r="321" spans="1:6" ht="15" customHeight="1">
      <c r="A321" s="55" t="s">
        <v>281</v>
      </c>
      <c r="B321" s="56" t="s">
        <v>1023</v>
      </c>
      <c r="C321" s="55" t="s">
        <v>950</v>
      </c>
      <c r="D321" s="56" t="s">
        <v>519</v>
      </c>
      <c r="E321" s="56">
        <v>1</v>
      </c>
      <c r="F321" s="61"/>
    </row>
    <row r="322" spans="1:6" ht="15" customHeight="1">
      <c r="A322" s="55" t="s">
        <v>281</v>
      </c>
      <c r="B322" s="56" t="s">
        <v>1010</v>
      </c>
      <c r="C322" s="55" t="s">
        <v>938</v>
      </c>
      <c r="D322" s="56" t="s">
        <v>254</v>
      </c>
      <c r="E322" s="56">
        <v>1</v>
      </c>
      <c r="F322" s="57" t="s">
        <v>42</v>
      </c>
    </row>
    <row r="323" spans="1:6" ht="15" customHeight="1">
      <c r="A323" s="55" t="s">
        <v>281</v>
      </c>
      <c r="B323" s="56" t="s">
        <v>1011</v>
      </c>
      <c r="C323" s="55" t="s">
        <v>957</v>
      </c>
      <c r="D323" s="56" t="s">
        <v>1012</v>
      </c>
      <c r="E323" s="56">
        <v>1</v>
      </c>
      <c r="F323" s="60" t="s">
        <v>33</v>
      </c>
    </row>
    <row r="324" spans="1:6" ht="15" customHeight="1">
      <c r="A324" s="55" t="s">
        <v>281</v>
      </c>
      <c r="B324" s="56" t="s">
        <v>1011</v>
      </c>
      <c r="C324" s="55" t="s">
        <v>962</v>
      </c>
      <c r="D324" s="56" t="s">
        <v>1012</v>
      </c>
      <c r="E324" s="56">
        <v>1</v>
      </c>
      <c r="F324" s="58" t="s">
        <v>37</v>
      </c>
    </row>
    <row r="325" spans="1:6" ht="15" customHeight="1">
      <c r="A325" s="55" t="s">
        <v>281</v>
      </c>
      <c r="B325" s="56" t="s">
        <v>1011</v>
      </c>
      <c r="C325" s="55" t="s">
        <v>964</v>
      </c>
      <c r="D325" s="56" t="s">
        <v>1012</v>
      </c>
      <c r="E325" s="56">
        <v>1</v>
      </c>
      <c r="F325" s="61"/>
    </row>
    <row r="326" spans="1:6" ht="15" customHeight="1">
      <c r="A326" s="55" t="s">
        <v>281</v>
      </c>
      <c r="B326" s="56" t="s">
        <v>1013</v>
      </c>
      <c r="C326" s="55" t="s">
        <v>852</v>
      </c>
      <c r="D326" s="56" t="s">
        <v>233</v>
      </c>
      <c r="E326" s="56">
        <v>1</v>
      </c>
      <c r="F326" s="58" t="s">
        <v>37</v>
      </c>
    </row>
    <row r="327" spans="1:6" ht="15" customHeight="1">
      <c r="A327" s="55" t="s">
        <v>281</v>
      </c>
      <c r="B327" s="56" t="s">
        <v>1013</v>
      </c>
      <c r="C327" s="55" t="s">
        <v>860</v>
      </c>
      <c r="D327" s="56" t="s">
        <v>233</v>
      </c>
      <c r="E327" s="56">
        <v>1</v>
      </c>
      <c r="F327" s="61"/>
    </row>
    <row r="328" spans="1:6" ht="15" customHeight="1">
      <c r="A328" s="55" t="s">
        <v>281</v>
      </c>
      <c r="B328" s="56" t="s">
        <v>1013</v>
      </c>
      <c r="C328" s="55" t="s">
        <v>862</v>
      </c>
      <c r="D328" s="56" t="s">
        <v>233</v>
      </c>
      <c r="E328" s="56">
        <v>1</v>
      </c>
      <c r="F328" s="60" t="s">
        <v>33</v>
      </c>
    </row>
    <row r="329" spans="1:6" ht="15" customHeight="1">
      <c r="A329" s="55" t="s">
        <v>281</v>
      </c>
      <c r="B329" s="56" t="s">
        <v>1013</v>
      </c>
      <c r="C329" s="55" t="s">
        <v>865</v>
      </c>
      <c r="D329" s="56" t="s">
        <v>233</v>
      </c>
      <c r="E329" s="56">
        <v>1</v>
      </c>
      <c r="F329" s="60" t="s">
        <v>33</v>
      </c>
    </row>
    <row r="330" spans="1:6" ht="15" customHeight="1">
      <c r="A330" s="55" t="s">
        <v>281</v>
      </c>
      <c r="B330" s="56" t="s">
        <v>1017</v>
      </c>
      <c r="C330" s="55" t="s">
        <v>845</v>
      </c>
      <c r="D330" s="56" t="s">
        <v>1008</v>
      </c>
      <c r="E330" s="56">
        <v>1</v>
      </c>
      <c r="F330" s="57" t="s">
        <v>42</v>
      </c>
    </row>
    <row r="331" spans="1:6" ht="15" customHeight="1">
      <c r="A331" s="55" t="s">
        <v>281</v>
      </c>
      <c r="B331" s="56" t="s">
        <v>1017</v>
      </c>
      <c r="C331" s="55" t="s">
        <v>856</v>
      </c>
      <c r="D331" s="56" t="s">
        <v>1008</v>
      </c>
      <c r="E331" s="56">
        <v>1</v>
      </c>
      <c r="F331" s="58" t="s">
        <v>37</v>
      </c>
    </row>
    <row r="332" spans="1:6" ht="15" customHeight="1">
      <c r="A332" s="55" t="s">
        <v>281</v>
      </c>
      <c r="B332" s="56" t="s">
        <v>1017</v>
      </c>
      <c r="C332" s="55" t="s">
        <v>325</v>
      </c>
      <c r="D332" s="56" t="s">
        <v>1008</v>
      </c>
      <c r="E332" s="56">
        <v>1</v>
      </c>
      <c r="F332" s="61"/>
    </row>
    <row r="333" spans="1:6" ht="15" customHeight="1">
      <c r="A333" s="55" t="s">
        <v>281</v>
      </c>
      <c r="B333" s="56" t="s">
        <v>1018</v>
      </c>
      <c r="C333" s="55" t="s">
        <v>821</v>
      </c>
      <c r="D333" s="56" t="s">
        <v>233</v>
      </c>
      <c r="E333" s="56">
        <v>1</v>
      </c>
      <c r="F333" s="60" t="s">
        <v>33</v>
      </c>
    </row>
    <row r="334" spans="1:6" ht="15" customHeight="1">
      <c r="A334" s="55" t="s">
        <v>281</v>
      </c>
      <c r="B334" s="56" t="s">
        <v>1019</v>
      </c>
      <c r="C334" s="55" t="s">
        <v>821</v>
      </c>
      <c r="D334" s="56" t="s">
        <v>502</v>
      </c>
      <c r="E334" s="56">
        <v>1</v>
      </c>
      <c r="F334" s="60" t="s">
        <v>33</v>
      </c>
    </row>
    <row r="335" spans="1:6" ht="15" customHeight="1">
      <c r="A335" s="55" t="s">
        <v>281</v>
      </c>
      <c r="B335" s="56" t="s">
        <v>1021</v>
      </c>
      <c r="C335" s="55" t="s">
        <v>870</v>
      </c>
      <c r="D335" s="56" t="s">
        <v>224</v>
      </c>
      <c r="E335" s="56">
        <v>1</v>
      </c>
      <c r="F335" s="58" t="s">
        <v>37</v>
      </c>
    </row>
    <row r="336" spans="1:6" ht="15" customHeight="1">
      <c r="A336" s="55" t="s">
        <v>281</v>
      </c>
      <c r="B336" s="56" t="s">
        <v>1024</v>
      </c>
      <c r="C336" s="55" t="s">
        <v>870</v>
      </c>
      <c r="D336" s="56" t="s">
        <v>214</v>
      </c>
      <c r="E336" s="56">
        <v>1</v>
      </c>
      <c r="F336" s="58" t="s">
        <v>37</v>
      </c>
    </row>
    <row r="337" spans="1:6" ht="15" customHeight="1">
      <c r="A337" s="55" t="s">
        <v>281</v>
      </c>
      <c r="B337" s="56" t="s">
        <v>1024</v>
      </c>
      <c r="C337" s="55" t="s">
        <v>879</v>
      </c>
      <c r="D337" s="56" t="s">
        <v>214</v>
      </c>
      <c r="E337" s="56">
        <v>1</v>
      </c>
      <c r="F337" s="57" t="s">
        <v>42</v>
      </c>
    </row>
  </sheetData>
  <autoFilter ref="A1:F1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zoomScaleNormal="100" workbookViewId="0">
      <selection activeCell="H28" sqref="H28"/>
    </sheetView>
  </sheetViews>
  <sheetFormatPr defaultColWidth="8.6640625" defaultRowHeight="14.4"/>
  <cols>
    <col min="1" max="1" width="22" style="150" customWidth="1"/>
    <col min="2" max="2" width="8.5546875" style="150" customWidth="1"/>
    <col min="3" max="3" width="9" style="150" customWidth="1"/>
    <col min="4" max="4" width="22" style="150" customWidth="1"/>
    <col min="5" max="5" width="8" style="150" customWidth="1"/>
    <col min="6" max="6" width="9" style="150" customWidth="1"/>
    <col min="7" max="7" width="22" style="150" customWidth="1"/>
    <col min="8" max="8" width="9.21875" style="150" customWidth="1"/>
    <col min="9" max="9" width="9" style="150" customWidth="1"/>
    <col min="10" max="10" width="22" style="150" customWidth="1"/>
    <col min="11" max="11" width="7" style="150" customWidth="1"/>
    <col min="12" max="12" width="9" style="150" customWidth="1"/>
    <col min="13" max="13" width="22" style="150" customWidth="1"/>
    <col min="14" max="14" width="8.44140625" style="150" customWidth="1"/>
    <col min="15" max="15" width="9" style="150" customWidth="1"/>
    <col min="16" max="16" width="22" style="150" customWidth="1"/>
    <col min="17" max="17" width="7" style="150" customWidth="1"/>
    <col min="18" max="18" width="9" style="150" customWidth="1"/>
    <col min="19" max="19" width="22" style="150" customWidth="1"/>
    <col min="20" max="20" width="7" style="150" customWidth="1"/>
    <col min="21" max="21" width="9" style="150" customWidth="1"/>
    <col min="22" max="24" width="8.6640625" style="150" customWidth="1"/>
    <col min="25" max="16384" width="8.6640625" style="150"/>
  </cols>
  <sheetData>
    <row r="1" spans="1:21" ht="21.75" customHeight="1">
      <c r="A1" s="1" t="s">
        <v>0</v>
      </c>
      <c r="B1" s="2">
        <v>5</v>
      </c>
      <c r="C1" s="159" t="s">
        <v>1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</row>
    <row r="2" spans="1:21" ht="15.75" customHeight="1">
      <c r="A2" s="3" t="s">
        <v>2</v>
      </c>
      <c r="B2" s="3" t="s">
        <v>3</v>
      </c>
      <c r="C2" s="3" t="s">
        <v>4</v>
      </c>
      <c r="D2" s="3" t="s">
        <v>2</v>
      </c>
      <c r="E2" s="3" t="s">
        <v>3</v>
      </c>
      <c r="F2" s="3" t="s">
        <v>4</v>
      </c>
      <c r="G2" s="3" t="s">
        <v>2</v>
      </c>
      <c r="H2" s="3" t="s">
        <v>3</v>
      </c>
      <c r="I2" s="3" t="s">
        <v>4</v>
      </c>
      <c r="J2" s="3" t="s">
        <v>2</v>
      </c>
      <c r="K2" s="3" t="s">
        <v>3</v>
      </c>
      <c r="L2" s="3" t="s">
        <v>4</v>
      </c>
      <c r="M2" s="3" t="s">
        <v>2</v>
      </c>
      <c r="N2" s="3" t="s">
        <v>3</v>
      </c>
      <c r="O2" s="3" t="s">
        <v>4</v>
      </c>
      <c r="P2" s="3" t="s">
        <v>2</v>
      </c>
      <c r="Q2" s="3" t="s">
        <v>3</v>
      </c>
      <c r="R2" s="3" t="s">
        <v>4</v>
      </c>
      <c r="S2" s="3" t="s">
        <v>2</v>
      </c>
      <c r="T2" s="3" t="s">
        <v>3</v>
      </c>
      <c r="U2" s="3" t="s">
        <v>4</v>
      </c>
    </row>
    <row r="3" spans="1:21" ht="15.75" customHeight="1">
      <c r="A3" s="4" t="str">
        <f>IF(1&lt;=DAY(EOMONTH(DATE(2026,$B$1,1),0)),$B$1&amp;"월 1일","")</f>
        <v>5월 1일</v>
      </c>
      <c r="B3" s="5"/>
      <c r="C3" s="6"/>
      <c r="D3" s="4" t="str">
        <f>IF(2&lt;=DAY(EOMONTH(DATE(2026,$B$1,1),0)),$B$1&amp;"월 2일","")</f>
        <v>5월 2일</v>
      </c>
      <c r="E3" s="5"/>
      <c r="F3" s="6"/>
      <c r="G3" s="4" t="str">
        <f>IF(3&lt;=DAY(EOMONTH(DATE(2026,$B$1,1),0)),$B$1&amp;"월 3일","")</f>
        <v>5월 3일</v>
      </c>
      <c r="H3" s="5"/>
      <c r="I3" s="6"/>
      <c r="J3" s="4" t="str">
        <f>IF(4&lt;=DAY(EOMONTH(DATE(2026,$B$1,1),0)),$B$1&amp;"월 4일","")</f>
        <v>5월 4일</v>
      </c>
      <c r="K3" s="5"/>
      <c r="L3" s="6"/>
      <c r="M3" s="4" t="str">
        <f>IF(5&lt;=DAY(EOMONTH(DATE(2026,$B$1,1),0)),$B$1&amp;"월 5일","")</f>
        <v>5월 5일</v>
      </c>
      <c r="N3" s="5"/>
      <c r="O3" s="6"/>
      <c r="P3" s="4" t="str">
        <f>IF(6&lt;=DAY(EOMONTH(DATE(2026,$B$1,1),0)),$B$1&amp;"월 6일","")</f>
        <v>5월 6일</v>
      </c>
      <c r="Q3" s="5"/>
      <c r="R3" s="6"/>
      <c r="S3" s="4" t="str">
        <f>IF(7&lt;=DAY(EOMONTH(DATE(2026,$B$1,1),0)),$B$1&amp;"월 7일","")</f>
        <v>5월 7일</v>
      </c>
      <c r="T3" s="5"/>
      <c r="U3" s="6"/>
    </row>
    <row r="4" spans="1:21" ht="15.75" customHeight="1">
      <c r="A4" s="7" t="s">
        <v>1040</v>
      </c>
      <c r="B4" s="8">
        <v>0.16669999999999999</v>
      </c>
      <c r="C4" s="9" t="s">
        <v>37</v>
      </c>
      <c r="D4" s="7" t="s">
        <v>1041</v>
      </c>
      <c r="E4" s="8">
        <v>0.1429</v>
      </c>
      <c r="F4" s="9" t="s">
        <v>33</v>
      </c>
      <c r="G4" s="7" t="s">
        <v>1042</v>
      </c>
      <c r="H4" s="63">
        <v>6.6699999999999995E-2</v>
      </c>
      <c r="I4" s="9" t="s">
        <v>33</v>
      </c>
      <c r="J4" s="10" t="s">
        <v>1043</v>
      </c>
      <c r="K4" s="8">
        <v>4.5499999999999999E-2</v>
      </c>
      <c r="L4" s="9"/>
      <c r="M4" s="10" t="s">
        <v>1044</v>
      </c>
      <c r="N4" s="8">
        <v>0.1429</v>
      </c>
      <c r="O4" s="9" t="s">
        <v>35</v>
      </c>
      <c r="P4" s="10" t="s">
        <v>1045</v>
      </c>
      <c r="Q4" s="8">
        <v>3.2300000000000002E-2</v>
      </c>
      <c r="R4" s="9" t="s">
        <v>37</v>
      </c>
      <c r="S4" s="7" t="s">
        <v>43</v>
      </c>
      <c r="T4" s="8">
        <v>2.9899999999999999E-2</v>
      </c>
      <c r="U4" s="9" t="s">
        <v>37</v>
      </c>
    </row>
    <row r="5" spans="1:21" ht="15.75" customHeight="1">
      <c r="A5" s="10" t="s">
        <v>1046</v>
      </c>
      <c r="B5" s="8">
        <v>0.16669999999999999</v>
      </c>
      <c r="C5" s="9" t="s">
        <v>33</v>
      </c>
      <c r="D5" s="7" t="s">
        <v>1047</v>
      </c>
      <c r="E5" s="8">
        <v>0.1429</v>
      </c>
      <c r="F5" s="9" t="s">
        <v>33</v>
      </c>
      <c r="G5" s="7" t="s">
        <v>1048</v>
      </c>
      <c r="H5" s="63">
        <v>6.6699999999999995E-2</v>
      </c>
      <c r="I5" s="9"/>
      <c r="J5" s="10" t="s">
        <v>1049</v>
      </c>
      <c r="K5" s="8">
        <v>4.5499999999999999E-2</v>
      </c>
      <c r="L5" s="9"/>
      <c r="M5" s="7" t="s">
        <v>1050</v>
      </c>
      <c r="N5" s="8">
        <v>0.1429</v>
      </c>
      <c r="O5" s="9" t="s">
        <v>42</v>
      </c>
      <c r="P5" s="7" t="s">
        <v>1051</v>
      </c>
      <c r="Q5" s="8">
        <v>3.2300000000000002E-2</v>
      </c>
      <c r="R5" s="9"/>
      <c r="S5" s="7" t="s">
        <v>1052</v>
      </c>
      <c r="T5" s="8">
        <v>2.9899999999999999E-2</v>
      </c>
      <c r="U5" s="9" t="s">
        <v>37</v>
      </c>
    </row>
    <row r="6" spans="1:21" ht="15.75" customHeight="1">
      <c r="A6" s="7" t="s">
        <v>1052</v>
      </c>
      <c r="B6" s="8">
        <v>0.16669999999999999</v>
      </c>
      <c r="C6" s="9" t="s">
        <v>37</v>
      </c>
      <c r="D6" s="7" t="s">
        <v>1053</v>
      </c>
      <c r="E6" s="8">
        <v>0.1429</v>
      </c>
      <c r="F6" s="9" t="s">
        <v>33</v>
      </c>
      <c r="G6" s="7" t="s">
        <v>1052</v>
      </c>
      <c r="H6" s="63">
        <v>6.6699999999999995E-2</v>
      </c>
      <c r="I6" s="9" t="s">
        <v>37</v>
      </c>
      <c r="J6" s="10" t="s">
        <v>1054</v>
      </c>
      <c r="K6" s="8">
        <v>4.5499999999999999E-2</v>
      </c>
      <c r="L6" s="9" t="s">
        <v>37</v>
      </c>
      <c r="M6" s="7" t="s">
        <v>1055</v>
      </c>
      <c r="N6" s="8">
        <v>0.1429</v>
      </c>
      <c r="O6" s="9" t="s">
        <v>42</v>
      </c>
      <c r="P6" s="7" t="s">
        <v>1056</v>
      </c>
      <c r="Q6" s="8">
        <v>3.2300000000000002E-2</v>
      </c>
      <c r="R6" s="9" t="s">
        <v>33</v>
      </c>
      <c r="S6" s="10" t="s">
        <v>1057</v>
      </c>
      <c r="T6" s="8">
        <v>1.49E-2</v>
      </c>
      <c r="U6" s="9" t="s">
        <v>33</v>
      </c>
    </row>
    <row r="7" spans="1:21" ht="15.75" customHeight="1">
      <c r="A7" s="7" t="s">
        <v>1058</v>
      </c>
      <c r="B7" s="8">
        <v>0.16669999999999999</v>
      </c>
      <c r="C7" s="9"/>
      <c r="D7" s="7" t="s">
        <v>1059</v>
      </c>
      <c r="E7" s="8">
        <v>0.28570000000000001</v>
      </c>
      <c r="F7" s="9" t="s">
        <v>35</v>
      </c>
      <c r="G7" s="7" t="s">
        <v>74</v>
      </c>
      <c r="H7" s="8">
        <v>6.6699999999999995E-2</v>
      </c>
      <c r="I7" s="9"/>
      <c r="J7" s="10" t="s">
        <v>1060</v>
      </c>
      <c r="K7" s="8">
        <v>4.5499999999999999E-2</v>
      </c>
      <c r="L7" s="9" t="s">
        <v>37</v>
      </c>
      <c r="M7" s="7" t="s">
        <v>1061</v>
      </c>
      <c r="N7" s="8">
        <v>0.1429</v>
      </c>
      <c r="O7" s="9"/>
      <c r="P7" s="7" t="s">
        <v>370</v>
      </c>
      <c r="Q7" s="8">
        <v>3.2300000000000002E-2</v>
      </c>
      <c r="R7" s="9" t="s">
        <v>33</v>
      </c>
      <c r="S7" s="7" t="s">
        <v>1062</v>
      </c>
      <c r="T7" s="8">
        <v>1.49E-2</v>
      </c>
      <c r="U7" s="9" t="s">
        <v>42</v>
      </c>
    </row>
    <row r="8" spans="1:21" ht="15.75" customHeight="1">
      <c r="A8" s="7" t="s">
        <v>1063</v>
      </c>
      <c r="B8" s="8">
        <v>0.16669999999999999</v>
      </c>
      <c r="C8" s="9"/>
      <c r="D8" s="7" t="s">
        <v>1064</v>
      </c>
      <c r="E8" s="8">
        <v>0.1429</v>
      </c>
      <c r="F8" s="9"/>
      <c r="G8" s="7" t="s">
        <v>1065</v>
      </c>
      <c r="H8" s="8">
        <v>6.6699999999999995E-2</v>
      </c>
      <c r="I8" s="9"/>
      <c r="J8" s="10" t="s">
        <v>1066</v>
      </c>
      <c r="K8" s="8">
        <v>4.5499999999999999E-2</v>
      </c>
      <c r="L8" s="9" t="s">
        <v>37</v>
      </c>
      <c r="M8" s="7" t="s">
        <v>1067</v>
      </c>
      <c r="N8" s="8">
        <v>0.1429</v>
      </c>
      <c r="O8" s="9" t="s">
        <v>33</v>
      </c>
      <c r="P8" s="10" t="s">
        <v>1068</v>
      </c>
      <c r="Q8" s="8">
        <v>3.2300000000000002E-2</v>
      </c>
      <c r="R8" s="9" t="s">
        <v>33</v>
      </c>
      <c r="S8" s="7" t="s">
        <v>1069</v>
      </c>
      <c r="T8" s="8">
        <v>1.49E-2</v>
      </c>
      <c r="U8" s="9" t="s">
        <v>37</v>
      </c>
    </row>
    <row r="9" spans="1:21" ht="15.75" customHeight="1">
      <c r="A9" s="10"/>
      <c r="B9" s="12"/>
      <c r="C9" s="9"/>
      <c r="D9" s="10"/>
      <c r="E9" s="12"/>
      <c r="F9" s="9"/>
      <c r="G9" s="10"/>
      <c r="H9" s="12"/>
      <c r="I9" s="9"/>
      <c r="J9" s="7" t="s">
        <v>1070</v>
      </c>
      <c r="K9" s="8">
        <v>4.5499999999999999E-2</v>
      </c>
      <c r="L9" s="9" t="s">
        <v>35</v>
      </c>
      <c r="M9" s="10"/>
      <c r="N9" s="12"/>
      <c r="O9" s="9"/>
      <c r="P9" s="7" t="s">
        <v>1071</v>
      </c>
      <c r="Q9" s="8">
        <v>3.2300000000000002E-2</v>
      </c>
      <c r="R9" s="9" t="s">
        <v>33</v>
      </c>
      <c r="S9" s="7" t="s">
        <v>611</v>
      </c>
      <c r="T9" s="8">
        <v>1.49E-2</v>
      </c>
      <c r="U9" s="9" t="s">
        <v>33</v>
      </c>
    </row>
    <row r="10" spans="1:21" ht="15.75" customHeight="1">
      <c r="A10" s="10"/>
      <c r="B10" s="12"/>
      <c r="C10" s="9"/>
      <c r="D10" s="10"/>
      <c r="E10" s="12"/>
      <c r="F10" s="9"/>
      <c r="G10" s="10"/>
      <c r="H10" s="12"/>
      <c r="I10" s="9"/>
      <c r="J10" s="7" t="s">
        <v>1072</v>
      </c>
      <c r="K10" s="8">
        <v>4.5499999999999999E-2</v>
      </c>
      <c r="L10" s="9" t="s">
        <v>35</v>
      </c>
      <c r="M10" s="10"/>
      <c r="N10" s="12"/>
      <c r="O10" s="9"/>
      <c r="P10" s="7" t="s">
        <v>1073</v>
      </c>
      <c r="Q10" s="8">
        <v>3.2300000000000002E-2</v>
      </c>
      <c r="R10" s="9" t="s">
        <v>27</v>
      </c>
      <c r="S10" s="7" t="s">
        <v>593</v>
      </c>
      <c r="T10" s="8">
        <v>1.49E-2</v>
      </c>
      <c r="U10" s="9" t="s">
        <v>42</v>
      </c>
    </row>
    <row r="11" spans="1:21" ht="15.75" customHeight="1">
      <c r="A11" s="10"/>
      <c r="B11" s="12"/>
      <c r="C11" s="9"/>
      <c r="D11" s="10"/>
      <c r="E11" s="12"/>
      <c r="F11" s="9"/>
      <c r="G11" s="10"/>
      <c r="H11" s="12"/>
      <c r="I11" s="9"/>
      <c r="J11" s="7" t="s">
        <v>1074</v>
      </c>
      <c r="K11" s="8">
        <v>4.5499999999999999E-2</v>
      </c>
      <c r="L11" s="9" t="s">
        <v>35</v>
      </c>
      <c r="M11" s="10"/>
      <c r="N11" s="12"/>
      <c r="O11" s="9"/>
      <c r="P11" s="7" t="s">
        <v>1075</v>
      </c>
      <c r="Q11" s="8">
        <v>3.2300000000000002E-2</v>
      </c>
      <c r="R11" s="9" t="s">
        <v>33</v>
      </c>
      <c r="S11" s="7" t="s">
        <v>1076</v>
      </c>
      <c r="T11" s="8">
        <v>1.49E-2</v>
      </c>
      <c r="U11" s="9" t="s">
        <v>37</v>
      </c>
    </row>
    <row r="12" spans="1:21" ht="15.75" customHeight="1">
      <c r="A12" s="10"/>
      <c r="B12" s="12"/>
      <c r="C12" s="9"/>
      <c r="D12" s="10"/>
      <c r="E12" s="12"/>
      <c r="F12" s="9"/>
      <c r="G12" s="10"/>
      <c r="H12" s="12"/>
      <c r="I12" s="9"/>
      <c r="J12" s="7" t="s">
        <v>1077</v>
      </c>
      <c r="K12" s="8">
        <v>4.5499999999999999E-2</v>
      </c>
      <c r="L12" s="9" t="s">
        <v>33</v>
      </c>
      <c r="M12" s="10"/>
      <c r="N12" s="12"/>
      <c r="O12" s="9"/>
      <c r="P12" s="10"/>
      <c r="Q12" s="12"/>
      <c r="R12" s="9"/>
      <c r="S12" s="10" t="s">
        <v>1078</v>
      </c>
      <c r="T12" s="8">
        <v>1.49E-2</v>
      </c>
      <c r="U12" s="9" t="s">
        <v>37</v>
      </c>
    </row>
    <row r="13" spans="1:21" ht="15.75" customHeight="1">
      <c r="A13" s="10"/>
      <c r="B13" s="12"/>
      <c r="C13" s="9"/>
      <c r="D13" s="10"/>
      <c r="E13" s="12"/>
      <c r="F13" s="9"/>
      <c r="G13" s="10"/>
      <c r="H13" s="12"/>
      <c r="I13" s="9"/>
      <c r="J13" s="7" t="s">
        <v>1079</v>
      </c>
      <c r="K13" s="8">
        <v>4.5499999999999999E-2</v>
      </c>
      <c r="L13" s="9" t="s">
        <v>33</v>
      </c>
      <c r="M13" s="10"/>
      <c r="N13" s="12"/>
      <c r="O13" s="9"/>
      <c r="P13" s="10"/>
      <c r="Q13" s="12"/>
      <c r="R13" s="9"/>
      <c r="S13" s="7" t="s">
        <v>572</v>
      </c>
      <c r="T13" s="8">
        <v>1.49E-2</v>
      </c>
      <c r="U13" s="9" t="s">
        <v>33</v>
      </c>
    </row>
    <row r="14" spans="1:21" ht="15.75" customHeight="1">
      <c r="A14" s="10"/>
      <c r="B14" s="12"/>
      <c r="C14" s="9"/>
      <c r="D14" s="10"/>
      <c r="E14" s="12"/>
      <c r="F14" s="9"/>
      <c r="G14" s="10"/>
      <c r="H14" s="12"/>
      <c r="I14" s="9"/>
      <c r="J14" s="7" t="s">
        <v>30</v>
      </c>
      <c r="K14" s="8">
        <v>4.5499999999999999E-2</v>
      </c>
      <c r="L14" s="9" t="s">
        <v>37</v>
      </c>
      <c r="M14" s="10"/>
      <c r="N14" s="12"/>
      <c r="O14" s="9"/>
      <c r="P14" s="10"/>
      <c r="Q14" s="12"/>
      <c r="R14" s="9"/>
      <c r="S14" s="7" t="s">
        <v>1080</v>
      </c>
      <c r="T14" s="8">
        <v>1.49E-2</v>
      </c>
      <c r="U14" s="9" t="s">
        <v>37</v>
      </c>
    </row>
    <row r="15" spans="1:21" ht="15.75" customHeight="1">
      <c r="A15" s="10"/>
      <c r="B15" s="12"/>
      <c r="C15" s="9"/>
      <c r="D15" s="10"/>
      <c r="E15" s="12"/>
      <c r="F15" s="9"/>
      <c r="G15" s="10"/>
      <c r="H15" s="12"/>
      <c r="I15" s="9"/>
      <c r="J15" s="10"/>
      <c r="K15" s="12"/>
      <c r="L15" s="9"/>
      <c r="M15" s="10"/>
      <c r="N15" s="12"/>
      <c r="O15" s="9"/>
      <c r="P15" s="10"/>
      <c r="Q15" s="12"/>
      <c r="R15" s="9"/>
      <c r="S15" s="7" t="s">
        <v>30</v>
      </c>
      <c r="T15" s="8">
        <v>2.9899999999999999E-2</v>
      </c>
      <c r="U15" s="9" t="s">
        <v>37</v>
      </c>
    </row>
    <row r="16" spans="1:21" ht="15.75" customHeight="1">
      <c r="A16" s="10"/>
      <c r="B16" s="12"/>
      <c r="C16" s="9"/>
      <c r="D16" s="10"/>
      <c r="E16" s="12"/>
      <c r="F16" s="9"/>
      <c r="G16" s="10"/>
      <c r="H16" s="12"/>
      <c r="I16" s="9"/>
      <c r="J16" s="10"/>
      <c r="K16" s="12"/>
      <c r="L16" s="9"/>
      <c r="M16" s="10"/>
      <c r="N16" s="12"/>
      <c r="O16" s="9"/>
      <c r="P16" s="10"/>
      <c r="Q16" s="12"/>
      <c r="R16" s="9"/>
      <c r="S16" s="10"/>
      <c r="T16" s="12"/>
      <c r="U16" s="9"/>
    </row>
    <row r="17" spans="1:21" ht="15.75" customHeight="1">
      <c r="A17" s="10"/>
      <c r="B17" s="12"/>
      <c r="C17" s="9"/>
      <c r="D17" s="10"/>
      <c r="E17" s="12"/>
      <c r="F17" s="9"/>
      <c r="G17" s="10"/>
      <c r="H17" s="12"/>
      <c r="I17" s="9"/>
      <c r="J17" s="10"/>
      <c r="K17" s="12"/>
      <c r="L17" s="9"/>
      <c r="M17" s="10"/>
      <c r="N17" s="12"/>
      <c r="O17" s="9"/>
      <c r="P17" s="10"/>
      <c r="Q17" s="12"/>
      <c r="R17" s="9"/>
      <c r="S17" s="10"/>
      <c r="T17" s="12"/>
      <c r="U17" s="9"/>
    </row>
    <row r="18" spans="1:21" ht="15.75" customHeight="1">
      <c r="A18" s="10"/>
      <c r="B18" s="12"/>
      <c r="C18" s="9"/>
      <c r="D18" s="10"/>
      <c r="E18" s="12"/>
      <c r="F18" s="9"/>
      <c r="G18" s="10"/>
      <c r="H18" s="12"/>
      <c r="I18" s="9"/>
      <c r="J18" s="10"/>
      <c r="K18" s="12"/>
      <c r="L18" s="9"/>
      <c r="M18" s="10"/>
      <c r="N18" s="12"/>
      <c r="O18" s="9"/>
      <c r="P18" s="10"/>
      <c r="Q18" s="12"/>
      <c r="R18" s="9"/>
      <c r="S18" s="10"/>
      <c r="T18" s="12"/>
      <c r="U18" s="9"/>
    </row>
    <row r="19" spans="1:21" ht="15.75" customHeight="1">
      <c r="A19" s="10"/>
      <c r="B19" s="12"/>
      <c r="C19" s="9"/>
      <c r="D19" s="10"/>
      <c r="E19" s="12"/>
      <c r="F19" s="9"/>
      <c r="G19" s="10"/>
      <c r="H19" s="12"/>
      <c r="I19" s="9"/>
      <c r="J19" s="10"/>
      <c r="K19" s="12"/>
      <c r="L19" s="9"/>
      <c r="M19" s="10"/>
      <c r="N19" s="12"/>
      <c r="O19" s="9"/>
      <c r="P19" s="10"/>
      <c r="Q19" s="12"/>
      <c r="R19" s="9"/>
      <c r="S19" s="10"/>
      <c r="T19" s="12"/>
      <c r="U19" s="9"/>
    </row>
    <row r="20" spans="1:21" ht="15.75" customHeight="1">
      <c r="A20" s="10"/>
      <c r="B20" s="12"/>
      <c r="C20" s="9"/>
      <c r="D20" s="10"/>
      <c r="E20" s="12"/>
      <c r="F20" s="9"/>
      <c r="G20" s="10"/>
      <c r="H20" s="12"/>
      <c r="I20" s="9"/>
      <c r="J20" s="10"/>
      <c r="K20" s="12"/>
      <c r="L20" s="9"/>
      <c r="M20" s="10"/>
      <c r="N20" s="12"/>
      <c r="O20" s="9"/>
      <c r="P20" s="10"/>
      <c r="Q20" s="12"/>
      <c r="R20" s="9"/>
      <c r="S20" s="10"/>
      <c r="T20" s="12"/>
      <c r="U20" s="9"/>
    </row>
    <row r="21" spans="1:21" ht="15.75" customHeight="1">
      <c r="A21" s="13"/>
      <c r="B21" s="14"/>
      <c r="C21" s="15"/>
      <c r="D21" s="13"/>
      <c r="E21" s="14"/>
      <c r="F21" s="15"/>
      <c r="G21" s="13"/>
      <c r="H21" s="14"/>
      <c r="I21" s="15"/>
      <c r="J21" s="13"/>
      <c r="K21" s="14"/>
      <c r="L21" s="15"/>
      <c r="M21" s="13"/>
      <c r="N21" s="14"/>
      <c r="O21" s="15"/>
      <c r="P21" s="13"/>
      <c r="Q21" s="14"/>
      <c r="R21" s="15"/>
      <c r="S21" s="13"/>
      <c r="T21" s="14"/>
      <c r="U21" s="15"/>
    </row>
    <row r="22" spans="1:21" ht="15.75" customHeight="1">
      <c r="A22" s="4" t="str">
        <f>IF(8&lt;=DAY(EOMONTH(DATE(2026,$B$1,1),0)),$B$1&amp;"월 8일","")</f>
        <v>5월 8일</v>
      </c>
      <c r="B22" s="5"/>
      <c r="C22" s="6"/>
      <c r="D22" s="4" t="str">
        <f>IF(9&lt;=DAY(EOMONTH(DATE(2026,$B$1,1),0)),$B$1&amp;"월 9일","")</f>
        <v>5월 9일</v>
      </c>
      <c r="E22" s="5"/>
      <c r="F22" s="6"/>
      <c r="G22" s="4" t="str">
        <f>IF(10&lt;=DAY(EOMONTH(DATE(2026,$B$1,1),0)),$B$1&amp;"월 10일","")</f>
        <v>5월 10일</v>
      </c>
      <c r="H22" s="5"/>
      <c r="I22" s="6"/>
      <c r="J22" s="4" t="str">
        <f>IF(11&lt;=DAY(EOMONTH(DATE(2026,$B$1,1),0)),$B$1&amp;"월 11일","")</f>
        <v>5월 11일</v>
      </c>
      <c r="K22" s="5"/>
      <c r="L22" s="6"/>
      <c r="M22" s="4" t="str">
        <f>IF(12&lt;=DAY(EOMONTH(DATE(2026,$B$1,1),0)),$B$1&amp;"월 12일","")</f>
        <v>5월 12일</v>
      </c>
      <c r="N22" s="5"/>
      <c r="O22" s="6"/>
      <c r="P22" s="4" t="str">
        <f>IF(13&lt;=DAY(EOMONTH(DATE(2026,$B$1,1),0)),$B$1&amp;"월 13일","")</f>
        <v>5월 13일</v>
      </c>
      <c r="Q22" s="5"/>
      <c r="R22" s="6"/>
      <c r="S22" s="4" t="str">
        <f>IF(14&lt;=DAY(EOMONTH(DATE(2026,$B$1,1),0)),$B$1&amp;"월 14일","")</f>
        <v>5월 14일</v>
      </c>
      <c r="T22" s="5"/>
      <c r="U22" s="6"/>
    </row>
    <row r="23" spans="1:21" ht="15.75" customHeight="1">
      <c r="A23" s="10" t="s">
        <v>1081</v>
      </c>
      <c r="B23" s="8">
        <v>2.1700000000000001E-2</v>
      </c>
      <c r="C23" s="9" t="s">
        <v>37</v>
      </c>
      <c r="D23" s="7" t="s">
        <v>1082</v>
      </c>
      <c r="E23" s="8">
        <v>0.125</v>
      </c>
      <c r="F23" s="9" t="s">
        <v>33</v>
      </c>
      <c r="G23" s="10" t="s">
        <v>1083</v>
      </c>
      <c r="H23" s="8">
        <v>6.6699999999999995E-2</v>
      </c>
      <c r="I23" s="9"/>
      <c r="J23" s="10" t="s">
        <v>1084</v>
      </c>
      <c r="K23" s="8">
        <v>2.3300000000000001E-2</v>
      </c>
      <c r="L23" s="9" t="s">
        <v>37</v>
      </c>
      <c r="M23" s="10" t="s">
        <v>1085</v>
      </c>
      <c r="N23" s="8">
        <v>3.1300000000000001E-2</v>
      </c>
      <c r="O23" s="9" t="s">
        <v>37</v>
      </c>
      <c r="P23" s="7" t="s">
        <v>1086</v>
      </c>
      <c r="Q23" s="11">
        <v>0.05</v>
      </c>
      <c r="R23" s="9" t="s">
        <v>37</v>
      </c>
      <c r="S23" s="7" t="s">
        <v>1087</v>
      </c>
      <c r="T23" s="8">
        <v>5.7099999999999998E-2</v>
      </c>
      <c r="U23" s="9" t="s">
        <v>33</v>
      </c>
    </row>
    <row r="24" spans="1:21" ht="15.75" customHeight="1">
      <c r="A24" s="10" t="s">
        <v>1088</v>
      </c>
      <c r="B24" s="8">
        <v>2.1700000000000001E-2</v>
      </c>
      <c r="C24" s="9" t="s">
        <v>37</v>
      </c>
      <c r="D24" s="7" t="s">
        <v>1089</v>
      </c>
      <c r="E24" s="8">
        <v>0.125</v>
      </c>
      <c r="F24" s="9" t="s">
        <v>35</v>
      </c>
      <c r="G24" s="7" t="s">
        <v>1090</v>
      </c>
      <c r="H24" s="8">
        <v>6.6699999999999995E-2</v>
      </c>
      <c r="I24" s="9" t="s">
        <v>37</v>
      </c>
      <c r="J24" s="10" t="s">
        <v>1091</v>
      </c>
      <c r="K24" s="8">
        <v>2.3300000000000001E-2</v>
      </c>
      <c r="L24" s="9" t="s">
        <v>37</v>
      </c>
      <c r="M24" s="10" t="s">
        <v>1092</v>
      </c>
      <c r="N24" s="8">
        <v>3.1300000000000001E-2</v>
      </c>
      <c r="O24" s="9" t="s">
        <v>33</v>
      </c>
      <c r="P24" s="10" t="s">
        <v>1093</v>
      </c>
      <c r="Q24" s="8">
        <v>2.5000000000000001E-2</v>
      </c>
      <c r="R24" s="9"/>
      <c r="S24" s="10" t="s">
        <v>1094</v>
      </c>
      <c r="T24" s="8">
        <v>2.86E-2</v>
      </c>
      <c r="U24" s="9" t="s">
        <v>35</v>
      </c>
    </row>
    <row r="25" spans="1:21" ht="15.75" customHeight="1">
      <c r="A25" s="7" t="s">
        <v>30</v>
      </c>
      <c r="B25" s="8">
        <v>2.1700000000000001E-2</v>
      </c>
      <c r="C25" s="9" t="s">
        <v>37</v>
      </c>
      <c r="D25" s="7" t="s">
        <v>1095</v>
      </c>
      <c r="E25" s="8">
        <v>0.125</v>
      </c>
      <c r="F25" s="9"/>
      <c r="G25" s="7" t="s">
        <v>1096</v>
      </c>
      <c r="H25" s="8">
        <v>6.6699999999999995E-2</v>
      </c>
      <c r="I25" s="9" t="s">
        <v>33</v>
      </c>
      <c r="J25" s="10" t="s">
        <v>1097</v>
      </c>
      <c r="K25" s="8">
        <v>2.3300000000000001E-2</v>
      </c>
      <c r="L25" s="9" t="s">
        <v>33</v>
      </c>
      <c r="M25" s="7" t="s">
        <v>1098</v>
      </c>
      <c r="N25" s="8">
        <v>3.1300000000000001E-2</v>
      </c>
      <c r="O25" s="9" t="s">
        <v>37</v>
      </c>
      <c r="P25" s="10" t="s">
        <v>1099</v>
      </c>
      <c r="Q25" s="8">
        <v>2.5000000000000001E-2</v>
      </c>
      <c r="R25" s="9" t="s">
        <v>37</v>
      </c>
      <c r="S25" s="7" t="s">
        <v>1100</v>
      </c>
      <c r="T25" s="8">
        <v>2.86E-2</v>
      </c>
      <c r="U25" s="9" t="s">
        <v>27</v>
      </c>
    </row>
    <row r="26" spans="1:21" ht="15.75" customHeight="1">
      <c r="A26" s="7" t="s">
        <v>1101</v>
      </c>
      <c r="B26" s="8">
        <v>2.1700000000000001E-2</v>
      </c>
      <c r="C26" s="9" t="s">
        <v>27</v>
      </c>
      <c r="D26" s="10"/>
      <c r="E26" s="12"/>
      <c r="F26" s="9"/>
      <c r="G26" s="7" t="s">
        <v>1052</v>
      </c>
      <c r="H26" s="8">
        <v>6.6699999999999995E-2</v>
      </c>
      <c r="I26" s="9" t="s">
        <v>37</v>
      </c>
      <c r="J26" s="7" t="s">
        <v>1102</v>
      </c>
      <c r="K26" s="8">
        <v>2.3300000000000001E-2</v>
      </c>
      <c r="L26" s="9"/>
      <c r="M26" s="7" t="s">
        <v>1103</v>
      </c>
      <c r="N26" s="8">
        <v>3.1300000000000001E-2</v>
      </c>
      <c r="O26" s="9" t="s">
        <v>37</v>
      </c>
      <c r="P26" s="10" t="s">
        <v>1066</v>
      </c>
      <c r="Q26" s="8">
        <v>2.5000000000000001E-2</v>
      </c>
      <c r="R26" s="9" t="s">
        <v>37</v>
      </c>
      <c r="S26" s="7" t="s">
        <v>1042</v>
      </c>
      <c r="T26" s="8">
        <v>2.86E-2</v>
      </c>
      <c r="U26" s="9" t="s">
        <v>33</v>
      </c>
    </row>
    <row r="27" spans="1:21" ht="15.75" customHeight="1">
      <c r="A27" s="7" t="s">
        <v>612</v>
      </c>
      <c r="B27" s="8">
        <v>2.1700000000000001E-2</v>
      </c>
      <c r="C27" s="9" t="s">
        <v>33</v>
      </c>
      <c r="D27" s="10"/>
      <c r="E27" s="12"/>
      <c r="F27" s="9"/>
      <c r="G27" s="7" t="s">
        <v>1104</v>
      </c>
      <c r="H27" s="8">
        <v>6.6699999999999995E-2</v>
      </c>
      <c r="I27" s="9" t="s">
        <v>42</v>
      </c>
      <c r="J27" s="7" t="s">
        <v>43</v>
      </c>
      <c r="K27" s="8">
        <v>2.3300000000000001E-2</v>
      </c>
      <c r="L27" s="9" t="s">
        <v>37</v>
      </c>
      <c r="M27" s="7" t="s">
        <v>1105</v>
      </c>
      <c r="N27" s="8">
        <v>3.1300000000000001E-2</v>
      </c>
      <c r="O27" s="9" t="s">
        <v>27</v>
      </c>
      <c r="P27" s="10" t="s">
        <v>629</v>
      </c>
      <c r="Q27" s="8">
        <v>2.5000000000000001E-2</v>
      </c>
      <c r="R27" s="9" t="s">
        <v>37</v>
      </c>
      <c r="S27" s="7" t="s">
        <v>130</v>
      </c>
      <c r="T27" s="8">
        <v>2.86E-2</v>
      </c>
      <c r="U27" s="9" t="s">
        <v>33</v>
      </c>
    </row>
    <row r="28" spans="1:21" ht="15.75" customHeight="1">
      <c r="A28" s="7" t="s">
        <v>1106</v>
      </c>
      <c r="B28" s="8">
        <v>2.1700000000000001E-2</v>
      </c>
      <c r="C28" s="9" t="s">
        <v>33</v>
      </c>
      <c r="D28" s="10"/>
      <c r="E28" s="12"/>
      <c r="F28" s="9"/>
      <c r="G28" s="10"/>
      <c r="H28" s="12"/>
      <c r="I28" s="9"/>
      <c r="J28" s="7" t="s">
        <v>859</v>
      </c>
      <c r="K28" s="8">
        <v>2.3300000000000001E-2</v>
      </c>
      <c r="L28" s="9" t="s">
        <v>33</v>
      </c>
      <c r="M28" s="7" t="s">
        <v>1107</v>
      </c>
      <c r="N28" s="8">
        <v>3.1300000000000001E-2</v>
      </c>
      <c r="O28" s="9" t="s">
        <v>42</v>
      </c>
      <c r="P28" s="7" t="s">
        <v>1108</v>
      </c>
      <c r="Q28" s="8">
        <v>2.5000000000000001E-2</v>
      </c>
      <c r="R28" s="9"/>
      <c r="S28" s="7" t="s">
        <v>1109</v>
      </c>
      <c r="T28" s="8">
        <v>2.86E-2</v>
      </c>
      <c r="U28" s="9" t="s">
        <v>33</v>
      </c>
    </row>
    <row r="29" spans="1:21" ht="15.75" customHeight="1">
      <c r="A29" s="7" t="s">
        <v>1110</v>
      </c>
      <c r="B29" s="8">
        <v>2.1700000000000001E-2</v>
      </c>
      <c r="C29" s="9" t="s">
        <v>33</v>
      </c>
      <c r="D29" s="10"/>
      <c r="E29" s="12"/>
      <c r="F29" s="9"/>
      <c r="G29" s="10"/>
      <c r="H29" s="12"/>
      <c r="I29" s="9"/>
      <c r="J29" s="7" t="s">
        <v>1111</v>
      </c>
      <c r="K29" s="8">
        <v>2.3300000000000001E-2</v>
      </c>
      <c r="L29" s="9" t="s">
        <v>33</v>
      </c>
      <c r="M29" s="7" t="s">
        <v>1112</v>
      </c>
      <c r="N29" s="8">
        <v>3.1300000000000001E-2</v>
      </c>
      <c r="O29" s="9" t="s">
        <v>42</v>
      </c>
      <c r="P29" s="7" t="s">
        <v>1113</v>
      </c>
      <c r="Q29" s="8">
        <v>2.5000000000000001E-2</v>
      </c>
      <c r="R29" s="9" t="s">
        <v>33</v>
      </c>
      <c r="S29" s="10" t="s">
        <v>1114</v>
      </c>
      <c r="T29" s="8">
        <v>2.86E-2</v>
      </c>
      <c r="U29" s="9" t="s">
        <v>33</v>
      </c>
    </row>
    <row r="30" spans="1:21" ht="15.75" customHeight="1">
      <c r="A30" s="7" t="s">
        <v>1115</v>
      </c>
      <c r="B30" s="8">
        <v>2.1700000000000001E-2</v>
      </c>
      <c r="C30" s="9" t="s">
        <v>33</v>
      </c>
      <c r="D30" s="10"/>
      <c r="E30" s="12"/>
      <c r="F30" s="9"/>
      <c r="G30" s="10"/>
      <c r="H30" s="12"/>
      <c r="I30" s="9"/>
      <c r="J30" s="7" t="s">
        <v>1116</v>
      </c>
      <c r="K30" s="8">
        <v>2.3300000000000001E-2</v>
      </c>
      <c r="L30" s="9" t="s">
        <v>33</v>
      </c>
      <c r="M30" s="7" t="s">
        <v>1052</v>
      </c>
      <c r="N30" s="8">
        <v>6.25E-2</v>
      </c>
      <c r="O30" s="9" t="s">
        <v>37</v>
      </c>
      <c r="P30" s="7" t="s">
        <v>1117</v>
      </c>
      <c r="Q30" s="8">
        <v>2.5000000000000001E-2</v>
      </c>
      <c r="R30" s="9" t="s">
        <v>42</v>
      </c>
      <c r="S30" s="7" t="s">
        <v>1118</v>
      </c>
      <c r="T30" s="8">
        <v>2.86E-2</v>
      </c>
      <c r="U30" s="9" t="s">
        <v>37</v>
      </c>
    </row>
    <row r="31" spans="1:21" ht="15.75" customHeight="1">
      <c r="A31" s="7" t="s">
        <v>1119</v>
      </c>
      <c r="B31" s="8">
        <v>2.1700000000000001E-2</v>
      </c>
      <c r="C31" s="9" t="s">
        <v>33</v>
      </c>
      <c r="D31" s="10"/>
      <c r="E31" s="12"/>
      <c r="F31" s="9"/>
      <c r="G31" s="10"/>
      <c r="H31" s="12"/>
      <c r="I31" s="9"/>
      <c r="J31" s="7" t="s">
        <v>1052</v>
      </c>
      <c r="K31" s="8">
        <v>4.65E-2</v>
      </c>
      <c r="L31" s="9" t="s">
        <v>37</v>
      </c>
      <c r="M31" s="7" t="s">
        <v>1120</v>
      </c>
      <c r="N31" s="8">
        <v>3.1300000000000001E-2</v>
      </c>
      <c r="O31" s="9" t="s">
        <v>37</v>
      </c>
      <c r="P31" s="7" t="s">
        <v>1121</v>
      </c>
      <c r="Q31" s="8">
        <v>2.5000000000000001E-2</v>
      </c>
      <c r="R31" s="9" t="s">
        <v>33</v>
      </c>
      <c r="S31" s="10"/>
      <c r="T31" s="12"/>
      <c r="U31" s="9"/>
    </row>
    <row r="32" spans="1:21" ht="15.75" customHeight="1">
      <c r="A32" s="7" t="s">
        <v>1122</v>
      </c>
      <c r="B32" s="8">
        <v>2.1700000000000001E-2</v>
      </c>
      <c r="C32" s="9" t="s">
        <v>37</v>
      </c>
      <c r="D32" s="10"/>
      <c r="E32" s="12"/>
      <c r="F32" s="9"/>
      <c r="G32" s="10"/>
      <c r="H32" s="12"/>
      <c r="I32" s="9"/>
      <c r="J32" s="7" t="s">
        <v>593</v>
      </c>
      <c r="K32" s="8">
        <v>2.3300000000000001E-2</v>
      </c>
      <c r="L32" s="9" t="s">
        <v>27</v>
      </c>
      <c r="M32" s="7" t="s">
        <v>30</v>
      </c>
      <c r="N32" s="8">
        <v>3.1300000000000001E-2</v>
      </c>
      <c r="O32" s="9" t="s">
        <v>37</v>
      </c>
      <c r="P32" s="7" t="s">
        <v>612</v>
      </c>
      <c r="Q32" s="8">
        <v>2.5000000000000001E-2</v>
      </c>
      <c r="R32" s="9" t="s">
        <v>33</v>
      </c>
      <c r="S32" s="10"/>
      <c r="T32" s="12"/>
      <c r="U32" s="9"/>
    </row>
    <row r="33" spans="1:21" ht="15.75" customHeight="1">
      <c r="A33" s="7" t="s">
        <v>1123</v>
      </c>
      <c r="B33" s="8">
        <v>2.1700000000000001E-2</v>
      </c>
      <c r="C33" s="9" t="s">
        <v>42</v>
      </c>
      <c r="D33" s="10"/>
      <c r="E33" s="12"/>
      <c r="F33" s="9"/>
      <c r="G33" s="10"/>
      <c r="H33" s="12"/>
      <c r="I33" s="9"/>
      <c r="J33" s="7" t="s">
        <v>1124</v>
      </c>
      <c r="K33" s="8">
        <v>2.3300000000000001E-2</v>
      </c>
      <c r="L33" s="9" t="s">
        <v>33</v>
      </c>
      <c r="M33" s="7" t="s">
        <v>1125</v>
      </c>
      <c r="N33" s="8">
        <v>3.1300000000000001E-2</v>
      </c>
      <c r="O33" s="9" t="s">
        <v>42</v>
      </c>
      <c r="P33" s="7" t="s">
        <v>166</v>
      </c>
      <c r="Q33" s="8">
        <v>2.5000000000000001E-2</v>
      </c>
      <c r="R33" s="9" t="s">
        <v>33</v>
      </c>
      <c r="S33" s="10"/>
      <c r="T33" s="12"/>
      <c r="U33" s="9"/>
    </row>
    <row r="34" spans="1:21" ht="15.75" customHeight="1">
      <c r="A34" s="7" t="s">
        <v>572</v>
      </c>
      <c r="B34" s="8">
        <v>4.3499999999999997E-2</v>
      </c>
      <c r="C34" s="9" t="s">
        <v>33</v>
      </c>
      <c r="D34" s="10"/>
      <c r="E34" s="12"/>
      <c r="F34" s="9"/>
      <c r="G34" s="10"/>
      <c r="H34" s="12"/>
      <c r="I34" s="9"/>
      <c r="J34" s="10"/>
      <c r="K34" s="12"/>
      <c r="L34" s="9"/>
      <c r="M34" s="7" t="s">
        <v>325</v>
      </c>
      <c r="N34" s="8">
        <v>3.1300000000000001E-2</v>
      </c>
      <c r="O34" s="9" t="s">
        <v>33</v>
      </c>
      <c r="P34" s="7" t="s">
        <v>883</v>
      </c>
      <c r="Q34" s="8">
        <v>2.5000000000000001E-2</v>
      </c>
      <c r="R34" s="9" t="s">
        <v>33</v>
      </c>
      <c r="S34" s="10"/>
      <c r="T34" s="12"/>
      <c r="U34" s="9"/>
    </row>
    <row r="35" spans="1:21" ht="15.75" customHeight="1">
      <c r="A35" s="7" t="s">
        <v>1052</v>
      </c>
      <c r="B35" s="8">
        <v>4.3499999999999997E-2</v>
      </c>
      <c r="C35" s="9" t="s">
        <v>37</v>
      </c>
      <c r="D35" s="10"/>
      <c r="E35" s="12"/>
      <c r="F35" s="9"/>
      <c r="G35" s="10"/>
      <c r="H35" s="12"/>
      <c r="I35" s="9"/>
      <c r="J35" s="10"/>
      <c r="K35" s="12"/>
      <c r="L35" s="9"/>
      <c r="M35" s="10"/>
      <c r="N35" s="12"/>
      <c r="O35" s="9"/>
      <c r="P35" s="7" t="s">
        <v>1126</v>
      </c>
      <c r="Q35" s="8">
        <v>2.5000000000000001E-2</v>
      </c>
      <c r="R35" s="9" t="s">
        <v>33</v>
      </c>
      <c r="S35" s="10"/>
      <c r="T35" s="12"/>
      <c r="U35" s="9"/>
    </row>
    <row r="36" spans="1:21" ht="15.75" customHeight="1">
      <c r="A36" s="7" t="s">
        <v>1127</v>
      </c>
      <c r="B36" s="8">
        <v>4.3499999999999997E-2</v>
      </c>
      <c r="C36" s="9" t="s">
        <v>42</v>
      </c>
      <c r="D36" s="10"/>
      <c r="E36" s="12"/>
      <c r="F36" s="9"/>
      <c r="G36" s="10"/>
      <c r="H36" s="12"/>
      <c r="I36" s="9"/>
      <c r="J36" s="10"/>
      <c r="K36" s="12"/>
      <c r="L36" s="9"/>
      <c r="M36" s="10"/>
      <c r="N36" s="12"/>
      <c r="O36" s="9"/>
      <c r="P36" s="7" t="s">
        <v>1128</v>
      </c>
      <c r="Q36" s="8">
        <v>2.5000000000000001E-2</v>
      </c>
      <c r="R36" s="9" t="s">
        <v>42</v>
      </c>
      <c r="S36" s="10"/>
      <c r="T36" s="12"/>
      <c r="U36" s="9"/>
    </row>
    <row r="37" spans="1:21" ht="15.75" customHeight="1">
      <c r="A37" s="7" t="s">
        <v>1129</v>
      </c>
      <c r="B37" s="8">
        <v>2.1700000000000001E-2</v>
      </c>
      <c r="C37" s="9" t="s">
        <v>37</v>
      </c>
      <c r="D37" s="10"/>
      <c r="E37" s="12"/>
      <c r="F37" s="9"/>
      <c r="G37" s="10"/>
      <c r="H37" s="12"/>
      <c r="I37" s="9"/>
      <c r="J37" s="10"/>
      <c r="K37" s="12"/>
      <c r="L37" s="9"/>
      <c r="M37" s="10"/>
      <c r="N37" s="12"/>
      <c r="O37" s="9"/>
      <c r="P37" s="10" t="s">
        <v>1130</v>
      </c>
      <c r="Q37" s="8">
        <v>2.5000000000000001E-2</v>
      </c>
      <c r="R37" s="9" t="s">
        <v>42</v>
      </c>
      <c r="S37" s="10"/>
      <c r="T37" s="12"/>
      <c r="U37" s="9"/>
    </row>
    <row r="38" spans="1:21" ht="15.75" customHeight="1">
      <c r="A38" s="7" t="s">
        <v>1131</v>
      </c>
      <c r="B38" s="8">
        <v>2.1700000000000001E-2</v>
      </c>
      <c r="C38" s="9" t="s">
        <v>42</v>
      </c>
      <c r="D38" s="10"/>
      <c r="E38" s="12"/>
      <c r="F38" s="9"/>
      <c r="G38" s="10"/>
      <c r="H38" s="12"/>
      <c r="I38" s="9"/>
      <c r="J38" s="10"/>
      <c r="K38" s="12"/>
      <c r="L38" s="9"/>
      <c r="M38" s="10"/>
      <c r="N38" s="12"/>
      <c r="O38" s="9"/>
      <c r="P38" s="7" t="s">
        <v>1132</v>
      </c>
      <c r="Q38" s="8">
        <v>2.5000000000000001E-2</v>
      </c>
      <c r="R38" s="9" t="s">
        <v>33</v>
      </c>
      <c r="S38" s="10"/>
      <c r="T38" s="12"/>
      <c r="U38" s="9"/>
    </row>
    <row r="39" spans="1:21" ht="15.75" customHeight="1">
      <c r="A39" s="7" t="s">
        <v>1133</v>
      </c>
      <c r="B39" s="8">
        <v>2.1700000000000001E-2</v>
      </c>
      <c r="C39" s="9"/>
      <c r="D39" s="10"/>
      <c r="E39" s="12"/>
      <c r="F39" s="9"/>
      <c r="G39" s="10"/>
      <c r="H39" s="12"/>
      <c r="I39" s="9"/>
      <c r="J39" s="10"/>
      <c r="K39" s="12"/>
      <c r="L39" s="9"/>
      <c r="M39" s="10"/>
      <c r="N39" s="12"/>
      <c r="O39" s="9"/>
      <c r="P39" s="7" t="s">
        <v>166</v>
      </c>
      <c r="Q39" s="8">
        <v>2.5000000000000001E-2</v>
      </c>
      <c r="R39" s="9" t="s">
        <v>33</v>
      </c>
      <c r="S39" s="10"/>
      <c r="T39" s="12"/>
      <c r="U39" s="9"/>
    </row>
    <row r="40" spans="1:21" ht="15.75" customHeight="1">
      <c r="A40" s="10"/>
      <c r="B40" s="12"/>
      <c r="C40" s="9"/>
      <c r="D40" s="10"/>
      <c r="E40" s="12"/>
      <c r="F40" s="9"/>
      <c r="G40" s="10"/>
      <c r="H40" s="12"/>
      <c r="I40" s="9"/>
      <c r="J40" s="10"/>
      <c r="K40" s="12"/>
      <c r="L40" s="9"/>
      <c r="M40" s="10"/>
      <c r="N40" s="12"/>
      <c r="O40" s="9"/>
      <c r="P40" s="7" t="s">
        <v>1134</v>
      </c>
      <c r="Q40" s="8">
        <v>2.5000000000000001E-2</v>
      </c>
      <c r="R40" s="9" t="s">
        <v>33</v>
      </c>
      <c r="S40" s="10"/>
      <c r="T40" s="12"/>
      <c r="U40" s="9"/>
    </row>
    <row r="41" spans="1:21" ht="15.75" customHeight="1">
      <c r="A41" s="10"/>
      <c r="B41" s="12"/>
      <c r="C41" s="9"/>
      <c r="D41" s="10"/>
      <c r="E41" s="12"/>
      <c r="F41" s="9"/>
      <c r="G41" s="10"/>
      <c r="H41" s="12"/>
      <c r="I41" s="9"/>
      <c r="J41" s="10"/>
      <c r="K41" s="12"/>
      <c r="L41" s="9"/>
      <c r="M41" s="10"/>
      <c r="N41" s="12"/>
      <c r="O41" s="9"/>
      <c r="P41" s="7" t="s">
        <v>1135</v>
      </c>
      <c r="Q41" s="8">
        <v>2.5000000000000001E-2</v>
      </c>
      <c r="R41" s="9" t="s">
        <v>42</v>
      </c>
      <c r="S41" s="10"/>
      <c r="T41" s="12"/>
      <c r="U41" s="9"/>
    </row>
    <row r="42" spans="1:21" ht="15.75" customHeight="1">
      <c r="A42" s="10"/>
      <c r="B42" s="12"/>
      <c r="C42" s="9"/>
      <c r="D42" s="10"/>
      <c r="E42" s="12"/>
      <c r="F42" s="9"/>
      <c r="G42" s="10"/>
      <c r="H42" s="12"/>
      <c r="I42" s="9"/>
      <c r="J42" s="10"/>
      <c r="K42" s="12"/>
      <c r="L42" s="9"/>
      <c r="M42" s="10"/>
      <c r="N42" s="12"/>
      <c r="O42" s="9"/>
      <c r="P42" s="7" t="s">
        <v>1136</v>
      </c>
      <c r="Q42" s="8">
        <v>2.5000000000000001E-2</v>
      </c>
      <c r="R42" s="9" t="s">
        <v>42</v>
      </c>
      <c r="S42" s="10"/>
      <c r="T42" s="12"/>
      <c r="U42" s="9"/>
    </row>
    <row r="43" spans="1:21" ht="15.75" customHeight="1">
      <c r="A43" s="10"/>
      <c r="B43" s="12"/>
      <c r="C43" s="9"/>
      <c r="D43" s="10"/>
      <c r="E43" s="12"/>
      <c r="F43" s="9"/>
      <c r="G43" s="10"/>
      <c r="H43" s="12"/>
      <c r="I43" s="9"/>
      <c r="J43" s="10"/>
      <c r="K43" s="12"/>
      <c r="L43" s="9"/>
      <c r="M43" s="10"/>
      <c r="N43" s="12"/>
      <c r="O43" s="9"/>
      <c r="P43" s="7" t="s">
        <v>30</v>
      </c>
      <c r="Q43" s="8">
        <v>2.5000000000000001E-2</v>
      </c>
      <c r="R43" s="9" t="s">
        <v>37</v>
      </c>
      <c r="S43" s="10"/>
      <c r="T43" s="12"/>
      <c r="U43" s="9"/>
    </row>
    <row r="44" spans="1:21" ht="15.75" customHeight="1">
      <c r="A44" s="10"/>
      <c r="B44" s="12"/>
      <c r="C44" s="9"/>
      <c r="D44" s="10"/>
      <c r="E44" s="12"/>
      <c r="F44" s="9"/>
      <c r="G44" s="10"/>
      <c r="H44" s="12"/>
      <c r="I44" s="9"/>
      <c r="J44" s="10"/>
      <c r="K44" s="12"/>
      <c r="L44" s="9"/>
      <c r="M44" s="10"/>
      <c r="N44" s="12"/>
      <c r="O44" s="9"/>
      <c r="P44" s="10"/>
      <c r="Q44" s="12"/>
      <c r="R44" s="9"/>
      <c r="S44" s="10"/>
      <c r="T44" s="12"/>
      <c r="U44" s="9"/>
    </row>
    <row r="45" spans="1:21" ht="15.75" customHeight="1">
      <c r="A45" s="10"/>
      <c r="B45" s="12"/>
      <c r="C45" s="9"/>
      <c r="D45" s="10"/>
      <c r="E45" s="12"/>
      <c r="F45" s="9"/>
      <c r="G45" s="10"/>
      <c r="H45" s="12"/>
      <c r="I45" s="9"/>
      <c r="J45" s="10"/>
      <c r="K45" s="12"/>
      <c r="L45" s="9"/>
      <c r="M45" s="10"/>
      <c r="N45" s="12"/>
      <c r="O45" s="9"/>
      <c r="P45" s="10"/>
      <c r="Q45" s="12"/>
      <c r="R45" s="9"/>
      <c r="S45" s="10"/>
      <c r="T45" s="12"/>
      <c r="U45" s="9"/>
    </row>
    <row r="46" spans="1:21" ht="15.75" customHeight="1">
      <c r="A46" s="13"/>
      <c r="B46" s="14"/>
      <c r="C46" s="15"/>
      <c r="D46" s="13"/>
      <c r="E46" s="14"/>
      <c r="F46" s="15"/>
      <c r="G46" s="13"/>
      <c r="H46" s="14"/>
      <c r="I46" s="15"/>
      <c r="J46" s="13"/>
      <c r="K46" s="14"/>
      <c r="L46" s="15"/>
      <c r="M46" s="13"/>
      <c r="N46" s="14"/>
      <c r="O46" s="15"/>
      <c r="P46" s="13"/>
      <c r="Q46" s="14"/>
      <c r="R46" s="15"/>
      <c r="S46" s="13"/>
      <c r="T46" s="14"/>
      <c r="U46" s="15"/>
    </row>
    <row r="47" spans="1:21" ht="15.75" customHeight="1">
      <c r="A47" s="4" t="str">
        <f>IF(15&lt;=DAY(EOMONTH(DATE(2026,$B$1,1),0)),$B$1&amp;"월 15일","")</f>
        <v>5월 15일</v>
      </c>
      <c r="B47" s="5"/>
      <c r="C47" s="6"/>
      <c r="D47" s="4" t="str">
        <f>IF(16&lt;=DAY(EOMONTH(DATE(2026,$B$1,1),0)),$B$1&amp;"월 16일","")</f>
        <v>5월 16일</v>
      </c>
      <c r="E47" s="5"/>
      <c r="F47" s="6"/>
      <c r="G47" s="4" t="str">
        <f>IF(17&lt;=DAY(EOMONTH(DATE(2026,$B$1,1),0)),$B$1&amp;"월 17일","")</f>
        <v>5월 17일</v>
      </c>
      <c r="H47" s="5"/>
      <c r="I47" s="6"/>
      <c r="J47" s="4" t="str">
        <f>IF(18&lt;=DAY(EOMONTH(DATE(2026,$B$1,1),0)),$B$1&amp;"월 18일","")</f>
        <v>5월 18일</v>
      </c>
      <c r="K47" s="5"/>
      <c r="L47" s="6"/>
      <c r="M47" s="4" t="str">
        <f>IF(19&lt;=DAY(EOMONTH(DATE(2026,$B$1,1),0)),$B$1&amp;"월 19일","")</f>
        <v>5월 19일</v>
      </c>
      <c r="N47" s="5"/>
      <c r="O47" s="6"/>
      <c r="P47" s="4" t="str">
        <f>IF(20&lt;=DAY(EOMONTH(DATE(2026,$B$1,1),0)),$B$1&amp;"월 20일","")</f>
        <v>5월 20일</v>
      </c>
      <c r="Q47" s="5"/>
      <c r="R47" s="6"/>
      <c r="S47" s="4" t="str">
        <f>IF(21&lt;=DAY(EOMONTH(DATE(2026,$B$1,1),0)),$B$1&amp;"월 21일","")</f>
        <v>5월 21일</v>
      </c>
      <c r="T47" s="5"/>
      <c r="U47" s="6"/>
    </row>
    <row r="48" spans="1:21" ht="15.75" customHeight="1">
      <c r="A48" s="7" t="s">
        <v>442</v>
      </c>
      <c r="B48" s="8">
        <v>2.5600000000000001E-2</v>
      </c>
      <c r="C48" s="9" t="s">
        <v>27</v>
      </c>
      <c r="D48" s="10" t="s">
        <v>1046</v>
      </c>
      <c r="E48" s="11">
        <v>0.08</v>
      </c>
      <c r="F48" s="9" t="s">
        <v>33</v>
      </c>
      <c r="G48" s="10" t="s">
        <v>1137</v>
      </c>
      <c r="H48" s="8">
        <v>0.1111</v>
      </c>
      <c r="I48" s="9"/>
      <c r="J48" s="10" t="s">
        <v>1138</v>
      </c>
      <c r="K48" s="8">
        <v>4.1700000000000001E-2</v>
      </c>
      <c r="L48" s="9" t="s">
        <v>35</v>
      </c>
      <c r="M48" s="7" t="s">
        <v>1080</v>
      </c>
      <c r="N48" s="8">
        <v>6.9000000000000006E-2</v>
      </c>
      <c r="O48" s="9" t="s">
        <v>37</v>
      </c>
      <c r="P48" s="10" t="s">
        <v>1139</v>
      </c>
      <c r="Q48" s="11">
        <v>0.05</v>
      </c>
      <c r="R48" s="9" t="s">
        <v>42</v>
      </c>
      <c r="S48" s="7" t="s">
        <v>83</v>
      </c>
      <c r="T48" s="8">
        <v>2.1899999999999999E-2</v>
      </c>
      <c r="U48" s="9" t="s">
        <v>42</v>
      </c>
    </row>
    <row r="49" spans="1:21" ht="15.75" customHeight="1">
      <c r="A49" s="7" t="s">
        <v>1140</v>
      </c>
      <c r="B49" s="8">
        <v>2.5600000000000001E-2</v>
      </c>
      <c r="C49" s="9" t="s">
        <v>42</v>
      </c>
      <c r="D49" s="7" t="s">
        <v>1141</v>
      </c>
      <c r="E49" s="11">
        <v>0.04</v>
      </c>
      <c r="F49" s="9" t="s">
        <v>33</v>
      </c>
      <c r="G49" s="7" t="s">
        <v>1087</v>
      </c>
      <c r="H49" s="8">
        <v>0.1111</v>
      </c>
      <c r="I49" s="9" t="s">
        <v>33</v>
      </c>
      <c r="J49" s="10" t="s">
        <v>1142</v>
      </c>
      <c r="K49" s="8">
        <v>4.1700000000000001E-2</v>
      </c>
      <c r="L49" s="9" t="s">
        <v>37</v>
      </c>
      <c r="M49" s="10" t="s">
        <v>1143</v>
      </c>
      <c r="N49" s="8">
        <v>3.4500000000000003E-2</v>
      </c>
      <c r="O49" s="9" t="s">
        <v>37</v>
      </c>
      <c r="P49" s="7" t="s">
        <v>572</v>
      </c>
      <c r="Q49" s="11">
        <v>0.05</v>
      </c>
      <c r="R49" s="9" t="s">
        <v>33</v>
      </c>
      <c r="S49" s="7" t="s">
        <v>818</v>
      </c>
      <c r="T49" s="8">
        <v>1.46E-2</v>
      </c>
      <c r="U49" s="9" t="s">
        <v>33</v>
      </c>
    </row>
    <row r="50" spans="1:21" ht="15.75" customHeight="1">
      <c r="A50" s="7" t="s">
        <v>30</v>
      </c>
      <c r="B50" s="8">
        <v>2.5600000000000001E-2</v>
      </c>
      <c r="C50" s="9" t="s">
        <v>37</v>
      </c>
      <c r="D50" s="7" t="s">
        <v>1144</v>
      </c>
      <c r="E50" s="11">
        <v>0.04</v>
      </c>
      <c r="F50" s="9" t="s">
        <v>42</v>
      </c>
      <c r="G50" s="7" t="s">
        <v>883</v>
      </c>
      <c r="H50" s="8">
        <v>0.1111</v>
      </c>
      <c r="I50" s="9" t="s">
        <v>33</v>
      </c>
      <c r="J50" s="10" t="s">
        <v>1145</v>
      </c>
      <c r="K50" s="8">
        <v>4.1700000000000001E-2</v>
      </c>
      <c r="L50" s="9" t="s">
        <v>37</v>
      </c>
      <c r="M50" s="10" t="s">
        <v>1146</v>
      </c>
      <c r="N50" s="8">
        <v>3.4500000000000003E-2</v>
      </c>
      <c r="O50" s="9" t="s">
        <v>35</v>
      </c>
      <c r="P50" s="7" t="s">
        <v>593</v>
      </c>
      <c r="Q50" s="11">
        <v>0.05</v>
      </c>
      <c r="R50" s="9" t="s">
        <v>27</v>
      </c>
      <c r="S50" s="10" t="s">
        <v>1147</v>
      </c>
      <c r="T50" s="8">
        <v>7.3000000000000001E-3</v>
      </c>
      <c r="U50" s="9" t="s">
        <v>27</v>
      </c>
    </row>
    <row r="51" spans="1:21" ht="15.75" customHeight="1">
      <c r="A51" s="7" t="s">
        <v>71</v>
      </c>
      <c r="B51" s="8">
        <v>2.5600000000000001E-2</v>
      </c>
      <c r="C51" s="9" t="s">
        <v>27</v>
      </c>
      <c r="D51" s="7" t="s">
        <v>1148</v>
      </c>
      <c r="E51" s="11">
        <v>0.04</v>
      </c>
      <c r="F51" s="9" t="s">
        <v>27</v>
      </c>
      <c r="G51" s="7" t="s">
        <v>1149</v>
      </c>
      <c r="H51" s="8">
        <v>0.1111</v>
      </c>
      <c r="I51" s="9" t="s">
        <v>42</v>
      </c>
      <c r="J51" s="7" t="s">
        <v>30</v>
      </c>
      <c r="K51" s="8">
        <v>4.1700000000000001E-2</v>
      </c>
      <c r="L51" s="9" t="s">
        <v>37</v>
      </c>
      <c r="M51" s="7" t="s">
        <v>920</v>
      </c>
      <c r="N51" s="8">
        <v>3.4500000000000003E-2</v>
      </c>
      <c r="O51" s="9" t="s">
        <v>37</v>
      </c>
      <c r="P51" s="7" t="s">
        <v>1150</v>
      </c>
      <c r="Q51" s="11">
        <v>0.05</v>
      </c>
      <c r="R51" s="9" t="s">
        <v>37</v>
      </c>
      <c r="S51" s="7" t="s">
        <v>1151</v>
      </c>
      <c r="T51" s="8">
        <v>7.3000000000000001E-3</v>
      </c>
      <c r="U51" s="9" t="s">
        <v>33</v>
      </c>
    </row>
    <row r="52" spans="1:21" ht="15.75" customHeight="1">
      <c r="A52" s="7" t="s">
        <v>1152</v>
      </c>
      <c r="B52" s="8">
        <v>2.5600000000000001E-2</v>
      </c>
      <c r="C52" s="9"/>
      <c r="D52" s="7" t="s">
        <v>572</v>
      </c>
      <c r="E52" s="11">
        <v>0.04</v>
      </c>
      <c r="F52" s="9" t="s">
        <v>33</v>
      </c>
      <c r="G52" s="10"/>
      <c r="H52" s="12"/>
      <c r="I52" s="9"/>
      <c r="J52" s="7" t="s">
        <v>367</v>
      </c>
      <c r="K52" s="8">
        <v>4.1700000000000001E-2</v>
      </c>
      <c r="L52" s="9" t="s">
        <v>37</v>
      </c>
      <c r="M52" s="7" t="s">
        <v>612</v>
      </c>
      <c r="N52" s="8">
        <v>3.4500000000000003E-2</v>
      </c>
      <c r="O52" s="9" t="s">
        <v>33</v>
      </c>
      <c r="P52" s="7" t="s">
        <v>41</v>
      </c>
      <c r="Q52" s="11">
        <v>0.05</v>
      </c>
      <c r="R52" s="9" t="s">
        <v>42</v>
      </c>
      <c r="S52" s="7" t="s">
        <v>1153</v>
      </c>
      <c r="T52" s="8">
        <v>7.3000000000000001E-3</v>
      </c>
      <c r="U52" s="9" t="s">
        <v>37</v>
      </c>
    </row>
    <row r="53" spans="1:21" ht="15.75" customHeight="1">
      <c r="A53" s="7" t="s">
        <v>1154</v>
      </c>
      <c r="B53" s="8">
        <v>2.5600000000000001E-2</v>
      </c>
      <c r="C53" s="9" t="s">
        <v>42</v>
      </c>
      <c r="D53" s="7" t="s">
        <v>325</v>
      </c>
      <c r="E53" s="11">
        <v>0.04</v>
      </c>
      <c r="F53" s="9" t="s">
        <v>33</v>
      </c>
      <c r="G53" s="10"/>
      <c r="H53" s="12"/>
      <c r="I53" s="9"/>
      <c r="J53" s="7" t="s">
        <v>883</v>
      </c>
      <c r="K53" s="8">
        <v>4.1700000000000001E-2</v>
      </c>
      <c r="L53" s="9" t="s">
        <v>33</v>
      </c>
      <c r="M53" s="10" t="s">
        <v>629</v>
      </c>
      <c r="N53" s="8">
        <v>3.4500000000000003E-2</v>
      </c>
      <c r="O53" s="9" t="s">
        <v>37</v>
      </c>
      <c r="P53" s="7" t="s">
        <v>1155</v>
      </c>
      <c r="Q53" s="11">
        <v>0.05</v>
      </c>
      <c r="R53" s="9" t="s">
        <v>33</v>
      </c>
      <c r="S53" s="7" t="s">
        <v>1079</v>
      </c>
      <c r="T53" s="8">
        <v>7.3000000000000001E-3</v>
      </c>
      <c r="U53" s="9" t="s">
        <v>33</v>
      </c>
    </row>
    <row r="54" spans="1:21" ht="15.75" customHeight="1">
      <c r="A54" s="10" t="s">
        <v>1156</v>
      </c>
      <c r="B54" s="8">
        <v>2.5600000000000001E-2</v>
      </c>
      <c r="C54" s="9" t="s">
        <v>37</v>
      </c>
      <c r="D54" s="10"/>
      <c r="E54" s="12"/>
      <c r="F54" s="9"/>
      <c r="G54" s="10"/>
      <c r="H54" s="12"/>
      <c r="I54" s="9"/>
      <c r="J54" s="10" t="s">
        <v>402</v>
      </c>
      <c r="K54" s="8">
        <v>4.1700000000000001E-2</v>
      </c>
      <c r="L54" s="9" t="s">
        <v>33</v>
      </c>
      <c r="M54" s="7" t="s">
        <v>1157</v>
      </c>
      <c r="N54" s="8">
        <v>3.4500000000000003E-2</v>
      </c>
      <c r="O54" s="9"/>
      <c r="P54" s="7" t="s">
        <v>1158</v>
      </c>
      <c r="Q54" s="11">
        <v>0.05</v>
      </c>
      <c r="R54" s="9" t="s">
        <v>42</v>
      </c>
      <c r="S54" s="10" t="s">
        <v>1159</v>
      </c>
      <c r="T54" s="8">
        <v>7.3000000000000001E-3</v>
      </c>
      <c r="U54" s="9" t="s">
        <v>33</v>
      </c>
    </row>
    <row r="55" spans="1:21" ht="15.75" customHeight="1">
      <c r="A55" s="10"/>
      <c r="B55" s="12"/>
      <c r="C55" s="9"/>
      <c r="D55" s="10"/>
      <c r="E55" s="12"/>
      <c r="F55" s="9"/>
      <c r="G55" s="10"/>
      <c r="H55" s="12"/>
      <c r="I55" s="9"/>
      <c r="J55" s="7" t="s">
        <v>30</v>
      </c>
      <c r="K55" s="8">
        <v>4.1700000000000001E-2</v>
      </c>
      <c r="L55" s="9" t="s">
        <v>37</v>
      </c>
      <c r="M55" s="7" t="s">
        <v>1160</v>
      </c>
      <c r="N55" s="8">
        <v>3.4500000000000003E-2</v>
      </c>
      <c r="O55" s="9" t="s">
        <v>33</v>
      </c>
      <c r="P55" s="7" t="s">
        <v>30</v>
      </c>
      <c r="Q55" s="11">
        <v>0.05</v>
      </c>
      <c r="R55" s="9" t="s">
        <v>37</v>
      </c>
      <c r="S55" s="7" t="s">
        <v>1161</v>
      </c>
      <c r="T55" s="8">
        <v>7.3000000000000001E-3</v>
      </c>
      <c r="U55" s="9" t="s">
        <v>33</v>
      </c>
    </row>
    <row r="56" spans="1:21" ht="15.75" customHeight="1">
      <c r="A56" s="10"/>
      <c r="B56" s="12"/>
      <c r="C56" s="9"/>
      <c r="D56" s="10"/>
      <c r="E56" s="12"/>
      <c r="F56" s="9"/>
      <c r="G56" s="10"/>
      <c r="H56" s="12"/>
      <c r="I56" s="9"/>
      <c r="J56" s="7" t="s">
        <v>612</v>
      </c>
      <c r="K56" s="8">
        <v>4.1700000000000001E-2</v>
      </c>
      <c r="L56" s="9" t="s">
        <v>33</v>
      </c>
      <c r="M56" s="7" t="s">
        <v>325</v>
      </c>
      <c r="N56" s="8">
        <v>3.4500000000000003E-2</v>
      </c>
      <c r="O56" s="9" t="s">
        <v>33</v>
      </c>
      <c r="P56" s="7" t="s">
        <v>1162</v>
      </c>
      <c r="Q56" s="11">
        <v>0.05</v>
      </c>
      <c r="R56" s="9" t="s">
        <v>33</v>
      </c>
      <c r="S56" s="7" t="s">
        <v>30</v>
      </c>
      <c r="T56" s="8">
        <v>7.3000000000000001E-3</v>
      </c>
      <c r="U56" s="9" t="s">
        <v>37</v>
      </c>
    </row>
    <row r="57" spans="1:21" ht="15.75" customHeight="1">
      <c r="A57" s="10"/>
      <c r="B57" s="12"/>
      <c r="C57" s="9"/>
      <c r="D57" s="10"/>
      <c r="E57" s="12"/>
      <c r="F57" s="9"/>
      <c r="G57" s="10"/>
      <c r="H57" s="12"/>
      <c r="I57" s="9"/>
      <c r="J57" s="10" t="s">
        <v>1163</v>
      </c>
      <c r="K57" s="8">
        <v>4.1700000000000001E-2</v>
      </c>
      <c r="L57" s="9" t="s">
        <v>33</v>
      </c>
      <c r="M57" s="7" t="s">
        <v>30</v>
      </c>
      <c r="N57" s="8">
        <v>3.4500000000000003E-2</v>
      </c>
      <c r="O57" s="9" t="s">
        <v>37</v>
      </c>
      <c r="P57" s="7" t="s">
        <v>728</v>
      </c>
      <c r="Q57" s="11">
        <v>0.05</v>
      </c>
      <c r="R57" s="9" t="s">
        <v>33</v>
      </c>
      <c r="S57" s="7" t="s">
        <v>1164</v>
      </c>
      <c r="T57" s="8">
        <v>7.3000000000000001E-3</v>
      </c>
      <c r="U57" s="9" t="s">
        <v>33</v>
      </c>
    </row>
    <row r="58" spans="1:21" ht="15.75" customHeight="1">
      <c r="A58" s="10"/>
      <c r="B58" s="12"/>
      <c r="C58" s="9"/>
      <c r="D58" s="10"/>
      <c r="E58" s="12"/>
      <c r="F58" s="9"/>
      <c r="G58" s="10"/>
      <c r="H58" s="12"/>
      <c r="I58" s="9"/>
      <c r="J58" s="10"/>
      <c r="K58" s="12"/>
      <c r="L58" s="9" t="s">
        <v>35</v>
      </c>
      <c r="M58" s="10"/>
      <c r="N58" s="12"/>
      <c r="O58" s="9"/>
      <c r="P58" s="10"/>
      <c r="Q58" s="12"/>
      <c r="R58" s="9"/>
      <c r="S58" s="7" t="s">
        <v>83</v>
      </c>
      <c r="T58" s="8">
        <v>7.3000000000000001E-3</v>
      </c>
      <c r="U58" s="9" t="s">
        <v>42</v>
      </c>
    </row>
    <row r="59" spans="1:21" ht="15.75" customHeight="1">
      <c r="A59" s="10"/>
      <c r="B59" s="12"/>
      <c r="C59" s="9"/>
      <c r="D59" s="10"/>
      <c r="E59" s="12"/>
      <c r="F59" s="9"/>
      <c r="G59" s="10"/>
      <c r="H59" s="12"/>
      <c r="I59" s="9"/>
      <c r="J59" s="10"/>
      <c r="K59" s="12"/>
      <c r="L59" s="9"/>
      <c r="M59" s="10"/>
      <c r="N59" s="12"/>
      <c r="O59" s="9"/>
      <c r="P59" s="10"/>
      <c r="Q59" s="12"/>
      <c r="R59" s="9"/>
      <c r="S59" s="7" t="s">
        <v>1165</v>
      </c>
      <c r="T59" s="8">
        <v>7.3000000000000001E-3</v>
      </c>
      <c r="U59" s="9" t="s">
        <v>42</v>
      </c>
    </row>
    <row r="60" spans="1:21" ht="15.75" customHeight="1">
      <c r="A60" s="10"/>
      <c r="B60" s="12"/>
      <c r="C60" s="9"/>
      <c r="D60" s="10"/>
      <c r="E60" s="12"/>
      <c r="F60" s="9"/>
      <c r="G60" s="10"/>
      <c r="H60" s="12"/>
      <c r="I60" s="9"/>
      <c r="J60" s="10"/>
      <c r="K60" s="12"/>
      <c r="L60" s="9"/>
      <c r="M60" s="10"/>
      <c r="N60" s="12"/>
      <c r="O60" s="9"/>
      <c r="P60" s="10"/>
      <c r="Q60" s="12"/>
      <c r="R60" s="9"/>
      <c r="S60" s="10" t="s">
        <v>314</v>
      </c>
      <c r="T60" s="8">
        <v>7.3000000000000001E-3</v>
      </c>
      <c r="U60" s="9" t="s">
        <v>37</v>
      </c>
    </row>
    <row r="61" spans="1:21" ht="15.75" customHeight="1">
      <c r="A61" s="10"/>
      <c r="B61" s="12"/>
      <c r="C61" s="9"/>
      <c r="D61" s="10"/>
      <c r="E61" s="12"/>
      <c r="F61" s="9"/>
      <c r="G61" s="10"/>
      <c r="H61" s="12"/>
      <c r="I61" s="9"/>
      <c r="J61" s="10"/>
      <c r="K61" s="12"/>
      <c r="L61" s="9"/>
      <c r="M61" s="10"/>
      <c r="N61" s="12"/>
      <c r="O61" s="9"/>
      <c r="P61" s="10"/>
      <c r="Q61" s="12"/>
      <c r="R61" s="9"/>
      <c r="S61" s="7" t="s">
        <v>30</v>
      </c>
      <c r="T61" s="8">
        <v>7.3000000000000001E-3</v>
      </c>
      <c r="U61" s="9" t="s">
        <v>37</v>
      </c>
    </row>
    <row r="62" spans="1:21" ht="15.75" customHeight="1">
      <c r="A62" s="10"/>
      <c r="B62" s="12"/>
      <c r="C62" s="9"/>
      <c r="D62" s="10"/>
      <c r="E62" s="12"/>
      <c r="F62" s="9"/>
      <c r="G62" s="10"/>
      <c r="H62" s="12"/>
      <c r="I62" s="9"/>
      <c r="J62" s="10"/>
      <c r="K62" s="12"/>
      <c r="L62" s="9"/>
      <c r="M62" s="10"/>
      <c r="N62" s="12"/>
      <c r="O62" s="9"/>
      <c r="P62" s="10"/>
      <c r="Q62" s="12"/>
      <c r="R62" s="9"/>
      <c r="S62" s="10"/>
      <c r="T62" s="12"/>
      <c r="U62" s="9"/>
    </row>
    <row r="63" spans="1:21" ht="15.75" customHeight="1">
      <c r="A63" s="10"/>
      <c r="B63" s="12"/>
      <c r="C63" s="9"/>
      <c r="D63" s="10"/>
      <c r="E63" s="12"/>
      <c r="F63" s="9"/>
      <c r="G63" s="10"/>
      <c r="H63" s="12"/>
      <c r="I63" s="9"/>
      <c r="J63" s="10"/>
      <c r="K63" s="12"/>
      <c r="L63" s="9"/>
      <c r="M63" s="10"/>
      <c r="N63" s="12"/>
      <c r="O63" s="9"/>
      <c r="P63" s="10"/>
      <c r="Q63" s="12"/>
      <c r="R63" s="9"/>
      <c r="S63" s="10"/>
      <c r="T63" s="12"/>
      <c r="U63" s="9"/>
    </row>
    <row r="64" spans="1:21" ht="15.75" customHeight="1">
      <c r="A64" s="10"/>
      <c r="B64" s="12"/>
      <c r="C64" s="9"/>
      <c r="D64" s="10"/>
      <c r="E64" s="12"/>
      <c r="F64" s="9"/>
      <c r="G64" s="10"/>
      <c r="H64" s="12"/>
      <c r="I64" s="9"/>
      <c r="J64" s="10"/>
      <c r="K64" s="12"/>
      <c r="L64" s="9"/>
      <c r="M64" s="10"/>
      <c r="N64" s="12"/>
      <c r="O64" s="9"/>
      <c r="P64" s="10"/>
      <c r="Q64" s="12"/>
      <c r="R64" s="9"/>
      <c r="S64" s="10"/>
      <c r="T64" s="12"/>
      <c r="U64" s="9"/>
    </row>
    <row r="65" spans="1:21" ht="15.75" customHeight="1">
      <c r="A65" s="10"/>
      <c r="B65" s="12"/>
      <c r="C65" s="9"/>
      <c r="D65" s="10"/>
      <c r="E65" s="12"/>
      <c r="F65" s="9"/>
      <c r="G65" s="10"/>
      <c r="H65" s="12"/>
      <c r="I65" s="9"/>
      <c r="J65" s="10"/>
      <c r="K65" s="12"/>
      <c r="L65" s="9"/>
      <c r="M65" s="10"/>
      <c r="N65" s="12"/>
      <c r="O65" s="9"/>
      <c r="P65" s="10"/>
      <c r="Q65" s="12"/>
      <c r="R65" s="9"/>
      <c r="S65" s="10"/>
      <c r="T65" s="12"/>
      <c r="U65" s="9"/>
    </row>
    <row r="66" spans="1:21" ht="15.75" customHeight="1">
      <c r="A66" s="10"/>
      <c r="B66" s="12"/>
      <c r="C66" s="9"/>
      <c r="D66" s="10"/>
      <c r="E66" s="12"/>
      <c r="F66" s="9"/>
      <c r="G66" s="10"/>
      <c r="H66" s="12"/>
      <c r="I66" s="9"/>
      <c r="J66" s="10"/>
      <c r="K66" s="12"/>
      <c r="L66" s="9"/>
      <c r="M66" s="10"/>
      <c r="N66" s="12"/>
      <c r="O66" s="9"/>
      <c r="P66" s="10"/>
      <c r="Q66" s="12"/>
      <c r="R66" s="9"/>
      <c r="S66" s="10"/>
      <c r="T66" s="12"/>
      <c r="U66" s="9"/>
    </row>
    <row r="67" spans="1:21" ht="15.75" customHeight="1">
      <c r="A67" s="13"/>
      <c r="B67" s="14"/>
      <c r="C67" s="15"/>
      <c r="D67" s="13"/>
      <c r="E67" s="14"/>
      <c r="F67" s="15"/>
      <c r="G67" s="13"/>
      <c r="H67" s="14"/>
      <c r="I67" s="15"/>
      <c r="J67" s="13"/>
      <c r="K67" s="14"/>
      <c r="L67" s="15"/>
      <c r="M67" s="13"/>
      <c r="N67" s="14"/>
      <c r="O67" s="15"/>
      <c r="P67" s="13"/>
      <c r="Q67" s="14"/>
      <c r="R67" s="15"/>
      <c r="S67" s="13"/>
      <c r="T67" s="14"/>
      <c r="U67" s="15"/>
    </row>
    <row r="68" spans="1:21" ht="15.75" customHeight="1">
      <c r="A68" s="4" t="str">
        <f>IF(22&lt;=DAY(EOMONTH(DATE(2026,$B$1,1),0)),$B$1&amp;"월 22일","")</f>
        <v>5월 22일</v>
      </c>
      <c r="B68" s="5"/>
      <c r="C68" s="6"/>
      <c r="D68" s="4" t="str">
        <f>IF(23&lt;=DAY(EOMONTH(DATE(2026,$B$1,1),0)),$B$1&amp;"월 23일","")</f>
        <v>5월 23일</v>
      </c>
      <c r="E68" s="5"/>
      <c r="F68" s="6"/>
      <c r="G68" s="4" t="str">
        <f>IF(24&lt;=DAY(EOMONTH(DATE(2026,$B$1,1),0)),$B$1&amp;"월 24일","")</f>
        <v>5월 24일</v>
      </c>
      <c r="H68" s="5"/>
      <c r="I68" s="6"/>
      <c r="J68" s="4" t="str">
        <f>IF(25&lt;=DAY(EOMONTH(DATE(2026,$B$1,1),0)),$B$1&amp;"월 25일","")</f>
        <v>5월 25일</v>
      </c>
      <c r="K68" s="5"/>
      <c r="L68" s="6"/>
      <c r="M68" s="4" t="str">
        <f>IF(26&lt;=DAY(EOMONTH(DATE(2026,$B$1,1),0)),$B$1&amp;"월 26일","")</f>
        <v>5월 26일</v>
      </c>
      <c r="N68" s="5"/>
      <c r="O68" s="6"/>
      <c r="P68" s="4" t="str">
        <f>IF(27&lt;=DAY(EOMONTH(DATE(2026,$B$1,1),0)),$B$1&amp;"월 27일","")</f>
        <v>5월 27일</v>
      </c>
      <c r="Q68" s="5"/>
      <c r="R68" s="6"/>
      <c r="S68" s="4" t="str">
        <f>IF(28&lt;=DAY(EOMONTH(DATE(2026,$B$1,1),0)),$B$1&amp;"월 28일","")</f>
        <v>5월 28일</v>
      </c>
      <c r="T68" s="5"/>
      <c r="U68" s="6"/>
    </row>
    <row r="69" spans="1:21" ht="15.75" customHeight="1">
      <c r="A69" s="7" t="s">
        <v>1166</v>
      </c>
      <c r="B69" s="8">
        <v>2.7799999999999998E-2</v>
      </c>
      <c r="C69" s="9" t="s">
        <v>37</v>
      </c>
      <c r="D69" s="7" t="s">
        <v>30</v>
      </c>
      <c r="E69" s="8">
        <v>4.5499999999999999E-2</v>
      </c>
      <c r="F69" s="9" t="s">
        <v>37</v>
      </c>
      <c r="G69" s="7" t="s">
        <v>1167</v>
      </c>
      <c r="H69" s="11">
        <v>0.2</v>
      </c>
      <c r="I69" s="9" t="s">
        <v>37</v>
      </c>
      <c r="J69" s="7" t="s">
        <v>612</v>
      </c>
      <c r="K69" s="8">
        <v>4.5499999999999999E-2</v>
      </c>
      <c r="L69" s="9" t="s">
        <v>33</v>
      </c>
      <c r="M69" s="7" t="s">
        <v>630</v>
      </c>
      <c r="N69" s="11">
        <v>0.05</v>
      </c>
      <c r="O69" s="9" t="s">
        <v>33</v>
      </c>
      <c r="P69" s="7" t="s">
        <v>818</v>
      </c>
      <c r="Q69" s="8">
        <v>9.0899999999999995E-2</v>
      </c>
      <c r="R69" s="9" t="s">
        <v>33</v>
      </c>
      <c r="S69" s="7" t="s">
        <v>442</v>
      </c>
      <c r="T69" s="8">
        <v>0.1071</v>
      </c>
      <c r="U69" s="9" t="s">
        <v>27</v>
      </c>
    </row>
    <row r="70" spans="1:21" ht="15.75" customHeight="1">
      <c r="A70" s="7" t="s">
        <v>48</v>
      </c>
      <c r="B70" s="8">
        <v>2.7799999999999998E-2</v>
      </c>
      <c r="C70" s="9" t="s">
        <v>27</v>
      </c>
      <c r="D70" s="7" t="s">
        <v>1168</v>
      </c>
      <c r="E70" s="8">
        <v>4.5499999999999999E-2</v>
      </c>
      <c r="F70" s="9" t="s">
        <v>42</v>
      </c>
      <c r="G70" s="7" t="s">
        <v>1169</v>
      </c>
      <c r="H70" s="11">
        <v>0.2</v>
      </c>
      <c r="I70" s="9" t="s">
        <v>33</v>
      </c>
      <c r="J70" s="7" t="s">
        <v>1170</v>
      </c>
      <c r="K70" s="8">
        <v>4.5499999999999999E-2</v>
      </c>
      <c r="L70" s="9"/>
      <c r="M70" s="7" t="s">
        <v>1171</v>
      </c>
      <c r="N70" s="8">
        <v>2.5000000000000001E-2</v>
      </c>
      <c r="O70" s="9" t="s">
        <v>37</v>
      </c>
      <c r="P70" s="7" t="s">
        <v>83</v>
      </c>
      <c r="Q70" s="8">
        <v>6.0600000000000001E-2</v>
      </c>
      <c r="R70" s="9" t="s">
        <v>42</v>
      </c>
      <c r="S70" s="10" t="s">
        <v>1172</v>
      </c>
      <c r="T70" s="8">
        <v>3.5700000000000003E-2</v>
      </c>
      <c r="U70" s="9" t="s">
        <v>33</v>
      </c>
    </row>
    <row r="71" spans="1:21" ht="15.75" customHeight="1">
      <c r="A71" s="7" t="s">
        <v>1173</v>
      </c>
      <c r="B71" s="8">
        <v>1.3899999999999999E-2</v>
      </c>
      <c r="C71" s="9" t="s">
        <v>42</v>
      </c>
      <c r="D71" s="7" t="s">
        <v>1174</v>
      </c>
      <c r="E71" s="8">
        <v>4.5499999999999999E-2</v>
      </c>
      <c r="F71" s="9" t="s">
        <v>33</v>
      </c>
      <c r="G71" s="7" t="s">
        <v>1175</v>
      </c>
      <c r="H71" s="11">
        <v>0.2</v>
      </c>
      <c r="I71" s="9" t="s">
        <v>37</v>
      </c>
      <c r="J71" s="7" t="s">
        <v>1176</v>
      </c>
      <c r="K71" s="8">
        <v>4.5499999999999999E-2</v>
      </c>
      <c r="L71" s="9" t="s">
        <v>33</v>
      </c>
      <c r="M71" s="7" t="s">
        <v>1177</v>
      </c>
      <c r="N71" s="8">
        <v>2.5000000000000001E-2</v>
      </c>
      <c r="O71" s="9" t="s">
        <v>37</v>
      </c>
      <c r="P71" s="7" t="s">
        <v>71</v>
      </c>
      <c r="Q71" s="8">
        <v>3.0300000000000001E-2</v>
      </c>
      <c r="R71" s="9" t="s">
        <v>27</v>
      </c>
      <c r="S71" s="7" t="s">
        <v>296</v>
      </c>
      <c r="T71" s="8">
        <v>3.5700000000000003E-2</v>
      </c>
      <c r="U71" s="9" t="s">
        <v>42</v>
      </c>
    </row>
    <row r="72" spans="1:21" ht="15.75" customHeight="1">
      <c r="A72" s="7" t="s">
        <v>83</v>
      </c>
      <c r="B72" s="8">
        <v>1.3899999999999999E-2</v>
      </c>
      <c r="C72" s="9" t="s">
        <v>42</v>
      </c>
      <c r="D72" s="7" t="s">
        <v>83</v>
      </c>
      <c r="E72" s="8">
        <v>4.5499999999999999E-2</v>
      </c>
      <c r="F72" s="9" t="s">
        <v>42</v>
      </c>
      <c r="G72" s="7" t="s">
        <v>1178</v>
      </c>
      <c r="H72" s="11">
        <v>0.2</v>
      </c>
      <c r="I72" s="9" t="s">
        <v>33</v>
      </c>
      <c r="J72" s="7" t="s">
        <v>612</v>
      </c>
      <c r="K72" s="8">
        <v>4.5499999999999999E-2</v>
      </c>
      <c r="L72" s="9" t="s">
        <v>33</v>
      </c>
      <c r="M72" s="7" t="s">
        <v>1179</v>
      </c>
      <c r="N72" s="8">
        <v>2.5000000000000001E-2</v>
      </c>
      <c r="O72" s="9" t="s">
        <v>33</v>
      </c>
      <c r="P72" s="7" t="s">
        <v>48</v>
      </c>
      <c r="Q72" s="8">
        <v>3.0300000000000001E-2</v>
      </c>
      <c r="R72" s="9" t="s">
        <v>27</v>
      </c>
      <c r="S72" s="7" t="s">
        <v>1180</v>
      </c>
      <c r="T72" s="8">
        <v>3.5700000000000003E-2</v>
      </c>
      <c r="U72" s="9" t="s">
        <v>35</v>
      </c>
    </row>
    <row r="73" spans="1:21" ht="15.75" customHeight="1">
      <c r="A73" s="7" t="s">
        <v>83</v>
      </c>
      <c r="B73" s="8">
        <v>4.1700000000000001E-2</v>
      </c>
      <c r="C73" s="9" t="s">
        <v>42</v>
      </c>
      <c r="D73" s="7" t="s">
        <v>583</v>
      </c>
      <c r="E73" s="8">
        <v>4.5499999999999999E-2</v>
      </c>
      <c r="F73" s="9" t="s">
        <v>42</v>
      </c>
      <c r="G73" s="10"/>
      <c r="H73" s="12"/>
      <c r="I73" s="9"/>
      <c r="J73" s="10"/>
      <c r="K73" s="12"/>
      <c r="L73" s="9"/>
      <c r="M73" s="7" t="s">
        <v>1181</v>
      </c>
      <c r="N73" s="8">
        <v>2.5000000000000001E-2</v>
      </c>
      <c r="O73" s="9" t="s">
        <v>37</v>
      </c>
      <c r="P73" s="7" t="s">
        <v>367</v>
      </c>
      <c r="Q73" s="8">
        <v>3.0300000000000001E-2</v>
      </c>
      <c r="R73" s="9" t="s">
        <v>37</v>
      </c>
      <c r="S73" s="7" t="s">
        <v>1182</v>
      </c>
      <c r="T73" s="8">
        <v>3.5700000000000003E-2</v>
      </c>
      <c r="U73" s="9" t="s">
        <v>42</v>
      </c>
    </row>
    <row r="74" spans="1:21" ht="15.75" customHeight="1">
      <c r="A74" s="7" t="s">
        <v>1183</v>
      </c>
      <c r="B74" s="8">
        <v>1.3899999999999999E-2</v>
      </c>
      <c r="C74" s="9" t="s">
        <v>42</v>
      </c>
      <c r="D74" s="7" t="s">
        <v>1184</v>
      </c>
      <c r="E74" s="8">
        <v>4.5499999999999999E-2</v>
      </c>
      <c r="F74" s="9" t="s">
        <v>33</v>
      </c>
      <c r="G74" s="10"/>
      <c r="H74" s="12"/>
      <c r="I74" s="9"/>
      <c r="J74" s="10"/>
      <c r="K74" s="12"/>
      <c r="L74" s="9"/>
      <c r="M74" s="7" t="s">
        <v>41</v>
      </c>
      <c r="N74" s="8">
        <v>2.5000000000000001E-2</v>
      </c>
      <c r="O74" s="9" t="s">
        <v>42</v>
      </c>
      <c r="P74" s="7" t="s">
        <v>572</v>
      </c>
      <c r="Q74" s="8">
        <v>3.0300000000000001E-2</v>
      </c>
      <c r="R74" s="9" t="s">
        <v>33</v>
      </c>
      <c r="S74" s="7" t="s">
        <v>1185</v>
      </c>
      <c r="T74" s="8">
        <v>3.5700000000000003E-2</v>
      </c>
      <c r="U74" s="9" t="s">
        <v>42</v>
      </c>
    </row>
    <row r="75" spans="1:21" ht="15.75" customHeight="1">
      <c r="A75" s="7" t="s">
        <v>1186</v>
      </c>
      <c r="B75" s="8">
        <v>1.3899999999999999E-2</v>
      </c>
      <c r="C75" s="9" t="s">
        <v>33</v>
      </c>
      <c r="D75" s="10"/>
      <c r="E75" s="12"/>
      <c r="F75" s="9"/>
      <c r="G75" s="10"/>
      <c r="H75" s="12"/>
      <c r="I75" s="9"/>
      <c r="J75" s="10"/>
      <c r="K75" s="12"/>
      <c r="L75" s="9"/>
      <c r="M75" s="7" t="s">
        <v>1187</v>
      </c>
      <c r="N75" s="8">
        <v>2.5000000000000001E-2</v>
      </c>
      <c r="O75" s="9" t="s">
        <v>42</v>
      </c>
      <c r="P75" s="7" t="s">
        <v>612</v>
      </c>
      <c r="Q75" s="8">
        <v>3.0300000000000001E-2</v>
      </c>
      <c r="R75" s="9" t="s">
        <v>33</v>
      </c>
      <c r="S75" s="7" t="s">
        <v>83</v>
      </c>
      <c r="T75" s="8">
        <v>3.5700000000000003E-2</v>
      </c>
      <c r="U75" s="9" t="s">
        <v>42</v>
      </c>
    </row>
    <row r="76" spans="1:21" ht="15.75" customHeight="1">
      <c r="A76" s="7" t="s">
        <v>1188</v>
      </c>
      <c r="B76" s="8">
        <v>1.3899999999999999E-2</v>
      </c>
      <c r="C76" s="9" t="s">
        <v>37</v>
      </c>
      <c r="D76" s="10"/>
      <c r="E76" s="12"/>
      <c r="F76" s="9"/>
      <c r="G76" s="10"/>
      <c r="H76" s="12"/>
      <c r="I76" s="9"/>
      <c r="J76" s="10"/>
      <c r="K76" s="12"/>
      <c r="L76" s="9"/>
      <c r="M76" s="7" t="s">
        <v>1189</v>
      </c>
      <c r="N76" s="8">
        <v>2.5000000000000001E-2</v>
      </c>
      <c r="O76" s="9" t="s">
        <v>42</v>
      </c>
      <c r="P76" s="7" t="s">
        <v>692</v>
      </c>
      <c r="Q76" s="8">
        <v>3.0300000000000001E-2</v>
      </c>
      <c r="R76" s="9" t="s">
        <v>42</v>
      </c>
      <c r="S76" s="7" t="s">
        <v>41</v>
      </c>
      <c r="T76" s="8">
        <v>3.5700000000000003E-2</v>
      </c>
      <c r="U76" s="9" t="s">
        <v>42</v>
      </c>
    </row>
    <row r="77" spans="1:21" ht="15.75" customHeight="1">
      <c r="A77" s="10"/>
      <c r="B77" s="12"/>
      <c r="C77" s="9"/>
      <c r="D77" s="10"/>
      <c r="E77" s="12"/>
      <c r="F77" s="9"/>
      <c r="G77" s="10"/>
      <c r="H77" s="12"/>
      <c r="I77" s="9"/>
      <c r="J77" s="10"/>
      <c r="K77" s="12"/>
      <c r="L77" s="9"/>
      <c r="M77" s="10" t="s">
        <v>1190</v>
      </c>
      <c r="N77" s="8">
        <v>2.5000000000000001E-2</v>
      </c>
      <c r="O77" s="9" t="s">
        <v>37</v>
      </c>
      <c r="P77" s="7" t="s">
        <v>30</v>
      </c>
      <c r="Q77" s="8">
        <v>3.0300000000000001E-2</v>
      </c>
      <c r="R77" s="9" t="s">
        <v>37</v>
      </c>
      <c r="S77" s="7" t="s">
        <v>1191</v>
      </c>
      <c r="T77" s="8">
        <v>3.5700000000000003E-2</v>
      </c>
      <c r="U77" s="9" t="s">
        <v>42</v>
      </c>
    </row>
    <row r="78" spans="1:21" ht="15.75" customHeight="1">
      <c r="A78" s="10"/>
      <c r="B78" s="12"/>
      <c r="C78" s="9"/>
      <c r="D78" s="10"/>
      <c r="E78" s="12"/>
      <c r="F78" s="9"/>
      <c r="G78" s="10"/>
      <c r="H78" s="12"/>
      <c r="I78" s="9"/>
      <c r="J78" s="10"/>
      <c r="K78" s="12"/>
      <c r="L78" s="9"/>
      <c r="M78" s="10" t="s">
        <v>1192</v>
      </c>
      <c r="N78" s="8">
        <v>2.5000000000000001E-2</v>
      </c>
      <c r="O78" s="9" t="s">
        <v>33</v>
      </c>
      <c r="P78" s="7" t="s">
        <v>1193</v>
      </c>
      <c r="Q78" s="8">
        <v>3.0300000000000001E-2</v>
      </c>
      <c r="R78" s="9" t="s">
        <v>33</v>
      </c>
      <c r="S78" s="10" t="s">
        <v>1194</v>
      </c>
      <c r="T78" s="8">
        <v>3.5700000000000003E-2</v>
      </c>
      <c r="U78" s="9" t="s">
        <v>27</v>
      </c>
    </row>
    <row r="79" spans="1:21" ht="15.75" customHeight="1">
      <c r="A79" s="10"/>
      <c r="B79" s="12"/>
      <c r="C79" s="9"/>
      <c r="D79" s="10"/>
      <c r="E79" s="12"/>
      <c r="F79" s="9"/>
      <c r="G79" s="10"/>
      <c r="H79" s="12"/>
      <c r="I79" s="9"/>
      <c r="J79" s="10"/>
      <c r="K79" s="12"/>
      <c r="L79" s="9"/>
      <c r="M79" s="7" t="s">
        <v>296</v>
      </c>
      <c r="N79" s="8">
        <v>2.5000000000000001E-2</v>
      </c>
      <c r="O79" s="9" t="s">
        <v>42</v>
      </c>
      <c r="P79" s="7" t="s">
        <v>41</v>
      </c>
      <c r="Q79" s="8">
        <v>3.0300000000000001E-2</v>
      </c>
      <c r="R79" s="9" t="s">
        <v>42</v>
      </c>
      <c r="S79" s="10" t="s">
        <v>1195</v>
      </c>
      <c r="T79" s="8">
        <v>3.5700000000000003E-2</v>
      </c>
      <c r="U79" s="9" t="s">
        <v>33</v>
      </c>
    </row>
    <row r="80" spans="1:21" ht="15.75" customHeight="1">
      <c r="A80" s="10"/>
      <c r="B80" s="12"/>
      <c r="C80" s="9"/>
      <c r="D80" s="10"/>
      <c r="E80" s="12"/>
      <c r="F80" s="9"/>
      <c r="G80" s="10"/>
      <c r="H80" s="12"/>
      <c r="I80" s="9"/>
      <c r="J80" s="10"/>
      <c r="K80" s="12"/>
      <c r="L80" s="9"/>
      <c r="M80" s="7" t="s">
        <v>818</v>
      </c>
      <c r="N80" s="8">
        <v>2.5000000000000001E-2</v>
      </c>
      <c r="O80" s="9" t="s">
        <v>33</v>
      </c>
      <c r="P80" s="7" t="s">
        <v>1196</v>
      </c>
      <c r="Q80" s="8">
        <v>3.0300000000000001E-2</v>
      </c>
      <c r="R80" s="9" t="s">
        <v>42</v>
      </c>
      <c r="S80" s="7" t="s">
        <v>1197</v>
      </c>
      <c r="T80" s="8">
        <v>3.5700000000000003E-2</v>
      </c>
      <c r="U80" s="9" t="s">
        <v>33</v>
      </c>
    </row>
    <row r="81" spans="1:21" ht="15.75" customHeight="1">
      <c r="A81" s="10"/>
      <c r="B81" s="12"/>
      <c r="C81" s="9"/>
      <c r="D81" s="10"/>
      <c r="E81" s="12"/>
      <c r="F81" s="9"/>
      <c r="G81" s="10"/>
      <c r="H81" s="12"/>
      <c r="I81" s="9"/>
      <c r="J81" s="10"/>
      <c r="K81" s="12"/>
      <c r="L81" s="9"/>
      <c r="M81" s="7" t="s">
        <v>30</v>
      </c>
      <c r="N81" s="8">
        <v>2.5000000000000001E-2</v>
      </c>
      <c r="O81" s="9" t="s">
        <v>37</v>
      </c>
      <c r="P81" s="7" t="s">
        <v>137</v>
      </c>
      <c r="Q81" s="8">
        <v>3.0300000000000001E-2</v>
      </c>
      <c r="R81" s="9" t="s">
        <v>42</v>
      </c>
      <c r="S81" s="7" t="s">
        <v>1198</v>
      </c>
      <c r="T81" s="8">
        <v>3.5700000000000003E-2</v>
      </c>
      <c r="U81" s="9" t="s">
        <v>33</v>
      </c>
    </row>
    <row r="82" spans="1:21" ht="15.75" customHeight="1">
      <c r="A82" s="10"/>
      <c r="B82" s="12"/>
      <c r="C82" s="9"/>
      <c r="D82" s="10"/>
      <c r="E82" s="12"/>
      <c r="F82" s="9"/>
      <c r="G82" s="10"/>
      <c r="H82" s="12"/>
      <c r="I82" s="9"/>
      <c r="J82" s="10"/>
      <c r="K82" s="12"/>
      <c r="L82" s="9"/>
      <c r="M82" s="7" t="s">
        <v>616</v>
      </c>
      <c r="N82" s="8">
        <v>2.5000000000000001E-2</v>
      </c>
      <c r="O82" s="9" t="s">
        <v>37</v>
      </c>
      <c r="P82" s="10"/>
      <c r="Q82" s="12"/>
      <c r="R82" s="9"/>
      <c r="S82" s="7" t="s">
        <v>1199</v>
      </c>
      <c r="T82" s="8">
        <v>3.5700000000000003E-2</v>
      </c>
      <c r="U82" s="9" t="s">
        <v>42</v>
      </c>
    </row>
    <row r="83" spans="1:21" ht="15.75" customHeight="1">
      <c r="A83" s="10"/>
      <c r="B83" s="12"/>
      <c r="C83" s="9"/>
      <c r="D83" s="10"/>
      <c r="E83" s="12"/>
      <c r="F83" s="9"/>
      <c r="G83" s="10"/>
      <c r="H83" s="12"/>
      <c r="I83" s="9"/>
      <c r="J83" s="10"/>
      <c r="K83" s="12"/>
      <c r="L83" s="9"/>
      <c r="M83" s="10"/>
      <c r="N83" s="12"/>
      <c r="O83" s="9"/>
      <c r="P83" s="10"/>
      <c r="Q83" s="12"/>
      <c r="R83" s="9"/>
      <c r="S83" s="7" t="s">
        <v>325</v>
      </c>
      <c r="T83" s="8">
        <v>3.5700000000000003E-2</v>
      </c>
      <c r="U83" s="9" t="s">
        <v>33</v>
      </c>
    </row>
    <row r="84" spans="1:21" ht="15.75" customHeight="1">
      <c r="A84" s="10"/>
      <c r="B84" s="12"/>
      <c r="C84" s="9"/>
      <c r="D84" s="10"/>
      <c r="E84" s="12"/>
      <c r="F84" s="9"/>
      <c r="G84" s="10"/>
      <c r="H84" s="12"/>
      <c r="I84" s="9"/>
      <c r="J84" s="10"/>
      <c r="K84" s="12"/>
      <c r="L84" s="9"/>
      <c r="M84" s="10"/>
      <c r="N84" s="12"/>
      <c r="O84" s="9"/>
      <c r="P84" s="10"/>
      <c r="Q84" s="12"/>
      <c r="R84" s="9"/>
      <c r="S84" s="10"/>
      <c r="T84" s="12"/>
      <c r="U84" s="9"/>
    </row>
    <row r="85" spans="1:21" ht="15.75" customHeight="1">
      <c r="A85" s="10"/>
      <c r="B85" s="12"/>
      <c r="C85" s="9"/>
      <c r="D85" s="10"/>
      <c r="E85" s="12"/>
      <c r="F85" s="9"/>
      <c r="G85" s="10"/>
      <c r="H85" s="12"/>
      <c r="I85" s="9"/>
      <c r="J85" s="10"/>
      <c r="K85" s="12"/>
      <c r="L85" s="9"/>
      <c r="M85" s="10"/>
      <c r="N85" s="12"/>
      <c r="O85" s="9"/>
      <c r="P85" s="10"/>
      <c r="Q85" s="12"/>
      <c r="R85" s="9"/>
      <c r="S85" s="10"/>
      <c r="T85" s="12"/>
      <c r="U85" s="9"/>
    </row>
    <row r="86" spans="1:21" ht="15.75" customHeight="1">
      <c r="A86" s="10"/>
      <c r="B86" s="12"/>
      <c r="C86" s="9"/>
      <c r="D86" s="10"/>
      <c r="E86" s="12"/>
      <c r="F86" s="9"/>
      <c r="G86" s="10"/>
      <c r="H86" s="12"/>
      <c r="I86" s="9"/>
      <c r="J86" s="10"/>
      <c r="K86" s="12"/>
      <c r="L86" s="9"/>
      <c r="M86" s="10"/>
      <c r="N86" s="12"/>
      <c r="O86" s="9"/>
      <c r="P86" s="10"/>
      <c r="Q86" s="12"/>
      <c r="R86" s="9"/>
      <c r="S86" s="10"/>
      <c r="T86" s="12"/>
      <c r="U86" s="9"/>
    </row>
    <row r="87" spans="1:21" ht="15.75" customHeight="1">
      <c r="A87" s="10"/>
      <c r="B87" s="12"/>
      <c r="C87" s="9"/>
      <c r="D87" s="10"/>
      <c r="E87" s="12"/>
      <c r="F87" s="9"/>
      <c r="G87" s="10"/>
      <c r="H87" s="12"/>
      <c r="I87" s="9"/>
      <c r="J87" s="10"/>
      <c r="K87" s="12"/>
      <c r="L87" s="9"/>
      <c r="M87" s="10"/>
      <c r="N87" s="12"/>
      <c r="O87" s="9"/>
      <c r="P87" s="10"/>
      <c r="Q87" s="12"/>
      <c r="R87" s="9"/>
      <c r="S87" s="10"/>
      <c r="T87" s="12"/>
      <c r="U87" s="9"/>
    </row>
    <row r="88" spans="1:21" ht="15.75" customHeight="1">
      <c r="A88" s="13"/>
      <c r="B88" s="14"/>
      <c r="C88" s="15"/>
      <c r="D88" s="13"/>
      <c r="E88" s="14"/>
      <c r="F88" s="15"/>
      <c r="G88" s="13"/>
      <c r="H88" s="14"/>
      <c r="I88" s="15"/>
      <c r="J88" s="13"/>
      <c r="K88" s="14"/>
      <c r="L88" s="15"/>
      <c r="M88" s="13"/>
      <c r="N88" s="14"/>
      <c r="O88" s="15"/>
      <c r="P88" s="13"/>
      <c r="Q88" s="14"/>
      <c r="R88" s="15"/>
      <c r="S88" s="13"/>
      <c r="T88" s="14"/>
      <c r="U88" s="15"/>
    </row>
    <row r="89" spans="1:21" ht="15.75" customHeight="1">
      <c r="A89" s="4" t="str">
        <f>IF(29&lt;=DAY(EOMONTH(DATE(2026,$B$1,1),0)),$B$1&amp;"월 29일","")</f>
        <v>5월 29일</v>
      </c>
      <c r="B89" s="5"/>
      <c r="C89" s="6"/>
      <c r="D89" s="4" t="str">
        <f>IF(30&lt;=DAY(EOMONTH(DATE(2026,$B$1,1),0)),$B$1&amp;"월 30일","")</f>
        <v>5월 30일</v>
      </c>
      <c r="E89" s="5"/>
      <c r="F89" s="6"/>
      <c r="G89" s="4" t="str">
        <f>IF(31&lt;=DAY(EOMONTH(DATE(2026,$B$1,1),0)),$B$1&amp;"월 31일","")</f>
        <v>5월 31일</v>
      </c>
      <c r="H89" s="5"/>
      <c r="I89" s="6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spans="1:21" ht="15.75" customHeight="1">
      <c r="A90" s="7" t="s">
        <v>83</v>
      </c>
      <c r="B90" s="8">
        <v>8.5099999999999995E-2</v>
      </c>
      <c r="C90" s="9" t="s">
        <v>42</v>
      </c>
      <c r="D90" s="7" t="s">
        <v>30</v>
      </c>
      <c r="E90" s="8">
        <v>0.16669999999999999</v>
      </c>
      <c r="F90" s="9" t="s">
        <v>37</v>
      </c>
      <c r="G90" s="7" t="s">
        <v>1200</v>
      </c>
      <c r="H90" s="8">
        <v>3.6999999999999998E-2</v>
      </c>
      <c r="I90" s="9" t="s">
        <v>33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ht="15.75" customHeight="1">
      <c r="A91" s="7" t="s">
        <v>818</v>
      </c>
      <c r="B91" s="8">
        <v>4.2599999999999999E-2</v>
      </c>
      <c r="C91" s="9" t="s">
        <v>33</v>
      </c>
      <c r="D91" s="7" t="s">
        <v>1201</v>
      </c>
      <c r="E91" s="8">
        <v>0.16669999999999999</v>
      </c>
      <c r="F91" s="9" t="s">
        <v>33</v>
      </c>
      <c r="G91" s="7" t="s">
        <v>43</v>
      </c>
      <c r="H91" s="8">
        <v>3.6999999999999998E-2</v>
      </c>
      <c r="I91" s="9" t="s">
        <v>37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ht="15.75" customHeight="1">
      <c r="A92" s="7" t="s">
        <v>30</v>
      </c>
      <c r="B92" s="8">
        <v>2.1299999999999999E-2</v>
      </c>
      <c r="C92" s="9" t="s">
        <v>37</v>
      </c>
      <c r="D92" s="7" t="s">
        <v>83</v>
      </c>
      <c r="E92" s="8">
        <v>0.16669999999999999</v>
      </c>
      <c r="F92" s="9" t="s">
        <v>42</v>
      </c>
      <c r="G92" s="7" t="s">
        <v>1202</v>
      </c>
      <c r="H92" s="8">
        <v>3.6999999999999998E-2</v>
      </c>
      <c r="I92" s="9" t="s">
        <v>33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ht="15.75" customHeight="1">
      <c r="A93" s="7" t="s">
        <v>1203</v>
      </c>
      <c r="B93" s="8">
        <v>2.1299999999999999E-2</v>
      </c>
      <c r="C93" s="9" t="s">
        <v>42</v>
      </c>
      <c r="D93" s="10"/>
      <c r="E93" s="12"/>
      <c r="F93" s="9"/>
      <c r="G93" s="7" t="s">
        <v>1204</v>
      </c>
      <c r="H93" s="8">
        <v>3.6999999999999998E-2</v>
      </c>
      <c r="I93" s="9" t="s">
        <v>42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ht="15.75" customHeight="1">
      <c r="A94" s="7" t="s">
        <v>83</v>
      </c>
      <c r="B94" s="8">
        <v>4.2599999999999999E-2</v>
      </c>
      <c r="C94" s="9" t="s">
        <v>42</v>
      </c>
      <c r="D94" s="10"/>
      <c r="E94" s="12"/>
      <c r="F94" s="9"/>
      <c r="G94" s="7" t="s">
        <v>1205</v>
      </c>
      <c r="H94" s="8">
        <v>3.6999999999999998E-2</v>
      </c>
      <c r="I94" s="9" t="s">
        <v>27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ht="15.75" customHeight="1">
      <c r="A95" s="10" t="s">
        <v>871</v>
      </c>
      <c r="B95" s="8">
        <v>2.1299999999999999E-2</v>
      </c>
      <c r="C95" s="9" t="s">
        <v>37</v>
      </c>
      <c r="D95" s="10"/>
      <c r="E95" s="12"/>
      <c r="F95" s="9"/>
      <c r="G95" s="7" t="s">
        <v>30</v>
      </c>
      <c r="H95" s="8">
        <v>7.4099999999999999E-2</v>
      </c>
      <c r="I95" s="9" t="s">
        <v>37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15.75" customHeight="1">
      <c r="A96" s="10" t="s">
        <v>824</v>
      </c>
      <c r="B96" s="8">
        <v>2.1299999999999999E-2</v>
      </c>
      <c r="C96" s="9" t="s">
        <v>37</v>
      </c>
      <c r="D96" s="10"/>
      <c r="E96" s="12"/>
      <c r="F96" s="9"/>
      <c r="G96" s="10"/>
      <c r="H96" s="12"/>
      <c r="I96" s="9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ht="15.75" customHeight="1">
      <c r="A97" s="7" t="s">
        <v>30</v>
      </c>
      <c r="B97" s="8">
        <v>2.1299999999999999E-2</v>
      </c>
      <c r="C97" s="9" t="s">
        <v>37</v>
      </c>
      <c r="D97" s="10"/>
      <c r="E97" s="12"/>
      <c r="F97" s="9"/>
      <c r="G97" s="10"/>
      <c r="H97" s="12"/>
      <c r="I97" s="9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ht="15.75" customHeight="1">
      <c r="A98" s="7" t="s">
        <v>1206</v>
      </c>
      <c r="B98" s="8">
        <v>2.1299999999999999E-2</v>
      </c>
      <c r="C98" s="9" t="s">
        <v>33</v>
      </c>
      <c r="D98" s="10"/>
      <c r="E98" s="12"/>
      <c r="F98" s="9"/>
      <c r="G98" s="10"/>
      <c r="H98" s="12"/>
      <c r="I98" s="9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15.75" customHeight="1">
      <c r="A99" s="7" t="s">
        <v>1207</v>
      </c>
      <c r="B99" s="8">
        <v>2.1299999999999999E-2</v>
      </c>
      <c r="C99" s="9" t="s">
        <v>42</v>
      </c>
      <c r="D99" s="10"/>
      <c r="E99" s="12"/>
      <c r="F99" s="9"/>
      <c r="G99" s="10"/>
      <c r="H99" s="12"/>
      <c r="I99" s="9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15.75" customHeight="1">
      <c r="A100" s="7" t="s">
        <v>1208</v>
      </c>
      <c r="B100" s="8">
        <v>2.1299999999999999E-2</v>
      </c>
      <c r="C100" s="9" t="s">
        <v>35</v>
      </c>
      <c r="D100" s="10"/>
      <c r="E100" s="12"/>
      <c r="F100" s="9"/>
      <c r="G100" s="10"/>
      <c r="H100" s="12"/>
      <c r="I100" s="9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ht="15.75" customHeight="1">
      <c r="A101" s="10"/>
      <c r="B101" s="12"/>
      <c r="C101" s="9"/>
      <c r="D101" s="10"/>
      <c r="E101" s="12"/>
      <c r="F101" s="9"/>
      <c r="G101" s="10"/>
      <c r="H101" s="12"/>
      <c r="I101" s="9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ht="15.75" customHeight="1">
      <c r="A102" s="10"/>
      <c r="B102" s="12"/>
      <c r="C102" s="9"/>
      <c r="D102" s="10"/>
      <c r="E102" s="12"/>
      <c r="F102" s="9"/>
      <c r="G102" s="10"/>
      <c r="H102" s="12"/>
      <c r="I102" s="9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ht="15.75" customHeight="1">
      <c r="A103" s="10"/>
      <c r="B103" s="12"/>
      <c r="C103" s="9"/>
      <c r="D103" s="10"/>
      <c r="E103" s="12"/>
      <c r="F103" s="9"/>
      <c r="G103" s="10"/>
      <c r="H103" s="12"/>
      <c r="I103" s="9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ht="15.75" customHeight="1">
      <c r="A104" s="10"/>
      <c r="B104" s="12"/>
      <c r="C104" s="9"/>
      <c r="D104" s="10"/>
      <c r="E104" s="12"/>
      <c r="F104" s="9"/>
      <c r="G104" s="10"/>
      <c r="H104" s="12"/>
      <c r="I104" s="9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15.75" customHeight="1">
      <c r="A105" s="10"/>
      <c r="B105" s="12"/>
      <c r="C105" s="9"/>
      <c r="D105" s="10"/>
      <c r="E105" s="12"/>
      <c r="F105" s="9"/>
      <c r="G105" s="10"/>
      <c r="H105" s="12"/>
      <c r="I105" s="9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15.75" customHeight="1">
      <c r="A106" s="10"/>
      <c r="B106" s="12"/>
      <c r="C106" s="9"/>
      <c r="D106" s="10"/>
      <c r="E106" s="12"/>
      <c r="F106" s="9"/>
      <c r="G106" s="10"/>
      <c r="H106" s="12"/>
      <c r="I106" s="9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ht="15.75" customHeight="1">
      <c r="A107" s="10"/>
      <c r="B107" s="12"/>
      <c r="C107" s="9"/>
      <c r="D107" s="10"/>
      <c r="E107" s="12"/>
      <c r="F107" s="9"/>
      <c r="G107" s="10"/>
      <c r="H107" s="12"/>
      <c r="I107" s="9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15.75" customHeight="1">
      <c r="A108" s="10"/>
      <c r="B108" s="12"/>
      <c r="C108" s="9"/>
      <c r="D108" s="10"/>
      <c r="E108" s="12"/>
      <c r="F108" s="9"/>
      <c r="G108" s="10"/>
      <c r="H108" s="12"/>
      <c r="I108" s="9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ht="15.75" customHeight="1">
      <c r="A109" s="13"/>
      <c r="B109" s="14"/>
      <c r="C109" s="15"/>
      <c r="D109" s="13"/>
      <c r="E109" s="14"/>
      <c r="F109" s="15"/>
      <c r="G109" s="13"/>
      <c r="H109" s="14"/>
      <c r="I109" s="15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</sheetData>
  <mergeCells count="1">
    <mergeCell ref="C1:U1"/>
  </mergeCells>
  <phoneticPr fontId="19" type="noConversion"/>
  <dataValidations count="2">
    <dataValidation type="list" sqref="B1">
      <formula1>"1,2,3,4,5,6,7,8,9,10,11,12"</formula1>
      <formula2>0</formula2>
    </dataValidation>
    <dataValidation type="list" allowBlank="1" sqref="C3:C129 F3:F129 I3:I129 L3:L129 O3:O129 R3:R129 U3:U129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GridLines="0" zoomScale="110" zoomScaleNormal="110" workbookViewId="0">
      <selection activeCell="F19" sqref="E14:F19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2.44140625" style="150" customWidth="1"/>
    <col min="5" max="5" width="22.109375" style="150" customWidth="1"/>
    <col min="6" max="6" width="10" style="150" customWidth="1"/>
    <col min="7" max="9" width="2" style="150" customWidth="1"/>
    <col min="10" max="10" width="6.21875" style="150" customWidth="1"/>
    <col min="13" max="13" width="60.5546875" style="150" customWidth="1"/>
    <col min="14" max="14" width="8.21875" style="64" customWidth="1"/>
  </cols>
  <sheetData>
    <row r="1" spans="2:14" ht="27.75" customHeight="1">
      <c r="B1" s="184" t="s">
        <v>1209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36"/>
    </row>
    <row r="2" spans="2:14" ht="19.5" customHeight="1"/>
    <row r="3" spans="2:14" ht="19.5" customHeight="1">
      <c r="B3" s="164" t="s">
        <v>6</v>
      </c>
      <c r="C3" s="165"/>
      <c r="E3" s="164" t="s">
        <v>7</v>
      </c>
      <c r="F3" s="165"/>
      <c r="J3" s="153" t="s">
        <v>971</v>
      </c>
      <c r="K3" s="183" t="s">
        <v>8</v>
      </c>
      <c r="L3" s="171"/>
      <c r="M3" s="171"/>
      <c r="N3" s="44" t="s">
        <v>9</v>
      </c>
    </row>
    <row r="4" spans="2:14" ht="16.5" customHeight="1">
      <c r="B4" s="21" t="s">
        <v>9</v>
      </c>
      <c r="C4" s="33">
        <v>1114</v>
      </c>
      <c r="E4" s="21" t="s">
        <v>189</v>
      </c>
      <c r="F4" s="65">
        <v>0.25650000000000001</v>
      </c>
      <c r="J4" s="29">
        <v>1</v>
      </c>
      <c r="K4" s="186" t="s">
        <v>978</v>
      </c>
      <c r="L4" s="160"/>
      <c r="M4" s="160"/>
      <c r="N4" s="47">
        <v>106</v>
      </c>
    </row>
    <row r="5" spans="2:14" ht="16.5" customHeight="1">
      <c r="B5" s="7" t="s">
        <v>10</v>
      </c>
      <c r="C5" s="24">
        <v>630</v>
      </c>
      <c r="E5" s="7" t="s">
        <v>198</v>
      </c>
      <c r="F5" s="35">
        <v>0.17100000000000001</v>
      </c>
      <c r="J5" s="30">
        <v>2</v>
      </c>
      <c r="K5" s="189" t="s">
        <v>200</v>
      </c>
      <c r="L5" s="160"/>
      <c r="M5" s="160"/>
      <c r="N5" s="48">
        <v>47</v>
      </c>
    </row>
    <row r="6" spans="2:14" ht="16.5" customHeight="1">
      <c r="B6" s="21" t="s">
        <v>11</v>
      </c>
      <c r="C6" s="22">
        <v>760</v>
      </c>
      <c r="E6" s="66" t="s">
        <v>191</v>
      </c>
      <c r="F6" s="34">
        <v>0.16789999999999999</v>
      </c>
      <c r="J6" s="29">
        <v>3</v>
      </c>
      <c r="K6" s="186" t="s">
        <v>1210</v>
      </c>
      <c r="L6" s="160"/>
      <c r="M6" s="160"/>
      <c r="N6" s="47">
        <v>44</v>
      </c>
    </row>
    <row r="7" spans="2:14" ht="35.4" customHeight="1">
      <c r="B7" s="7" t="s">
        <v>12</v>
      </c>
      <c r="C7" s="35">
        <v>0.108</v>
      </c>
      <c r="E7" s="67" t="s">
        <v>195</v>
      </c>
      <c r="F7" s="35">
        <v>0.1137</v>
      </c>
      <c r="J7" s="30">
        <v>4</v>
      </c>
      <c r="K7" s="189" t="s">
        <v>975</v>
      </c>
      <c r="L7" s="160"/>
      <c r="M7" s="160"/>
      <c r="N7" s="48">
        <v>33</v>
      </c>
    </row>
    <row r="8" spans="2:14" ht="16.5" customHeight="1">
      <c r="B8" s="25" t="s">
        <v>13</v>
      </c>
      <c r="C8" s="26" t="s">
        <v>1211</v>
      </c>
      <c r="E8" s="27" t="s">
        <v>1212</v>
      </c>
      <c r="F8" s="68">
        <v>7.51E-2</v>
      </c>
      <c r="J8" s="29">
        <v>4</v>
      </c>
      <c r="K8" s="186" t="s">
        <v>1213</v>
      </c>
      <c r="L8" s="160"/>
      <c r="M8" s="160"/>
      <c r="N8" s="47">
        <v>33</v>
      </c>
    </row>
    <row r="9" spans="2:14" ht="18.75" customHeight="1">
      <c r="J9" s="30">
        <v>6</v>
      </c>
      <c r="K9" s="189" t="s">
        <v>1214</v>
      </c>
      <c r="L9" s="160"/>
      <c r="M9" s="160"/>
      <c r="N9" s="48">
        <v>27</v>
      </c>
    </row>
    <row r="10" spans="2:14" ht="19.5" customHeight="1">
      <c r="B10" s="164" t="s">
        <v>14</v>
      </c>
      <c r="C10" s="165"/>
      <c r="E10" s="164" t="s">
        <v>15</v>
      </c>
      <c r="F10" s="165"/>
      <c r="J10" s="29">
        <v>7</v>
      </c>
      <c r="K10" s="186" t="s">
        <v>1215</v>
      </c>
      <c r="L10" s="160"/>
      <c r="M10" s="160"/>
      <c r="N10" s="47">
        <v>21</v>
      </c>
    </row>
    <row r="11" spans="2:14" ht="16.5" customHeight="1">
      <c r="B11" s="10" t="s">
        <v>1216</v>
      </c>
      <c r="C11" s="38">
        <v>1710</v>
      </c>
      <c r="E11" s="21" t="s">
        <v>16</v>
      </c>
      <c r="F11" s="34">
        <v>0.26100000000000001</v>
      </c>
      <c r="J11" s="30">
        <v>7</v>
      </c>
      <c r="K11" s="190" t="s">
        <v>1217</v>
      </c>
      <c r="L11" s="160"/>
      <c r="M11" s="160"/>
      <c r="N11" s="49">
        <v>21</v>
      </c>
    </row>
    <row r="12" spans="2:14" ht="16.5" customHeight="1">
      <c r="B12" s="23" t="s">
        <v>976</v>
      </c>
      <c r="C12" s="33">
        <v>1267</v>
      </c>
      <c r="E12" s="13" t="s">
        <v>17</v>
      </c>
      <c r="F12" s="39">
        <v>0.73899999999999999</v>
      </c>
      <c r="J12" s="29">
        <v>9</v>
      </c>
      <c r="K12" s="185" t="s">
        <v>1218</v>
      </c>
      <c r="L12" s="160"/>
      <c r="M12" s="160"/>
      <c r="N12" s="50">
        <v>19</v>
      </c>
    </row>
    <row r="13" spans="2:14" ht="18.75" customHeight="1" thickBot="1">
      <c r="B13" s="10" t="s">
        <v>752</v>
      </c>
      <c r="C13" s="38">
        <v>2216</v>
      </c>
      <c r="J13" s="69">
        <v>9</v>
      </c>
      <c r="K13" s="189" t="s">
        <v>1219</v>
      </c>
      <c r="L13" s="160"/>
      <c r="M13" s="160"/>
      <c r="N13" s="48">
        <v>19</v>
      </c>
    </row>
    <row r="14" spans="2:14" ht="19.5" customHeight="1" thickBot="1">
      <c r="B14" s="40" t="s">
        <v>446</v>
      </c>
      <c r="C14" s="41">
        <v>1835</v>
      </c>
      <c r="E14" s="164" t="s">
        <v>1220</v>
      </c>
      <c r="F14" s="165"/>
      <c r="J14" s="70">
        <v>9</v>
      </c>
      <c r="K14" s="187" t="s">
        <v>1221</v>
      </c>
      <c r="L14" s="188"/>
      <c r="M14" s="188"/>
      <c r="N14" s="71">
        <v>19</v>
      </c>
    </row>
    <row r="15" spans="2:14" ht="16.5" customHeight="1" thickBot="1">
      <c r="B15" s="72">
        <v>2026.05</v>
      </c>
      <c r="C15" s="73">
        <v>1114</v>
      </c>
      <c r="E15" s="10" t="s">
        <v>1216</v>
      </c>
      <c r="F15" s="38">
        <v>669</v>
      </c>
    </row>
    <row r="16" spans="2:14" ht="16.5" customHeight="1" thickBot="1">
      <c r="E16" s="23" t="s">
        <v>976</v>
      </c>
      <c r="F16" s="33">
        <v>577</v>
      </c>
    </row>
    <row r="17" spans="2:6" ht="16.5" customHeight="1">
      <c r="B17" s="164" t="s">
        <v>20</v>
      </c>
      <c r="C17" s="165"/>
      <c r="E17" s="10" t="s">
        <v>752</v>
      </c>
      <c r="F17" s="38">
        <v>1448</v>
      </c>
    </row>
    <row r="18" spans="2:6" ht="16.5" customHeight="1">
      <c r="B18" s="21" t="s">
        <v>30</v>
      </c>
      <c r="C18" s="34">
        <v>6.8900000000000003E-2</v>
      </c>
      <c r="E18" s="40" t="s">
        <v>446</v>
      </c>
      <c r="F18" s="41">
        <v>1105</v>
      </c>
    </row>
    <row r="19" spans="2:6" ht="16.5" customHeight="1" thickBot="1">
      <c r="B19" s="7" t="s">
        <v>83</v>
      </c>
      <c r="C19" s="35">
        <v>6.2300000000000001E-2</v>
      </c>
      <c r="E19" s="72">
        <v>2026.05</v>
      </c>
      <c r="F19" s="73">
        <v>630</v>
      </c>
    </row>
    <row r="20" spans="2:6" ht="16.5" customHeight="1">
      <c r="B20" s="21" t="s">
        <v>1052</v>
      </c>
      <c r="C20" s="35">
        <v>3.61E-2</v>
      </c>
    </row>
    <row r="21" spans="2:6" ht="16.5" customHeight="1">
      <c r="B21" s="7" t="s">
        <v>818</v>
      </c>
      <c r="C21" s="35">
        <v>2.6200000000000001E-2</v>
      </c>
    </row>
    <row r="22" spans="2:6" ht="16.5" customHeight="1">
      <c r="B22" s="21" t="s">
        <v>612</v>
      </c>
      <c r="C22" s="35">
        <v>2.3E-2</v>
      </c>
    </row>
    <row r="23" spans="2:6" ht="16.5" customHeight="1">
      <c r="B23" s="7" t="s">
        <v>572</v>
      </c>
      <c r="C23" s="35">
        <v>1.9699999999999999E-2</v>
      </c>
    </row>
    <row r="24" spans="2:6" ht="16.5" customHeight="1">
      <c r="B24" s="21" t="s">
        <v>442</v>
      </c>
      <c r="C24" s="35">
        <v>1.3100000000000001E-2</v>
      </c>
    </row>
    <row r="25" spans="2:6" ht="16.5" customHeight="1">
      <c r="B25" s="7" t="s">
        <v>43</v>
      </c>
      <c r="C25" s="35">
        <v>1.3100000000000001E-2</v>
      </c>
    </row>
    <row r="26" spans="2:6" ht="16.5" customHeight="1">
      <c r="B26" s="21" t="s">
        <v>325</v>
      </c>
      <c r="C26" s="35">
        <v>1.3100000000000001E-2</v>
      </c>
    </row>
    <row r="27" spans="2:6" ht="16.5" customHeight="1">
      <c r="B27" s="53" t="s">
        <v>41</v>
      </c>
      <c r="C27" s="39">
        <v>1.3100000000000001E-2</v>
      </c>
    </row>
  </sheetData>
  <mergeCells count="19">
    <mergeCell ref="B17:C17"/>
    <mergeCell ref="K7:M7"/>
    <mergeCell ref="K10:M10"/>
    <mergeCell ref="K6:M6"/>
    <mergeCell ref="K13:M13"/>
    <mergeCell ref="B10:C10"/>
    <mergeCell ref="K9:M9"/>
    <mergeCell ref="K11:M11"/>
    <mergeCell ref="B3:C3"/>
    <mergeCell ref="E14:F14"/>
    <mergeCell ref="B1:M1"/>
    <mergeCell ref="K12:M12"/>
    <mergeCell ref="K8:M8"/>
    <mergeCell ref="E10:F10"/>
    <mergeCell ref="K14:M14"/>
    <mergeCell ref="K4:M4"/>
    <mergeCell ref="K3:M3"/>
    <mergeCell ref="K5:M5"/>
    <mergeCell ref="E3:F3"/>
  </mergeCells>
  <phoneticPr fontId="19" type="noConversion"/>
  <hyperlinks>
    <hyperlink ref="K4" r:id="rId1"/>
    <hyperlink ref="K5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3" r:id="rId10"/>
    <hyperlink ref="K14" r:id="rId11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zoomScaleNormal="100" workbookViewId="0">
      <pane ySplit="1" topLeftCell="A143" activePane="bottomLeft" state="frozen"/>
      <selection pane="bottomLeft" activeCell="F152" sqref="F152"/>
    </sheetView>
  </sheetViews>
  <sheetFormatPr defaultColWidth="8.88671875" defaultRowHeight="17.399999999999999"/>
  <cols>
    <col min="1" max="1" width="17.77734375" style="74" customWidth="1"/>
    <col min="2" max="2" width="11.109375" style="74" customWidth="1"/>
    <col min="3" max="3" width="51.109375" style="74" customWidth="1"/>
    <col min="4" max="4" width="11.109375" style="75" customWidth="1"/>
    <col min="5" max="6" width="11.109375" style="74" customWidth="1"/>
    <col min="7" max="7" width="9.77734375" style="74" customWidth="1"/>
    <col min="8" max="10" width="8.88671875" style="74" customWidth="1"/>
    <col min="11" max="16384" width="8.88671875" style="74"/>
  </cols>
  <sheetData>
    <row r="1" spans="1:6" ht="19.5" customHeight="1">
      <c r="A1" s="54" t="s">
        <v>22</v>
      </c>
      <c r="B1" s="54" t="s">
        <v>23</v>
      </c>
      <c r="C1" s="54" t="s">
        <v>2</v>
      </c>
      <c r="D1" s="54" t="s">
        <v>24</v>
      </c>
      <c r="E1" s="54" t="s">
        <v>25</v>
      </c>
      <c r="F1" s="54" t="s">
        <v>4</v>
      </c>
    </row>
    <row r="2" spans="1:6" ht="15.75" customHeight="1">
      <c r="A2" s="55" t="s">
        <v>30</v>
      </c>
      <c r="B2" s="56" t="s">
        <v>1222</v>
      </c>
      <c r="C2" s="55" t="s">
        <v>1084</v>
      </c>
      <c r="D2" s="56" t="s">
        <v>224</v>
      </c>
      <c r="E2" s="56">
        <v>1</v>
      </c>
      <c r="F2" s="58" t="s">
        <v>37</v>
      </c>
    </row>
    <row r="3" spans="1:6" ht="15.75" customHeight="1">
      <c r="A3" s="55" t="s">
        <v>30</v>
      </c>
      <c r="B3" s="56" t="s">
        <v>1222</v>
      </c>
      <c r="C3" s="55" t="s">
        <v>1091</v>
      </c>
      <c r="D3" s="56" t="s">
        <v>224</v>
      </c>
      <c r="E3" s="56">
        <v>1</v>
      </c>
      <c r="F3" s="58" t="s">
        <v>37</v>
      </c>
    </row>
    <row r="4" spans="1:6" ht="15.75" customHeight="1">
      <c r="A4" s="55" t="s">
        <v>30</v>
      </c>
      <c r="B4" s="56" t="s">
        <v>1222</v>
      </c>
      <c r="C4" s="55" t="s">
        <v>43</v>
      </c>
      <c r="D4" s="56" t="s">
        <v>224</v>
      </c>
      <c r="E4" s="56">
        <v>1</v>
      </c>
      <c r="F4" s="58" t="s">
        <v>37</v>
      </c>
    </row>
    <row r="5" spans="1:6" ht="15.75" customHeight="1">
      <c r="A5" s="55" t="s">
        <v>30</v>
      </c>
      <c r="B5" s="56" t="s">
        <v>1223</v>
      </c>
      <c r="C5" s="55" t="s">
        <v>1085</v>
      </c>
      <c r="D5" s="56" t="s">
        <v>235</v>
      </c>
      <c r="E5" s="56">
        <v>1</v>
      </c>
      <c r="F5" s="58" t="s">
        <v>37</v>
      </c>
    </row>
    <row r="6" spans="1:6" ht="15.75" customHeight="1">
      <c r="A6" s="55" t="s">
        <v>30</v>
      </c>
      <c r="B6" s="56" t="s">
        <v>1223</v>
      </c>
      <c r="C6" s="55" t="s">
        <v>30</v>
      </c>
      <c r="D6" s="56" t="s">
        <v>235</v>
      </c>
      <c r="E6" s="56">
        <v>1</v>
      </c>
      <c r="F6" s="58" t="s">
        <v>37</v>
      </c>
    </row>
    <row r="7" spans="1:6" ht="15.75" customHeight="1">
      <c r="A7" s="55" t="s">
        <v>30</v>
      </c>
      <c r="B7" s="56" t="s">
        <v>1224</v>
      </c>
      <c r="C7" s="55" t="s">
        <v>1099</v>
      </c>
      <c r="D7" s="56" t="s">
        <v>214</v>
      </c>
      <c r="E7" s="56">
        <v>1</v>
      </c>
      <c r="F7" s="58" t="s">
        <v>37</v>
      </c>
    </row>
    <row r="8" spans="1:6" ht="15.75" customHeight="1">
      <c r="A8" s="55" t="s">
        <v>30</v>
      </c>
      <c r="B8" s="56" t="s">
        <v>1224</v>
      </c>
      <c r="C8" s="55" t="s">
        <v>1066</v>
      </c>
      <c r="D8" s="56" t="s">
        <v>214</v>
      </c>
      <c r="E8" s="56">
        <v>1</v>
      </c>
      <c r="F8" s="58" t="s">
        <v>37</v>
      </c>
    </row>
    <row r="9" spans="1:6" ht="15.75" customHeight="1">
      <c r="A9" s="55" t="s">
        <v>30</v>
      </c>
      <c r="B9" s="56" t="s">
        <v>1224</v>
      </c>
      <c r="C9" s="55" t="s">
        <v>629</v>
      </c>
      <c r="D9" s="56" t="s">
        <v>214</v>
      </c>
      <c r="E9" s="56">
        <v>1</v>
      </c>
      <c r="F9" s="58" t="s">
        <v>37</v>
      </c>
    </row>
    <row r="10" spans="1:6" ht="15.75" customHeight="1">
      <c r="A10" s="55" t="s">
        <v>30</v>
      </c>
      <c r="B10" s="56" t="s">
        <v>1224</v>
      </c>
      <c r="C10" s="55" t="s">
        <v>30</v>
      </c>
      <c r="D10" s="56" t="s">
        <v>214</v>
      </c>
      <c r="E10" s="56">
        <v>1</v>
      </c>
      <c r="F10" s="58" t="s">
        <v>37</v>
      </c>
    </row>
    <row r="11" spans="1:6" ht="15.75" customHeight="1">
      <c r="A11" s="55" t="s">
        <v>30</v>
      </c>
      <c r="B11" s="56" t="s">
        <v>1225</v>
      </c>
      <c r="C11" s="55" t="s">
        <v>1100</v>
      </c>
      <c r="D11" s="56" t="s">
        <v>519</v>
      </c>
      <c r="E11" s="56">
        <v>1</v>
      </c>
      <c r="F11" s="59" t="s">
        <v>27</v>
      </c>
    </row>
    <row r="12" spans="1:6" ht="15.75" customHeight="1">
      <c r="A12" s="55" t="s">
        <v>30</v>
      </c>
      <c r="B12" s="56" t="s">
        <v>1225</v>
      </c>
      <c r="C12" s="55" t="s">
        <v>1118</v>
      </c>
      <c r="D12" s="56" t="s">
        <v>519</v>
      </c>
      <c r="E12" s="56">
        <v>1</v>
      </c>
      <c r="F12" s="58" t="s">
        <v>37</v>
      </c>
    </row>
    <row r="13" spans="1:6" ht="15.75" customHeight="1">
      <c r="A13" s="55" t="s">
        <v>30</v>
      </c>
      <c r="B13" s="56" t="s">
        <v>1226</v>
      </c>
      <c r="C13" s="55" t="s">
        <v>30</v>
      </c>
      <c r="D13" s="56" t="s">
        <v>810</v>
      </c>
      <c r="E13" s="56">
        <v>1</v>
      </c>
      <c r="F13" s="58" t="s">
        <v>37</v>
      </c>
    </row>
    <row r="14" spans="1:6" ht="15.75" customHeight="1">
      <c r="A14" s="55" t="s">
        <v>30</v>
      </c>
      <c r="B14" s="56" t="s">
        <v>1226</v>
      </c>
      <c r="C14" s="55" t="s">
        <v>71</v>
      </c>
      <c r="D14" s="56" t="s">
        <v>810</v>
      </c>
      <c r="E14" s="56">
        <v>1</v>
      </c>
      <c r="F14" s="59" t="s">
        <v>27</v>
      </c>
    </row>
    <row r="15" spans="1:6" ht="15.75" customHeight="1">
      <c r="A15" s="55" t="s">
        <v>30</v>
      </c>
      <c r="B15" s="56" t="s">
        <v>1226</v>
      </c>
      <c r="C15" s="55" t="s">
        <v>442</v>
      </c>
      <c r="D15" s="56" t="s">
        <v>810</v>
      </c>
      <c r="E15" s="56">
        <v>1</v>
      </c>
      <c r="F15" s="59" t="s">
        <v>27</v>
      </c>
    </row>
    <row r="16" spans="1:6" ht="15.75" customHeight="1">
      <c r="A16" s="55" t="s">
        <v>30</v>
      </c>
      <c r="B16" s="56" t="s">
        <v>1227</v>
      </c>
      <c r="C16" s="55" t="s">
        <v>1142</v>
      </c>
      <c r="D16" s="56" t="s">
        <v>986</v>
      </c>
      <c r="E16" s="56">
        <v>1</v>
      </c>
      <c r="F16" s="58" t="s">
        <v>37</v>
      </c>
    </row>
    <row r="17" spans="1:6" ht="15.75" customHeight="1">
      <c r="A17" s="55" t="s">
        <v>30</v>
      </c>
      <c r="B17" s="56" t="s">
        <v>1227</v>
      </c>
      <c r="C17" s="55" t="s">
        <v>30</v>
      </c>
      <c r="D17" s="56" t="s">
        <v>986</v>
      </c>
      <c r="E17" s="56">
        <v>1</v>
      </c>
      <c r="F17" s="58" t="s">
        <v>37</v>
      </c>
    </row>
    <row r="18" spans="1:6" ht="15.75" customHeight="1">
      <c r="A18" s="55" t="s">
        <v>30</v>
      </c>
      <c r="B18" s="56" t="s">
        <v>1227</v>
      </c>
      <c r="C18" s="55" t="s">
        <v>30</v>
      </c>
      <c r="D18" s="56" t="s">
        <v>986</v>
      </c>
      <c r="E18" s="56">
        <v>1</v>
      </c>
      <c r="F18" s="58" t="s">
        <v>37</v>
      </c>
    </row>
    <row r="19" spans="1:6" ht="15.75" customHeight="1">
      <c r="A19" s="55" t="s">
        <v>30</v>
      </c>
      <c r="B19" s="56" t="s">
        <v>1227</v>
      </c>
      <c r="C19" s="55" t="s">
        <v>367</v>
      </c>
      <c r="D19" s="56" t="s">
        <v>986</v>
      </c>
      <c r="E19" s="56">
        <v>1</v>
      </c>
      <c r="F19" s="58" t="s">
        <v>37</v>
      </c>
    </row>
    <row r="20" spans="1:6" ht="15.75" customHeight="1">
      <c r="A20" s="55" t="s">
        <v>30</v>
      </c>
      <c r="B20" s="56" t="s">
        <v>1228</v>
      </c>
      <c r="C20" s="55" t="s">
        <v>1143</v>
      </c>
      <c r="D20" s="56" t="s">
        <v>509</v>
      </c>
      <c r="E20" s="56">
        <v>1</v>
      </c>
      <c r="F20" s="58" t="s">
        <v>37</v>
      </c>
    </row>
    <row r="21" spans="1:6" ht="15.75" customHeight="1">
      <c r="A21" s="55" t="s">
        <v>30</v>
      </c>
      <c r="B21" s="56" t="s">
        <v>1228</v>
      </c>
      <c r="C21" s="55" t="s">
        <v>629</v>
      </c>
      <c r="D21" s="56" t="s">
        <v>509</v>
      </c>
      <c r="E21" s="56">
        <v>1</v>
      </c>
      <c r="F21" s="58" t="s">
        <v>37</v>
      </c>
    </row>
    <row r="22" spans="1:6" ht="15.75" customHeight="1">
      <c r="A22" s="55" t="s">
        <v>30</v>
      </c>
      <c r="B22" s="56" t="s">
        <v>1228</v>
      </c>
      <c r="C22" s="55" t="s">
        <v>30</v>
      </c>
      <c r="D22" s="56" t="s">
        <v>509</v>
      </c>
      <c r="E22" s="56">
        <v>1</v>
      </c>
      <c r="F22" s="58" t="s">
        <v>37</v>
      </c>
    </row>
    <row r="23" spans="1:6" ht="15.75" customHeight="1">
      <c r="A23" s="55" t="s">
        <v>30</v>
      </c>
      <c r="B23" s="56" t="s">
        <v>1228</v>
      </c>
      <c r="C23" s="55" t="s">
        <v>920</v>
      </c>
      <c r="D23" s="56" t="s">
        <v>509</v>
      </c>
      <c r="E23" s="56">
        <v>1</v>
      </c>
      <c r="F23" s="58" t="s">
        <v>37</v>
      </c>
    </row>
    <row r="24" spans="1:6" ht="15.75" customHeight="1">
      <c r="A24" s="55" t="s">
        <v>30</v>
      </c>
      <c r="B24" s="56" t="s">
        <v>1229</v>
      </c>
      <c r="C24" s="55" t="s">
        <v>30</v>
      </c>
      <c r="D24" s="56" t="s">
        <v>275</v>
      </c>
      <c r="E24" s="56">
        <v>1</v>
      </c>
      <c r="F24" s="58" t="s">
        <v>37</v>
      </c>
    </row>
    <row r="25" spans="1:6" ht="15.75" customHeight="1">
      <c r="A25" s="55" t="s">
        <v>30</v>
      </c>
      <c r="B25" s="56" t="s">
        <v>1230</v>
      </c>
      <c r="C25" s="55" t="s">
        <v>314</v>
      </c>
      <c r="D25" s="56" t="s">
        <v>786</v>
      </c>
      <c r="E25" s="56">
        <v>1</v>
      </c>
      <c r="F25" s="58" t="s">
        <v>37</v>
      </c>
    </row>
    <row r="26" spans="1:6" ht="15.75" customHeight="1">
      <c r="A26" s="55" t="s">
        <v>30</v>
      </c>
      <c r="B26" s="56" t="s">
        <v>1230</v>
      </c>
      <c r="C26" s="55" t="s">
        <v>30</v>
      </c>
      <c r="D26" s="56" t="s">
        <v>786</v>
      </c>
      <c r="E26" s="56">
        <v>1</v>
      </c>
      <c r="F26" s="58" t="s">
        <v>37</v>
      </c>
    </row>
    <row r="27" spans="1:6" ht="15.75" customHeight="1">
      <c r="A27" s="55" t="s">
        <v>30</v>
      </c>
      <c r="B27" s="56" t="s">
        <v>1230</v>
      </c>
      <c r="C27" s="55" t="s">
        <v>30</v>
      </c>
      <c r="D27" s="56" t="s">
        <v>786</v>
      </c>
      <c r="E27" s="56">
        <v>1</v>
      </c>
      <c r="F27" s="58" t="s">
        <v>37</v>
      </c>
    </row>
    <row r="28" spans="1:6" ht="15.75" customHeight="1">
      <c r="A28" s="55" t="s">
        <v>30</v>
      </c>
      <c r="B28" s="56" t="s">
        <v>1231</v>
      </c>
      <c r="C28" s="55" t="s">
        <v>1166</v>
      </c>
      <c r="D28" s="56" t="s">
        <v>272</v>
      </c>
      <c r="E28" s="56">
        <v>2</v>
      </c>
      <c r="F28" s="58" t="s">
        <v>37</v>
      </c>
    </row>
    <row r="29" spans="1:6" ht="15.75" customHeight="1">
      <c r="A29" s="55" t="s">
        <v>30</v>
      </c>
      <c r="B29" s="56" t="s">
        <v>1231</v>
      </c>
      <c r="C29" s="55" t="s">
        <v>48</v>
      </c>
      <c r="D29" s="56" t="s">
        <v>272</v>
      </c>
      <c r="E29" s="56">
        <v>2</v>
      </c>
      <c r="F29" s="59" t="s">
        <v>27</v>
      </c>
    </row>
    <row r="30" spans="1:6" ht="15.75" customHeight="1">
      <c r="A30" s="55" t="s">
        <v>30</v>
      </c>
      <c r="B30" s="56" t="s">
        <v>1232</v>
      </c>
      <c r="C30" s="55" t="s">
        <v>30</v>
      </c>
      <c r="D30" s="56" t="s">
        <v>1233</v>
      </c>
      <c r="E30" s="56">
        <v>1</v>
      </c>
      <c r="F30" s="58" t="s">
        <v>37</v>
      </c>
    </row>
    <row r="31" spans="1:6" ht="15.75" customHeight="1">
      <c r="A31" s="55" t="s">
        <v>30</v>
      </c>
      <c r="B31" s="56" t="s">
        <v>1234</v>
      </c>
      <c r="C31" s="55" t="s">
        <v>1190</v>
      </c>
      <c r="D31" s="56" t="s">
        <v>214</v>
      </c>
      <c r="E31" s="56">
        <v>1</v>
      </c>
      <c r="F31" s="58" t="s">
        <v>37</v>
      </c>
    </row>
    <row r="32" spans="1:6" ht="15.75" customHeight="1">
      <c r="A32" s="55" t="s">
        <v>30</v>
      </c>
      <c r="B32" s="56" t="s">
        <v>1234</v>
      </c>
      <c r="C32" s="55" t="s">
        <v>30</v>
      </c>
      <c r="D32" s="56" t="s">
        <v>214</v>
      </c>
      <c r="E32" s="56">
        <v>1</v>
      </c>
      <c r="F32" s="58" t="s">
        <v>37</v>
      </c>
    </row>
    <row r="33" spans="1:6" ht="15.75" customHeight="1">
      <c r="A33" s="55" t="s">
        <v>30</v>
      </c>
      <c r="B33" s="56" t="s">
        <v>1234</v>
      </c>
      <c r="C33" s="55" t="s">
        <v>616</v>
      </c>
      <c r="D33" s="56" t="s">
        <v>214</v>
      </c>
      <c r="E33" s="56">
        <v>1</v>
      </c>
      <c r="F33" s="58" t="s">
        <v>37</v>
      </c>
    </row>
    <row r="34" spans="1:6" ht="15.75" customHeight="1">
      <c r="A34" s="55" t="s">
        <v>30</v>
      </c>
      <c r="B34" s="56" t="s">
        <v>1235</v>
      </c>
      <c r="C34" s="55" t="s">
        <v>30</v>
      </c>
      <c r="D34" s="56" t="s">
        <v>249</v>
      </c>
      <c r="E34" s="56">
        <v>1</v>
      </c>
      <c r="F34" s="58" t="s">
        <v>37</v>
      </c>
    </row>
    <row r="35" spans="1:6" ht="15.75" customHeight="1">
      <c r="A35" s="55" t="s">
        <v>30</v>
      </c>
      <c r="B35" s="56" t="s">
        <v>1235</v>
      </c>
      <c r="C35" s="55" t="s">
        <v>71</v>
      </c>
      <c r="D35" s="56" t="s">
        <v>249</v>
      </c>
      <c r="E35" s="56">
        <v>1</v>
      </c>
      <c r="F35" s="59" t="s">
        <v>27</v>
      </c>
    </row>
    <row r="36" spans="1:6" ht="15.75" customHeight="1">
      <c r="A36" s="55" t="s">
        <v>30</v>
      </c>
      <c r="B36" s="56" t="s">
        <v>1235</v>
      </c>
      <c r="C36" s="55" t="s">
        <v>48</v>
      </c>
      <c r="D36" s="56" t="s">
        <v>249</v>
      </c>
      <c r="E36" s="56">
        <v>1</v>
      </c>
      <c r="F36" s="59" t="s">
        <v>27</v>
      </c>
    </row>
    <row r="37" spans="1:6" ht="15.75" customHeight="1">
      <c r="A37" s="55" t="s">
        <v>30</v>
      </c>
      <c r="B37" s="56" t="s">
        <v>1235</v>
      </c>
      <c r="C37" s="55" t="s">
        <v>367</v>
      </c>
      <c r="D37" s="56" t="s">
        <v>249</v>
      </c>
      <c r="E37" s="56">
        <v>1</v>
      </c>
      <c r="F37" s="58" t="s">
        <v>37</v>
      </c>
    </row>
    <row r="38" spans="1:6" ht="15.75" customHeight="1">
      <c r="A38" s="55" t="s">
        <v>30</v>
      </c>
      <c r="B38" s="56" t="s">
        <v>1236</v>
      </c>
      <c r="C38" s="55" t="s">
        <v>442</v>
      </c>
      <c r="D38" s="56" t="s">
        <v>811</v>
      </c>
      <c r="E38" s="56">
        <v>3</v>
      </c>
      <c r="F38" s="59" t="s">
        <v>27</v>
      </c>
    </row>
    <row r="39" spans="1:6" ht="15.75" customHeight="1">
      <c r="A39" s="55" t="s">
        <v>30</v>
      </c>
      <c r="B39" s="56" t="s">
        <v>1237</v>
      </c>
      <c r="C39" s="55" t="s">
        <v>871</v>
      </c>
      <c r="D39" s="56" t="s">
        <v>229</v>
      </c>
      <c r="E39" s="56">
        <v>1</v>
      </c>
      <c r="F39" s="58" t="s">
        <v>37</v>
      </c>
    </row>
    <row r="40" spans="1:6" ht="15.75" customHeight="1">
      <c r="A40" s="55" t="s">
        <v>30</v>
      </c>
      <c r="B40" s="56" t="s">
        <v>1237</v>
      </c>
      <c r="C40" s="55" t="s">
        <v>30</v>
      </c>
      <c r="D40" s="56" t="s">
        <v>229</v>
      </c>
      <c r="E40" s="56">
        <v>1</v>
      </c>
      <c r="F40" s="58" t="s">
        <v>37</v>
      </c>
    </row>
    <row r="41" spans="1:6" ht="15.75" customHeight="1">
      <c r="A41" s="55" t="s">
        <v>30</v>
      </c>
      <c r="B41" s="56" t="s">
        <v>1237</v>
      </c>
      <c r="C41" s="55" t="s">
        <v>30</v>
      </c>
      <c r="D41" s="56" t="s">
        <v>229</v>
      </c>
      <c r="E41" s="56">
        <v>1</v>
      </c>
      <c r="F41" s="58" t="s">
        <v>37</v>
      </c>
    </row>
    <row r="42" spans="1:6" ht="15.75" customHeight="1">
      <c r="A42" s="55" t="s">
        <v>30</v>
      </c>
      <c r="B42" s="56" t="s">
        <v>1238</v>
      </c>
      <c r="C42" s="55" t="s">
        <v>30</v>
      </c>
      <c r="D42" s="56" t="s">
        <v>270</v>
      </c>
      <c r="E42" s="56">
        <v>1</v>
      </c>
      <c r="F42" s="58" t="s">
        <v>37</v>
      </c>
    </row>
    <row r="43" spans="1:6" ht="15.75" customHeight="1">
      <c r="A43" s="55" t="s">
        <v>30</v>
      </c>
      <c r="B43" s="56" t="s">
        <v>1239</v>
      </c>
      <c r="C43" s="55" t="s">
        <v>30</v>
      </c>
      <c r="D43" s="56" t="s">
        <v>1240</v>
      </c>
      <c r="E43" s="56">
        <v>2</v>
      </c>
      <c r="F43" s="58" t="s">
        <v>37</v>
      </c>
    </row>
    <row r="44" spans="1:6" ht="15.75" customHeight="1">
      <c r="A44" s="55" t="s">
        <v>30</v>
      </c>
      <c r="B44" s="56" t="s">
        <v>1239</v>
      </c>
      <c r="C44" s="55" t="s">
        <v>43</v>
      </c>
      <c r="D44" s="56" t="s">
        <v>252</v>
      </c>
      <c r="E44" s="56">
        <v>1</v>
      </c>
      <c r="F44" s="58" t="s">
        <v>37</v>
      </c>
    </row>
    <row r="45" spans="1:6" ht="15.75" customHeight="1">
      <c r="A45" s="55" t="s">
        <v>30</v>
      </c>
      <c r="B45" s="56" t="s">
        <v>1241</v>
      </c>
      <c r="C45" s="55" t="s">
        <v>1054</v>
      </c>
      <c r="D45" s="56" t="s">
        <v>1233</v>
      </c>
      <c r="E45" s="56">
        <v>1</v>
      </c>
      <c r="F45" s="58" t="s">
        <v>37</v>
      </c>
    </row>
    <row r="46" spans="1:6" ht="15.75" customHeight="1">
      <c r="A46" s="55" t="s">
        <v>30</v>
      </c>
      <c r="B46" s="56" t="s">
        <v>1241</v>
      </c>
      <c r="C46" s="55" t="s">
        <v>1060</v>
      </c>
      <c r="D46" s="56" t="s">
        <v>1233</v>
      </c>
      <c r="E46" s="56">
        <v>1</v>
      </c>
      <c r="F46" s="58" t="s">
        <v>37</v>
      </c>
    </row>
    <row r="47" spans="1:6" ht="15.75" customHeight="1">
      <c r="A47" s="55" t="s">
        <v>30</v>
      </c>
      <c r="B47" s="56" t="s">
        <v>1241</v>
      </c>
      <c r="C47" s="55" t="s">
        <v>1066</v>
      </c>
      <c r="D47" s="56" t="s">
        <v>1233</v>
      </c>
      <c r="E47" s="56">
        <v>1</v>
      </c>
      <c r="F47" s="58" t="s">
        <v>37</v>
      </c>
    </row>
    <row r="48" spans="1:6" ht="15.75" customHeight="1">
      <c r="A48" s="55" t="s">
        <v>30</v>
      </c>
      <c r="B48" s="56" t="s">
        <v>1241</v>
      </c>
      <c r="C48" s="55" t="s">
        <v>30</v>
      </c>
      <c r="D48" s="56" t="s">
        <v>1233</v>
      </c>
      <c r="E48" s="56">
        <v>1</v>
      </c>
      <c r="F48" s="58" t="s">
        <v>37</v>
      </c>
    </row>
    <row r="49" spans="1:6" ht="15.75" customHeight="1">
      <c r="A49" s="55" t="s">
        <v>30</v>
      </c>
      <c r="B49" s="56" t="s">
        <v>1242</v>
      </c>
      <c r="C49" s="55" t="s">
        <v>1045</v>
      </c>
      <c r="D49" s="56" t="s">
        <v>212</v>
      </c>
      <c r="E49" s="56">
        <v>1</v>
      </c>
      <c r="F49" s="58" t="s">
        <v>37</v>
      </c>
    </row>
    <row r="50" spans="1:6" ht="15.75" customHeight="1">
      <c r="A50" s="55" t="s">
        <v>30</v>
      </c>
      <c r="B50" s="56" t="s">
        <v>1243</v>
      </c>
      <c r="C50" s="55" t="s">
        <v>1078</v>
      </c>
      <c r="D50" s="56" t="s">
        <v>1244</v>
      </c>
      <c r="E50" s="56">
        <v>1</v>
      </c>
      <c r="F50" s="58" t="s">
        <v>37</v>
      </c>
    </row>
    <row r="51" spans="1:6" ht="15.75" customHeight="1">
      <c r="A51" s="55" t="s">
        <v>30</v>
      </c>
      <c r="B51" s="56" t="s">
        <v>1243</v>
      </c>
      <c r="C51" s="55" t="s">
        <v>30</v>
      </c>
      <c r="D51" s="56" t="s">
        <v>1245</v>
      </c>
      <c r="E51" s="56">
        <v>2</v>
      </c>
      <c r="F51" s="58" t="s">
        <v>37</v>
      </c>
    </row>
    <row r="52" spans="1:6" ht="15.75" customHeight="1">
      <c r="A52" s="55" t="s">
        <v>30</v>
      </c>
      <c r="B52" s="56" t="s">
        <v>1243</v>
      </c>
      <c r="C52" s="55" t="s">
        <v>43</v>
      </c>
      <c r="D52" s="56" t="s">
        <v>1245</v>
      </c>
      <c r="E52" s="56">
        <v>2</v>
      </c>
      <c r="F52" s="58" t="s">
        <v>37</v>
      </c>
    </row>
    <row r="53" spans="1:6" ht="15.75" customHeight="1">
      <c r="A53" s="55" t="s">
        <v>30</v>
      </c>
      <c r="B53" s="56" t="s">
        <v>1243</v>
      </c>
      <c r="C53" s="55" t="s">
        <v>1062</v>
      </c>
      <c r="D53" s="56" t="s">
        <v>1244</v>
      </c>
      <c r="E53" s="56">
        <v>1</v>
      </c>
      <c r="F53" s="57" t="s">
        <v>42</v>
      </c>
    </row>
    <row r="54" spans="1:6" ht="15.75" customHeight="1">
      <c r="A54" s="55" t="s">
        <v>30</v>
      </c>
      <c r="B54" s="56" t="s">
        <v>1246</v>
      </c>
      <c r="C54" s="55" t="s">
        <v>1088</v>
      </c>
      <c r="D54" s="56" t="s">
        <v>251</v>
      </c>
      <c r="E54" s="56">
        <v>1</v>
      </c>
      <c r="F54" s="58" t="s">
        <v>37</v>
      </c>
    </row>
    <row r="55" spans="1:6" ht="15.75" customHeight="1">
      <c r="A55" s="55" t="s">
        <v>30</v>
      </c>
      <c r="B55" s="56" t="s">
        <v>1246</v>
      </c>
      <c r="C55" s="55" t="s">
        <v>30</v>
      </c>
      <c r="D55" s="56" t="s">
        <v>251</v>
      </c>
      <c r="E55" s="56">
        <v>1</v>
      </c>
      <c r="F55" s="58" t="s">
        <v>37</v>
      </c>
    </row>
    <row r="56" spans="1:6" ht="15.75" customHeight="1">
      <c r="A56" s="55" t="s">
        <v>1032</v>
      </c>
      <c r="B56" s="56" t="s">
        <v>1247</v>
      </c>
      <c r="C56" s="55" t="s">
        <v>1096</v>
      </c>
      <c r="D56" s="56" t="s">
        <v>256</v>
      </c>
      <c r="E56" s="56">
        <v>1</v>
      </c>
      <c r="F56" s="60" t="s">
        <v>33</v>
      </c>
    </row>
    <row r="57" spans="1:6" ht="15.75" customHeight="1">
      <c r="A57" s="55" t="s">
        <v>1032</v>
      </c>
      <c r="B57" s="56" t="s">
        <v>1224</v>
      </c>
      <c r="C57" s="55" t="s">
        <v>1126</v>
      </c>
      <c r="D57" s="56" t="s">
        <v>214</v>
      </c>
      <c r="E57" s="56">
        <v>1</v>
      </c>
      <c r="F57" s="60" t="s">
        <v>33</v>
      </c>
    </row>
    <row r="58" spans="1:6" ht="15.75" customHeight="1">
      <c r="A58" s="55" t="s">
        <v>1032</v>
      </c>
      <c r="B58" s="56" t="s">
        <v>1225</v>
      </c>
      <c r="C58" s="55" t="s">
        <v>1114</v>
      </c>
      <c r="D58" s="56" t="s">
        <v>519</v>
      </c>
      <c r="E58" s="56">
        <v>1</v>
      </c>
      <c r="F58" s="60" t="s">
        <v>33</v>
      </c>
    </row>
    <row r="59" spans="1:6" ht="15.75" customHeight="1">
      <c r="A59" s="55" t="s">
        <v>1032</v>
      </c>
      <c r="B59" s="56" t="s">
        <v>1225</v>
      </c>
      <c r="C59" s="55" t="s">
        <v>1109</v>
      </c>
      <c r="D59" s="56" t="s">
        <v>519</v>
      </c>
      <c r="E59" s="56">
        <v>1</v>
      </c>
      <c r="F59" s="60" t="s">
        <v>33</v>
      </c>
    </row>
    <row r="60" spans="1:6" ht="15.75" customHeight="1">
      <c r="A60" s="55" t="s">
        <v>1032</v>
      </c>
      <c r="B60" s="56" t="s">
        <v>1229</v>
      </c>
      <c r="C60" s="55" t="s">
        <v>728</v>
      </c>
      <c r="D60" s="56" t="s">
        <v>275</v>
      </c>
      <c r="E60" s="56">
        <v>1</v>
      </c>
      <c r="F60" s="60" t="s">
        <v>33</v>
      </c>
    </row>
    <row r="61" spans="1:6" ht="15.75" customHeight="1">
      <c r="A61" s="55" t="s">
        <v>1032</v>
      </c>
      <c r="B61" s="56" t="s">
        <v>1230</v>
      </c>
      <c r="C61" s="55" t="s">
        <v>1159</v>
      </c>
      <c r="D61" s="56" t="s">
        <v>786</v>
      </c>
      <c r="E61" s="56">
        <v>1</v>
      </c>
      <c r="F61" s="60" t="s">
        <v>33</v>
      </c>
    </row>
    <row r="62" spans="1:6" ht="15.75" customHeight="1">
      <c r="A62" s="55" t="s">
        <v>1032</v>
      </c>
      <c r="B62" s="56" t="s">
        <v>1230</v>
      </c>
      <c r="C62" s="55" t="s">
        <v>1161</v>
      </c>
      <c r="D62" s="56" t="s">
        <v>786</v>
      </c>
      <c r="E62" s="56">
        <v>1</v>
      </c>
      <c r="F62" s="60" t="s">
        <v>33</v>
      </c>
    </row>
    <row r="63" spans="1:6" ht="15.75" customHeight="1">
      <c r="A63" s="55" t="s">
        <v>1032</v>
      </c>
      <c r="B63" s="56" t="s">
        <v>1230</v>
      </c>
      <c r="C63" s="55" t="s">
        <v>1151</v>
      </c>
      <c r="D63" s="56" t="s">
        <v>786</v>
      </c>
      <c r="E63" s="56">
        <v>1</v>
      </c>
      <c r="F63" s="60" t="s">
        <v>33</v>
      </c>
    </row>
    <row r="64" spans="1:6" ht="15.75" customHeight="1">
      <c r="A64" s="55" t="s">
        <v>1032</v>
      </c>
      <c r="B64" s="56" t="s">
        <v>1231</v>
      </c>
      <c r="C64" s="55" t="s">
        <v>1183</v>
      </c>
      <c r="D64" s="56" t="s">
        <v>209</v>
      </c>
      <c r="E64" s="56">
        <v>1</v>
      </c>
      <c r="F64" s="57" t="s">
        <v>42</v>
      </c>
    </row>
    <row r="65" spans="1:6" ht="15.75" customHeight="1">
      <c r="A65" s="55" t="s">
        <v>1032</v>
      </c>
      <c r="B65" s="56" t="s">
        <v>1231</v>
      </c>
      <c r="C65" s="55" t="s">
        <v>1186</v>
      </c>
      <c r="D65" s="56" t="s">
        <v>209</v>
      </c>
      <c r="E65" s="56">
        <v>1</v>
      </c>
      <c r="F65" s="60" t="s">
        <v>33</v>
      </c>
    </row>
    <row r="66" spans="1:6" ht="15.75" customHeight="1">
      <c r="A66" s="55" t="s">
        <v>1032</v>
      </c>
      <c r="B66" s="56" t="s">
        <v>1232</v>
      </c>
      <c r="C66" s="55" t="s">
        <v>1184</v>
      </c>
      <c r="D66" s="56" t="s">
        <v>1233</v>
      </c>
      <c r="E66" s="56">
        <v>1</v>
      </c>
      <c r="F66" s="60" t="s">
        <v>33</v>
      </c>
    </row>
    <row r="67" spans="1:6" ht="15.75" customHeight="1">
      <c r="A67" s="55" t="s">
        <v>1032</v>
      </c>
      <c r="B67" s="56" t="s">
        <v>1232</v>
      </c>
      <c r="C67" s="55" t="s">
        <v>1168</v>
      </c>
      <c r="D67" s="56" t="s">
        <v>1233</v>
      </c>
      <c r="E67" s="56">
        <v>1</v>
      </c>
      <c r="F67" s="57" t="s">
        <v>42</v>
      </c>
    </row>
    <row r="68" spans="1:6" ht="15.75" customHeight="1">
      <c r="A68" s="55" t="s">
        <v>1032</v>
      </c>
      <c r="B68" s="56" t="s">
        <v>1248</v>
      </c>
      <c r="C68" s="55" t="s">
        <v>1169</v>
      </c>
      <c r="D68" s="56" t="s">
        <v>241</v>
      </c>
      <c r="E68" s="56">
        <v>1</v>
      </c>
      <c r="F68" s="60" t="s">
        <v>33</v>
      </c>
    </row>
    <row r="69" spans="1:6" ht="15.75" customHeight="1">
      <c r="A69" s="55" t="s">
        <v>1032</v>
      </c>
      <c r="B69" s="56" t="s">
        <v>1234</v>
      </c>
      <c r="C69" s="55" t="s">
        <v>630</v>
      </c>
      <c r="D69" s="56" t="s">
        <v>275</v>
      </c>
      <c r="E69" s="56">
        <v>2</v>
      </c>
      <c r="F69" s="60" t="s">
        <v>33</v>
      </c>
    </row>
    <row r="70" spans="1:6" ht="15.75" customHeight="1">
      <c r="A70" s="55" t="s">
        <v>1032</v>
      </c>
      <c r="B70" s="56" t="s">
        <v>1237</v>
      </c>
      <c r="C70" s="55" t="s">
        <v>1206</v>
      </c>
      <c r="D70" s="56" t="s">
        <v>229</v>
      </c>
      <c r="E70" s="56">
        <v>1</v>
      </c>
      <c r="F70" s="60" t="s">
        <v>33</v>
      </c>
    </row>
    <row r="71" spans="1:6" ht="15.75" customHeight="1">
      <c r="A71" s="55" t="s">
        <v>1032</v>
      </c>
      <c r="B71" s="56" t="s">
        <v>1249</v>
      </c>
      <c r="C71" s="55" t="s">
        <v>1041</v>
      </c>
      <c r="D71" s="56" t="s">
        <v>454</v>
      </c>
      <c r="E71" s="56">
        <v>1</v>
      </c>
      <c r="F71" s="60" t="s">
        <v>33</v>
      </c>
    </row>
    <row r="72" spans="1:6" ht="15.75" customHeight="1">
      <c r="A72" s="55" t="s">
        <v>1032</v>
      </c>
      <c r="B72" s="56" t="s">
        <v>1238</v>
      </c>
      <c r="C72" s="55" t="s">
        <v>1201</v>
      </c>
      <c r="D72" s="56" t="s">
        <v>270</v>
      </c>
      <c r="E72" s="56">
        <v>1</v>
      </c>
      <c r="F72" s="60" t="s">
        <v>33</v>
      </c>
    </row>
    <row r="73" spans="1:6" ht="15.75" customHeight="1">
      <c r="A73" s="55" t="s">
        <v>1032</v>
      </c>
      <c r="B73" s="56" t="s">
        <v>1239</v>
      </c>
      <c r="C73" s="55" t="s">
        <v>1202</v>
      </c>
      <c r="D73" s="56" t="s">
        <v>252</v>
      </c>
      <c r="E73" s="56">
        <v>1</v>
      </c>
      <c r="F73" s="60" t="s">
        <v>33</v>
      </c>
    </row>
    <row r="74" spans="1:6" ht="15.75" customHeight="1">
      <c r="A74" s="55" t="s">
        <v>1032</v>
      </c>
      <c r="B74" s="56" t="s">
        <v>1250</v>
      </c>
      <c r="C74" s="55" t="s">
        <v>1055</v>
      </c>
      <c r="D74" s="56" t="s">
        <v>454</v>
      </c>
      <c r="E74" s="56">
        <v>1</v>
      </c>
      <c r="F74" s="57" t="s">
        <v>42</v>
      </c>
    </row>
    <row r="75" spans="1:6" ht="15.75" customHeight="1">
      <c r="A75" s="55" t="s">
        <v>1032</v>
      </c>
      <c r="B75" s="56" t="s">
        <v>1242</v>
      </c>
      <c r="C75" s="55" t="s">
        <v>1068</v>
      </c>
      <c r="D75" s="56" t="s">
        <v>212</v>
      </c>
      <c r="E75" s="56">
        <v>1</v>
      </c>
      <c r="F75" s="60" t="s">
        <v>33</v>
      </c>
    </row>
    <row r="76" spans="1:6" ht="15.75" customHeight="1">
      <c r="A76" s="55" t="s">
        <v>1032</v>
      </c>
      <c r="B76" s="56" t="s">
        <v>1243</v>
      </c>
      <c r="C76" s="55" t="s">
        <v>1057</v>
      </c>
      <c r="D76" s="56" t="s">
        <v>1244</v>
      </c>
      <c r="E76" s="56">
        <v>1</v>
      </c>
      <c r="F76" s="60" t="s">
        <v>33</v>
      </c>
    </row>
    <row r="77" spans="1:6" ht="15.75" customHeight="1">
      <c r="A77" s="55" t="s">
        <v>1032</v>
      </c>
      <c r="B77" s="56" t="s">
        <v>1246</v>
      </c>
      <c r="C77" s="55" t="s">
        <v>1119</v>
      </c>
      <c r="D77" s="56" t="s">
        <v>251</v>
      </c>
      <c r="E77" s="56">
        <v>1</v>
      </c>
      <c r="F77" s="60" t="s">
        <v>33</v>
      </c>
    </row>
    <row r="78" spans="1:6" ht="15.75" customHeight="1">
      <c r="A78" s="55" t="s">
        <v>83</v>
      </c>
      <c r="B78" s="56" t="s">
        <v>1229</v>
      </c>
      <c r="C78" s="55" t="s">
        <v>41</v>
      </c>
      <c r="D78" s="56" t="s">
        <v>275</v>
      </c>
      <c r="E78" s="56">
        <v>1</v>
      </c>
      <c r="F78" s="57" t="s">
        <v>42</v>
      </c>
    </row>
    <row r="79" spans="1:6" ht="15.75" customHeight="1">
      <c r="A79" s="55" t="s">
        <v>83</v>
      </c>
      <c r="B79" s="56" t="s">
        <v>1230</v>
      </c>
      <c r="C79" s="55" t="s">
        <v>83</v>
      </c>
      <c r="D79" s="56" t="s">
        <v>787</v>
      </c>
      <c r="E79" s="56">
        <v>3</v>
      </c>
      <c r="F79" s="57" t="s">
        <v>42</v>
      </c>
    </row>
    <row r="80" spans="1:6" ht="15.75" customHeight="1">
      <c r="A80" s="55" t="s">
        <v>83</v>
      </c>
      <c r="B80" s="56" t="s">
        <v>1230</v>
      </c>
      <c r="C80" s="55" t="s">
        <v>83</v>
      </c>
      <c r="D80" s="56" t="s">
        <v>786</v>
      </c>
      <c r="E80" s="56">
        <v>1</v>
      </c>
      <c r="F80" s="57" t="s">
        <v>42</v>
      </c>
    </row>
    <row r="81" spans="1:6" ht="15.75" customHeight="1">
      <c r="A81" s="55" t="s">
        <v>83</v>
      </c>
      <c r="B81" s="56" t="s">
        <v>1231</v>
      </c>
      <c r="C81" s="55" t="s">
        <v>83</v>
      </c>
      <c r="D81" s="56" t="s">
        <v>209</v>
      </c>
      <c r="E81" s="56">
        <v>1</v>
      </c>
      <c r="F81" s="57" t="s">
        <v>42</v>
      </c>
    </row>
    <row r="82" spans="1:6" ht="15.75" customHeight="1">
      <c r="A82" s="55" t="s">
        <v>83</v>
      </c>
      <c r="B82" s="56" t="s">
        <v>1231</v>
      </c>
      <c r="C82" s="55" t="s">
        <v>83</v>
      </c>
      <c r="D82" s="56" t="s">
        <v>986</v>
      </c>
      <c r="E82" s="56">
        <v>3</v>
      </c>
      <c r="F82" s="57" t="s">
        <v>42</v>
      </c>
    </row>
    <row r="83" spans="1:6" ht="15.75" customHeight="1">
      <c r="A83" s="55" t="s">
        <v>83</v>
      </c>
      <c r="B83" s="56" t="s">
        <v>1232</v>
      </c>
      <c r="C83" s="55" t="s">
        <v>83</v>
      </c>
      <c r="D83" s="56" t="s">
        <v>1233</v>
      </c>
      <c r="E83" s="56">
        <v>1</v>
      </c>
      <c r="F83" s="57" t="s">
        <v>42</v>
      </c>
    </row>
    <row r="84" spans="1:6" ht="15.75" customHeight="1">
      <c r="A84" s="55" t="s">
        <v>83</v>
      </c>
      <c r="B84" s="56" t="s">
        <v>1232</v>
      </c>
      <c r="C84" s="55" t="s">
        <v>583</v>
      </c>
      <c r="D84" s="56" t="s">
        <v>1233</v>
      </c>
      <c r="E84" s="56">
        <v>1</v>
      </c>
      <c r="F84" s="57" t="s">
        <v>42</v>
      </c>
    </row>
    <row r="85" spans="1:6" ht="15.75" customHeight="1">
      <c r="A85" s="55" t="s">
        <v>83</v>
      </c>
      <c r="B85" s="56" t="s">
        <v>1234</v>
      </c>
      <c r="C85" s="55" t="s">
        <v>41</v>
      </c>
      <c r="D85" s="56" t="s">
        <v>214</v>
      </c>
      <c r="E85" s="56">
        <v>1</v>
      </c>
      <c r="F85" s="57" t="s">
        <v>42</v>
      </c>
    </row>
    <row r="86" spans="1:6" ht="15.75" customHeight="1">
      <c r="A86" s="55" t="s">
        <v>83</v>
      </c>
      <c r="B86" s="56" t="s">
        <v>1234</v>
      </c>
      <c r="C86" s="55" t="s">
        <v>1187</v>
      </c>
      <c r="D86" s="56" t="s">
        <v>214</v>
      </c>
      <c r="E86" s="56">
        <v>1</v>
      </c>
      <c r="F86" s="57" t="s">
        <v>42</v>
      </c>
    </row>
    <row r="87" spans="1:6" ht="15.75" customHeight="1">
      <c r="A87" s="55" t="s">
        <v>83</v>
      </c>
      <c r="B87" s="56" t="s">
        <v>1235</v>
      </c>
      <c r="C87" s="55" t="s">
        <v>83</v>
      </c>
      <c r="D87" s="56" t="s">
        <v>285</v>
      </c>
      <c r="E87" s="56">
        <v>2</v>
      </c>
      <c r="F87" s="57" t="s">
        <v>42</v>
      </c>
    </row>
    <row r="88" spans="1:6" ht="15.75" customHeight="1">
      <c r="A88" s="55" t="s">
        <v>83</v>
      </c>
      <c r="B88" s="56" t="s">
        <v>1235</v>
      </c>
      <c r="C88" s="55" t="s">
        <v>41</v>
      </c>
      <c r="D88" s="56" t="s">
        <v>249</v>
      </c>
      <c r="E88" s="56">
        <v>1</v>
      </c>
      <c r="F88" s="57" t="s">
        <v>42</v>
      </c>
    </row>
    <row r="89" spans="1:6" ht="15.75" customHeight="1">
      <c r="A89" s="55" t="s">
        <v>83</v>
      </c>
      <c r="B89" s="56" t="s">
        <v>1235</v>
      </c>
      <c r="C89" s="55" t="s">
        <v>1196</v>
      </c>
      <c r="D89" s="56" t="s">
        <v>249</v>
      </c>
      <c r="E89" s="56">
        <v>1</v>
      </c>
      <c r="F89" s="57" t="s">
        <v>42</v>
      </c>
    </row>
    <row r="90" spans="1:6" ht="15.75" customHeight="1">
      <c r="A90" s="55" t="s">
        <v>83</v>
      </c>
      <c r="B90" s="56" t="s">
        <v>1235</v>
      </c>
      <c r="C90" s="55" t="s">
        <v>137</v>
      </c>
      <c r="D90" s="56" t="s">
        <v>249</v>
      </c>
      <c r="E90" s="56">
        <v>1</v>
      </c>
      <c r="F90" s="57" t="s">
        <v>42</v>
      </c>
    </row>
    <row r="91" spans="1:6" ht="15.75" customHeight="1">
      <c r="A91" s="55" t="s">
        <v>83</v>
      </c>
      <c r="B91" s="56" t="s">
        <v>1236</v>
      </c>
      <c r="C91" s="55" t="s">
        <v>83</v>
      </c>
      <c r="D91" s="56" t="s">
        <v>452</v>
      </c>
      <c r="E91" s="56">
        <v>1</v>
      </c>
      <c r="F91" s="57" t="s">
        <v>42</v>
      </c>
    </row>
    <row r="92" spans="1:6" ht="15.75" customHeight="1">
      <c r="A92" s="55" t="s">
        <v>83</v>
      </c>
      <c r="B92" s="56" t="s">
        <v>1236</v>
      </c>
      <c r="C92" s="55" t="s">
        <v>41</v>
      </c>
      <c r="D92" s="56" t="s">
        <v>452</v>
      </c>
      <c r="E92" s="56">
        <v>1</v>
      </c>
      <c r="F92" s="57" t="s">
        <v>42</v>
      </c>
    </row>
    <row r="93" spans="1:6" ht="15.75" customHeight="1">
      <c r="A93" s="55" t="s">
        <v>83</v>
      </c>
      <c r="B93" s="56" t="s">
        <v>1237</v>
      </c>
      <c r="C93" s="55" t="s">
        <v>83</v>
      </c>
      <c r="D93" s="56" t="s">
        <v>1251</v>
      </c>
      <c r="E93" s="56">
        <v>4</v>
      </c>
      <c r="F93" s="57" t="s">
        <v>42</v>
      </c>
    </row>
    <row r="94" spans="1:6" ht="15.75" customHeight="1">
      <c r="A94" s="55" t="s">
        <v>83</v>
      </c>
      <c r="B94" s="56" t="s">
        <v>1237</v>
      </c>
      <c r="C94" s="55" t="s">
        <v>83</v>
      </c>
      <c r="D94" s="56" t="s">
        <v>228</v>
      </c>
      <c r="E94" s="56">
        <v>2</v>
      </c>
      <c r="F94" s="57" t="s">
        <v>42</v>
      </c>
    </row>
    <row r="95" spans="1:6" ht="15.75" customHeight="1">
      <c r="A95" s="55" t="s">
        <v>83</v>
      </c>
      <c r="B95" s="56" t="s">
        <v>1238</v>
      </c>
      <c r="C95" s="55" t="s">
        <v>83</v>
      </c>
      <c r="D95" s="56" t="s">
        <v>270</v>
      </c>
      <c r="E95" s="56">
        <v>1</v>
      </c>
      <c r="F95" s="57" t="s">
        <v>42</v>
      </c>
    </row>
    <row r="96" spans="1:6" ht="15.75" customHeight="1">
      <c r="A96" s="55" t="s">
        <v>1038</v>
      </c>
      <c r="B96" s="56" t="s">
        <v>1222</v>
      </c>
      <c r="C96" s="55" t="s">
        <v>859</v>
      </c>
      <c r="D96" s="56" t="s">
        <v>224</v>
      </c>
      <c r="E96" s="56">
        <v>1</v>
      </c>
      <c r="F96" s="60" t="s">
        <v>33</v>
      </c>
    </row>
    <row r="97" spans="1:6" ht="15.75" customHeight="1">
      <c r="A97" s="55" t="s">
        <v>1038</v>
      </c>
      <c r="B97" s="56" t="s">
        <v>1222</v>
      </c>
      <c r="C97" s="55" t="s">
        <v>1111</v>
      </c>
      <c r="D97" s="56" t="s">
        <v>224</v>
      </c>
      <c r="E97" s="56">
        <v>1</v>
      </c>
      <c r="F97" s="60" t="s">
        <v>33</v>
      </c>
    </row>
    <row r="98" spans="1:6" ht="15.75" customHeight="1">
      <c r="A98" s="55" t="s">
        <v>1038</v>
      </c>
      <c r="B98" s="56" t="s">
        <v>1222</v>
      </c>
      <c r="C98" s="55" t="s">
        <v>1116</v>
      </c>
      <c r="D98" s="56" t="s">
        <v>224</v>
      </c>
      <c r="E98" s="56">
        <v>1</v>
      </c>
      <c r="F98" s="60" t="s">
        <v>33</v>
      </c>
    </row>
    <row r="99" spans="1:6" ht="15.75" customHeight="1">
      <c r="A99" s="55" t="s">
        <v>1038</v>
      </c>
      <c r="B99" s="56" t="s">
        <v>1224</v>
      </c>
      <c r="C99" s="55" t="s">
        <v>883</v>
      </c>
      <c r="D99" s="56" t="s">
        <v>214</v>
      </c>
      <c r="E99" s="56">
        <v>1</v>
      </c>
      <c r="F99" s="60" t="s">
        <v>33</v>
      </c>
    </row>
    <row r="100" spans="1:6" ht="15.75" customHeight="1">
      <c r="A100" s="55" t="s">
        <v>1038</v>
      </c>
      <c r="B100" s="56" t="s">
        <v>1225</v>
      </c>
      <c r="C100" s="55" t="s">
        <v>130</v>
      </c>
      <c r="D100" s="56" t="s">
        <v>519</v>
      </c>
      <c r="E100" s="56">
        <v>1</v>
      </c>
      <c r="F100" s="60" t="s">
        <v>33</v>
      </c>
    </row>
    <row r="101" spans="1:6" ht="15.75" customHeight="1">
      <c r="A101" s="55" t="s">
        <v>1038</v>
      </c>
      <c r="B101" s="56" t="s">
        <v>1252</v>
      </c>
      <c r="C101" s="55" t="s">
        <v>883</v>
      </c>
      <c r="D101" s="56" t="s">
        <v>231</v>
      </c>
      <c r="E101" s="56">
        <v>1</v>
      </c>
      <c r="F101" s="60" t="s">
        <v>33</v>
      </c>
    </row>
    <row r="102" spans="1:6" ht="15.75" customHeight="1">
      <c r="A102" s="55" t="s">
        <v>1038</v>
      </c>
      <c r="B102" s="56" t="s">
        <v>1227</v>
      </c>
      <c r="C102" s="55" t="s">
        <v>883</v>
      </c>
      <c r="D102" s="56" t="s">
        <v>986</v>
      </c>
      <c r="E102" s="56">
        <v>1</v>
      </c>
      <c r="F102" s="60" t="s">
        <v>33</v>
      </c>
    </row>
    <row r="103" spans="1:6" ht="15.75" customHeight="1">
      <c r="A103" s="55" t="s">
        <v>1038</v>
      </c>
      <c r="B103" s="56" t="s">
        <v>1230</v>
      </c>
      <c r="C103" s="55" t="s">
        <v>1079</v>
      </c>
      <c r="D103" s="56" t="s">
        <v>786</v>
      </c>
      <c r="E103" s="56">
        <v>1</v>
      </c>
      <c r="F103" s="60" t="s">
        <v>33</v>
      </c>
    </row>
    <row r="104" spans="1:6" ht="15.75" customHeight="1">
      <c r="A104" s="55" t="s">
        <v>1038</v>
      </c>
      <c r="B104" s="56" t="s">
        <v>1234</v>
      </c>
      <c r="C104" s="55" t="s">
        <v>1179</v>
      </c>
      <c r="D104" s="56" t="s">
        <v>214</v>
      </c>
      <c r="E104" s="56">
        <v>1</v>
      </c>
      <c r="F104" s="60" t="s">
        <v>33</v>
      </c>
    </row>
    <row r="105" spans="1:6" ht="15.75" customHeight="1">
      <c r="A105" s="55" t="s">
        <v>1038</v>
      </c>
      <c r="B105" s="56" t="s">
        <v>1241</v>
      </c>
      <c r="C105" s="55" t="s">
        <v>1079</v>
      </c>
      <c r="D105" s="56" t="s">
        <v>1233</v>
      </c>
      <c r="E105" s="56">
        <v>1</v>
      </c>
      <c r="F105" s="60" t="s">
        <v>33</v>
      </c>
    </row>
    <row r="106" spans="1:6" ht="15.75" customHeight="1">
      <c r="A106" s="55" t="s">
        <v>1038</v>
      </c>
      <c r="B106" s="56" t="s">
        <v>1242</v>
      </c>
      <c r="C106" s="55" t="s">
        <v>1056</v>
      </c>
      <c r="D106" s="56" t="s">
        <v>212</v>
      </c>
      <c r="E106" s="56">
        <v>1</v>
      </c>
      <c r="F106" s="60" t="s">
        <v>33</v>
      </c>
    </row>
    <row r="107" spans="1:6" ht="15.75" customHeight="1">
      <c r="A107" s="55" t="s">
        <v>1038</v>
      </c>
      <c r="B107" s="56" t="s">
        <v>1242</v>
      </c>
      <c r="C107" s="55" t="s">
        <v>370</v>
      </c>
      <c r="D107" s="56" t="s">
        <v>212</v>
      </c>
      <c r="E107" s="56">
        <v>1</v>
      </c>
      <c r="F107" s="60" t="s">
        <v>33</v>
      </c>
    </row>
    <row r="108" spans="1:6" ht="15.75" customHeight="1">
      <c r="A108" s="55" t="s">
        <v>1038</v>
      </c>
      <c r="B108" s="56" t="s">
        <v>1246</v>
      </c>
      <c r="C108" s="55" t="s">
        <v>1110</v>
      </c>
      <c r="D108" s="56" t="s">
        <v>251</v>
      </c>
      <c r="E108" s="56">
        <v>1</v>
      </c>
      <c r="F108" s="60" t="s">
        <v>33</v>
      </c>
    </row>
    <row r="109" spans="1:6" ht="15.75" customHeight="1">
      <c r="A109" s="55" t="s">
        <v>1038</v>
      </c>
      <c r="B109" s="56" t="s">
        <v>1246</v>
      </c>
      <c r="C109" s="55" t="s">
        <v>1115</v>
      </c>
      <c r="D109" s="56" t="s">
        <v>251</v>
      </c>
      <c r="E109" s="56">
        <v>1</v>
      </c>
      <c r="F109" s="60" t="s">
        <v>33</v>
      </c>
    </row>
    <row r="110" spans="1:6" ht="15.75" customHeight="1">
      <c r="A110" s="55" t="s">
        <v>612</v>
      </c>
      <c r="B110" s="56" t="s">
        <v>1224</v>
      </c>
      <c r="C110" s="55" t="s">
        <v>612</v>
      </c>
      <c r="D110" s="56" t="s">
        <v>214</v>
      </c>
      <c r="E110" s="56">
        <v>1</v>
      </c>
      <c r="F110" s="60" t="s">
        <v>33</v>
      </c>
    </row>
    <row r="111" spans="1:6" ht="15.75" customHeight="1">
      <c r="A111" s="55" t="s">
        <v>612</v>
      </c>
      <c r="B111" s="56" t="s">
        <v>1253</v>
      </c>
      <c r="C111" s="55" t="s">
        <v>1046</v>
      </c>
      <c r="D111" s="56" t="s">
        <v>814</v>
      </c>
      <c r="E111" s="56">
        <v>2</v>
      </c>
      <c r="F111" s="60" t="s">
        <v>33</v>
      </c>
    </row>
    <row r="112" spans="1:6" ht="15.75" customHeight="1">
      <c r="A112" s="55" t="s">
        <v>612</v>
      </c>
      <c r="B112" s="56" t="s">
        <v>1253</v>
      </c>
      <c r="C112" s="55" t="s">
        <v>572</v>
      </c>
      <c r="D112" s="56" t="s">
        <v>502</v>
      </c>
      <c r="E112" s="56">
        <v>1</v>
      </c>
      <c r="F112" s="60" t="s">
        <v>33</v>
      </c>
    </row>
    <row r="113" spans="1:6" ht="15.75" customHeight="1">
      <c r="A113" s="55" t="s">
        <v>612</v>
      </c>
      <c r="B113" s="56" t="s">
        <v>1227</v>
      </c>
      <c r="C113" s="55" t="s">
        <v>612</v>
      </c>
      <c r="D113" s="56" t="s">
        <v>986</v>
      </c>
      <c r="E113" s="56">
        <v>1</v>
      </c>
      <c r="F113" s="60" t="s">
        <v>33</v>
      </c>
    </row>
    <row r="114" spans="1:6" ht="15.75" customHeight="1">
      <c r="A114" s="55" t="s">
        <v>612</v>
      </c>
      <c r="B114" s="56" t="s">
        <v>1228</v>
      </c>
      <c r="C114" s="55" t="s">
        <v>612</v>
      </c>
      <c r="D114" s="56" t="s">
        <v>509</v>
      </c>
      <c r="E114" s="56">
        <v>1</v>
      </c>
      <c r="F114" s="60" t="s">
        <v>33</v>
      </c>
    </row>
    <row r="115" spans="1:6" ht="15.75" customHeight="1">
      <c r="A115" s="55" t="s">
        <v>612</v>
      </c>
      <c r="B115" s="56" t="s">
        <v>1254</v>
      </c>
      <c r="C115" s="55" t="s">
        <v>1046</v>
      </c>
      <c r="D115" s="56" t="s">
        <v>270</v>
      </c>
      <c r="E115" s="56">
        <v>1</v>
      </c>
      <c r="F115" s="60" t="s">
        <v>33</v>
      </c>
    </row>
    <row r="116" spans="1:6" ht="15.75" customHeight="1">
      <c r="A116" s="55" t="s">
        <v>612</v>
      </c>
      <c r="B116" s="56" t="s">
        <v>1229</v>
      </c>
      <c r="C116" s="55" t="s">
        <v>572</v>
      </c>
      <c r="D116" s="56" t="s">
        <v>275</v>
      </c>
      <c r="E116" s="56">
        <v>1</v>
      </c>
      <c r="F116" s="60" t="s">
        <v>33</v>
      </c>
    </row>
    <row r="117" spans="1:6" ht="15.75" customHeight="1">
      <c r="A117" s="55" t="s">
        <v>612</v>
      </c>
      <c r="B117" s="56" t="s">
        <v>1255</v>
      </c>
      <c r="C117" s="55" t="s">
        <v>612</v>
      </c>
      <c r="D117" s="56" t="s">
        <v>1233</v>
      </c>
      <c r="E117" s="56">
        <v>1</v>
      </c>
      <c r="F117" s="60" t="s">
        <v>33</v>
      </c>
    </row>
    <row r="118" spans="1:6" ht="15.75" customHeight="1">
      <c r="A118" s="55" t="s">
        <v>612</v>
      </c>
      <c r="B118" s="56" t="s">
        <v>1255</v>
      </c>
      <c r="C118" s="55" t="s">
        <v>612</v>
      </c>
      <c r="D118" s="56" t="s">
        <v>1233</v>
      </c>
      <c r="E118" s="56">
        <v>1</v>
      </c>
      <c r="F118" s="60" t="s">
        <v>33</v>
      </c>
    </row>
    <row r="119" spans="1:6" ht="15.75" customHeight="1">
      <c r="A119" s="55" t="s">
        <v>612</v>
      </c>
      <c r="B119" s="56" t="s">
        <v>1235</v>
      </c>
      <c r="C119" s="55" t="s">
        <v>572</v>
      </c>
      <c r="D119" s="56" t="s">
        <v>249</v>
      </c>
      <c r="E119" s="56">
        <v>1</v>
      </c>
      <c r="F119" s="60" t="s">
        <v>33</v>
      </c>
    </row>
    <row r="120" spans="1:6" ht="15.75" customHeight="1">
      <c r="A120" s="55" t="s">
        <v>612</v>
      </c>
      <c r="B120" s="56" t="s">
        <v>1235</v>
      </c>
      <c r="C120" s="55" t="s">
        <v>612</v>
      </c>
      <c r="D120" s="56" t="s">
        <v>249</v>
      </c>
      <c r="E120" s="56">
        <v>1</v>
      </c>
      <c r="F120" s="60" t="s">
        <v>33</v>
      </c>
    </row>
    <row r="121" spans="1:6" ht="15.75" customHeight="1">
      <c r="A121" s="55" t="s">
        <v>612</v>
      </c>
      <c r="B121" s="56" t="s">
        <v>1243</v>
      </c>
      <c r="C121" s="55" t="s">
        <v>572</v>
      </c>
      <c r="D121" s="56" t="s">
        <v>1244</v>
      </c>
      <c r="E121" s="56">
        <v>1</v>
      </c>
      <c r="F121" s="60" t="s">
        <v>33</v>
      </c>
    </row>
    <row r="122" spans="1:6" ht="15.75" customHeight="1">
      <c r="A122" s="55" t="s">
        <v>612</v>
      </c>
      <c r="B122" s="56" t="s">
        <v>1246</v>
      </c>
      <c r="C122" s="55" t="s">
        <v>572</v>
      </c>
      <c r="D122" s="56" t="s">
        <v>260</v>
      </c>
      <c r="E122" s="56">
        <v>2</v>
      </c>
      <c r="F122" s="60" t="s">
        <v>33</v>
      </c>
    </row>
    <row r="123" spans="1:6" ht="15.75" customHeight="1">
      <c r="A123" s="55" t="s">
        <v>612</v>
      </c>
      <c r="B123" s="56" t="s">
        <v>1246</v>
      </c>
      <c r="C123" s="55" t="s">
        <v>612</v>
      </c>
      <c r="D123" s="56" t="s">
        <v>251</v>
      </c>
      <c r="E123" s="56">
        <v>1</v>
      </c>
      <c r="F123" s="60" t="s">
        <v>33</v>
      </c>
    </row>
    <row r="124" spans="1:6" ht="15.75" customHeight="1">
      <c r="A124" s="55" t="s">
        <v>1256</v>
      </c>
      <c r="B124" s="56" t="s">
        <v>1247</v>
      </c>
      <c r="C124" s="55" t="s">
        <v>1104</v>
      </c>
      <c r="D124" s="56" t="s">
        <v>256</v>
      </c>
      <c r="E124" s="56">
        <v>1</v>
      </c>
      <c r="F124" s="57" t="s">
        <v>42</v>
      </c>
    </row>
    <row r="125" spans="1:6" ht="15.75" customHeight="1">
      <c r="A125" s="55" t="s">
        <v>1256</v>
      </c>
      <c r="B125" s="56" t="s">
        <v>1247</v>
      </c>
      <c r="C125" s="55" t="s">
        <v>1052</v>
      </c>
      <c r="D125" s="56" t="s">
        <v>256</v>
      </c>
      <c r="E125" s="56">
        <v>1</v>
      </c>
      <c r="F125" s="58" t="s">
        <v>37</v>
      </c>
    </row>
    <row r="126" spans="1:6" ht="15.75" customHeight="1">
      <c r="A126" s="55" t="s">
        <v>1256</v>
      </c>
      <c r="B126" s="56" t="s">
        <v>1222</v>
      </c>
      <c r="C126" s="55" t="s">
        <v>1052</v>
      </c>
      <c r="D126" s="56" t="s">
        <v>223</v>
      </c>
      <c r="E126" s="56">
        <v>2</v>
      </c>
      <c r="F126" s="58" t="s">
        <v>37</v>
      </c>
    </row>
    <row r="127" spans="1:6" ht="15.75" customHeight="1">
      <c r="A127" s="55" t="s">
        <v>1256</v>
      </c>
      <c r="B127" s="56" t="s">
        <v>1223</v>
      </c>
      <c r="C127" s="55" t="s">
        <v>1052</v>
      </c>
      <c r="D127" s="56" t="s">
        <v>255</v>
      </c>
      <c r="E127" s="56">
        <v>2</v>
      </c>
      <c r="F127" s="58" t="s">
        <v>37</v>
      </c>
    </row>
    <row r="128" spans="1:6" ht="15.75" customHeight="1">
      <c r="A128" s="55" t="s">
        <v>1256</v>
      </c>
      <c r="B128" s="56" t="s">
        <v>1228</v>
      </c>
      <c r="C128" s="55" t="s">
        <v>1080</v>
      </c>
      <c r="D128" s="56" t="s">
        <v>535</v>
      </c>
      <c r="E128" s="56">
        <v>2</v>
      </c>
      <c r="F128" s="58" t="s">
        <v>37</v>
      </c>
    </row>
    <row r="129" spans="1:6" ht="15.75" customHeight="1">
      <c r="A129" s="55" t="s">
        <v>1256</v>
      </c>
      <c r="B129" s="56" t="s">
        <v>1254</v>
      </c>
      <c r="C129" s="55" t="s">
        <v>1052</v>
      </c>
      <c r="D129" s="56" t="s">
        <v>270</v>
      </c>
      <c r="E129" s="56">
        <v>1</v>
      </c>
      <c r="F129" s="58" t="s">
        <v>37</v>
      </c>
    </row>
    <row r="130" spans="1:6" ht="15.75" customHeight="1">
      <c r="A130" s="55" t="s">
        <v>1256</v>
      </c>
      <c r="B130" s="56" t="s">
        <v>1254</v>
      </c>
      <c r="C130" s="55" t="s">
        <v>1040</v>
      </c>
      <c r="D130" s="56" t="s">
        <v>270</v>
      </c>
      <c r="E130" s="56">
        <v>1</v>
      </c>
      <c r="F130" s="58" t="s">
        <v>37</v>
      </c>
    </row>
    <row r="131" spans="1:6" ht="15.75" customHeight="1">
      <c r="A131" s="55" t="s">
        <v>1256</v>
      </c>
      <c r="B131" s="56" t="s">
        <v>1232</v>
      </c>
      <c r="C131" s="55" t="s">
        <v>1174</v>
      </c>
      <c r="D131" s="56" t="s">
        <v>1233</v>
      </c>
      <c r="E131" s="56">
        <v>1</v>
      </c>
      <c r="F131" s="60" t="s">
        <v>33</v>
      </c>
    </row>
    <row r="132" spans="1:6" ht="15.75" customHeight="1">
      <c r="A132" s="55" t="s">
        <v>1256</v>
      </c>
      <c r="B132" s="56" t="s">
        <v>1257</v>
      </c>
      <c r="C132" s="55" t="s">
        <v>1052</v>
      </c>
      <c r="D132" s="56" t="s">
        <v>256</v>
      </c>
      <c r="E132" s="56">
        <v>1</v>
      </c>
      <c r="F132" s="58" t="s">
        <v>37</v>
      </c>
    </row>
    <row r="133" spans="1:6" ht="15.75" customHeight="1">
      <c r="A133" s="55" t="s">
        <v>1256</v>
      </c>
      <c r="B133" s="56" t="s">
        <v>1243</v>
      </c>
      <c r="C133" s="55" t="s">
        <v>1076</v>
      </c>
      <c r="D133" s="56" t="s">
        <v>1244</v>
      </c>
      <c r="E133" s="56">
        <v>1</v>
      </c>
      <c r="F133" s="58" t="s">
        <v>37</v>
      </c>
    </row>
    <row r="134" spans="1:6" ht="15.75" customHeight="1">
      <c r="A134" s="55" t="s">
        <v>1256</v>
      </c>
      <c r="B134" s="56" t="s">
        <v>1243</v>
      </c>
      <c r="C134" s="55" t="s">
        <v>1052</v>
      </c>
      <c r="D134" s="56" t="s">
        <v>1245</v>
      </c>
      <c r="E134" s="56">
        <v>2</v>
      </c>
      <c r="F134" s="58" t="s">
        <v>37</v>
      </c>
    </row>
    <row r="135" spans="1:6" ht="15.75" customHeight="1">
      <c r="A135" s="55" t="s">
        <v>1256</v>
      </c>
      <c r="B135" s="56" t="s">
        <v>1243</v>
      </c>
      <c r="C135" s="55" t="s">
        <v>1080</v>
      </c>
      <c r="D135" s="56" t="s">
        <v>1244</v>
      </c>
      <c r="E135" s="56">
        <v>1</v>
      </c>
      <c r="F135" s="58" t="s">
        <v>37</v>
      </c>
    </row>
    <row r="136" spans="1:6" ht="15.75" customHeight="1">
      <c r="A136" s="55" t="s">
        <v>1256</v>
      </c>
      <c r="B136" s="56" t="s">
        <v>1246</v>
      </c>
      <c r="C136" s="55" t="s">
        <v>1052</v>
      </c>
      <c r="D136" s="56" t="s">
        <v>260</v>
      </c>
      <c r="E136" s="56">
        <v>2</v>
      </c>
      <c r="F136" s="58" t="s">
        <v>37</v>
      </c>
    </row>
    <row r="137" spans="1:6" ht="15.75" customHeight="1">
      <c r="A137" s="55" t="s">
        <v>1256</v>
      </c>
      <c r="B137" s="56" t="s">
        <v>1246</v>
      </c>
      <c r="C137" s="55" t="s">
        <v>1122</v>
      </c>
      <c r="D137" s="56" t="s">
        <v>251</v>
      </c>
      <c r="E137" s="56">
        <v>1</v>
      </c>
      <c r="F137" s="58" t="s">
        <v>37</v>
      </c>
    </row>
    <row r="138" spans="1:6" ht="15.75" customHeight="1">
      <c r="A138" s="55" t="s">
        <v>1256</v>
      </c>
      <c r="B138" s="56" t="s">
        <v>1227</v>
      </c>
      <c r="C138" s="55" t="s">
        <v>1145</v>
      </c>
      <c r="D138" s="56" t="s">
        <v>986</v>
      </c>
      <c r="E138" s="56">
        <v>1</v>
      </c>
      <c r="F138" s="58" t="s">
        <v>37</v>
      </c>
    </row>
    <row r="139" spans="1:6" ht="15.75" customHeight="1">
      <c r="A139" s="55" t="s">
        <v>1258</v>
      </c>
      <c r="B139" s="56" t="s">
        <v>1223</v>
      </c>
      <c r="C139" s="55" t="s">
        <v>1105</v>
      </c>
      <c r="D139" s="56" t="s">
        <v>235</v>
      </c>
      <c r="E139" s="56">
        <v>1</v>
      </c>
      <c r="F139" s="59" t="s">
        <v>27</v>
      </c>
    </row>
    <row r="140" spans="1:6" ht="15.75" customHeight="1">
      <c r="A140" s="55" t="s">
        <v>1258</v>
      </c>
      <c r="B140" s="56" t="s">
        <v>1224</v>
      </c>
      <c r="C140" s="55" t="s">
        <v>1086</v>
      </c>
      <c r="D140" s="56" t="s">
        <v>275</v>
      </c>
      <c r="E140" s="56">
        <v>2</v>
      </c>
      <c r="F140" s="58" t="s">
        <v>37</v>
      </c>
    </row>
    <row r="141" spans="1:6" ht="15.75" customHeight="1">
      <c r="A141" s="55" t="s">
        <v>1258</v>
      </c>
      <c r="B141" s="56" t="s">
        <v>1226</v>
      </c>
      <c r="C141" s="55" t="s">
        <v>1152</v>
      </c>
      <c r="D141" s="56" t="s">
        <v>810</v>
      </c>
      <c r="E141" s="56">
        <v>1</v>
      </c>
      <c r="F141" s="61"/>
    </row>
    <row r="142" spans="1:6" ht="15.75" customHeight="1">
      <c r="A142" s="55" t="s">
        <v>1258</v>
      </c>
      <c r="B142" s="56" t="s">
        <v>1226</v>
      </c>
      <c r="C142" s="55" t="s">
        <v>1140</v>
      </c>
      <c r="D142" s="56" t="s">
        <v>810</v>
      </c>
      <c r="E142" s="56">
        <v>1</v>
      </c>
      <c r="F142" s="57" t="s">
        <v>42</v>
      </c>
    </row>
    <row r="143" spans="1:6" ht="15.75" customHeight="1">
      <c r="A143" s="55" t="s">
        <v>1258</v>
      </c>
      <c r="B143" s="56" t="s">
        <v>1253</v>
      </c>
      <c r="C143" s="55" t="s">
        <v>1148</v>
      </c>
      <c r="D143" s="56" t="s">
        <v>502</v>
      </c>
      <c r="E143" s="56">
        <v>1</v>
      </c>
      <c r="F143" s="59" t="s">
        <v>27</v>
      </c>
    </row>
    <row r="144" spans="1:6" ht="15.75" customHeight="1">
      <c r="A144" s="55" t="s">
        <v>1258</v>
      </c>
      <c r="B144" s="56" t="s">
        <v>1228</v>
      </c>
      <c r="C144" s="55" t="s">
        <v>1157</v>
      </c>
      <c r="D144" s="56" t="s">
        <v>509</v>
      </c>
      <c r="E144" s="56">
        <v>1</v>
      </c>
      <c r="F144" s="61"/>
    </row>
    <row r="145" spans="1:6" ht="15.75" customHeight="1">
      <c r="A145" s="55" t="s">
        <v>1258</v>
      </c>
      <c r="B145" s="56" t="s">
        <v>1230</v>
      </c>
      <c r="C145" s="55" t="s">
        <v>1147</v>
      </c>
      <c r="D145" s="56" t="s">
        <v>786</v>
      </c>
      <c r="E145" s="56">
        <v>1</v>
      </c>
      <c r="F145" s="59" t="s">
        <v>27</v>
      </c>
    </row>
    <row r="146" spans="1:6" ht="15.75" customHeight="1">
      <c r="A146" s="55" t="s">
        <v>1258</v>
      </c>
      <c r="B146" s="56" t="s">
        <v>1234</v>
      </c>
      <c r="C146" s="55" t="s">
        <v>1181</v>
      </c>
      <c r="D146" s="56" t="s">
        <v>214</v>
      </c>
      <c r="E146" s="56">
        <v>1</v>
      </c>
      <c r="F146" s="58" t="s">
        <v>37</v>
      </c>
    </row>
    <row r="147" spans="1:6" ht="15.75" customHeight="1">
      <c r="A147" s="55" t="s">
        <v>1258</v>
      </c>
      <c r="B147" s="56" t="s">
        <v>1236</v>
      </c>
      <c r="C147" s="55" t="s">
        <v>1194</v>
      </c>
      <c r="D147" s="56" t="s">
        <v>452</v>
      </c>
      <c r="E147" s="56">
        <v>1</v>
      </c>
      <c r="F147" s="59" t="s">
        <v>27</v>
      </c>
    </row>
    <row r="148" spans="1:6" ht="15.75" customHeight="1">
      <c r="A148" s="55" t="s">
        <v>1258</v>
      </c>
      <c r="B148" s="56" t="s">
        <v>1239</v>
      </c>
      <c r="C148" s="55" t="s">
        <v>1200</v>
      </c>
      <c r="D148" s="56" t="s">
        <v>252</v>
      </c>
      <c r="E148" s="56">
        <v>1</v>
      </c>
      <c r="F148" s="60" t="s">
        <v>33</v>
      </c>
    </row>
    <row r="149" spans="1:6" ht="15.75" customHeight="1">
      <c r="A149" s="55" t="s">
        <v>1258</v>
      </c>
      <c r="B149" s="56" t="s">
        <v>1242</v>
      </c>
      <c r="C149" s="55" t="s">
        <v>1071</v>
      </c>
      <c r="D149" s="56" t="s">
        <v>212</v>
      </c>
      <c r="E149" s="56">
        <v>1</v>
      </c>
      <c r="F149" s="60" t="s">
        <v>33</v>
      </c>
    </row>
    <row r="150" spans="1:6" ht="15.75" customHeight="1">
      <c r="A150" s="55" t="s">
        <v>1258</v>
      </c>
      <c r="B150" s="56" t="s">
        <v>1242</v>
      </c>
      <c r="C150" s="55" t="s">
        <v>1073</v>
      </c>
      <c r="D150" s="56" t="s">
        <v>212</v>
      </c>
      <c r="E150" s="56">
        <v>1</v>
      </c>
      <c r="F150" s="59" t="s">
        <v>27</v>
      </c>
    </row>
    <row r="151" spans="1:6" ht="15.75" customHeight="1">
      <c r="A151" s="55" t="s">
        <v>1258</v>
      </c>
      <c r="B151" s="56" t="s">
        <v>1246</v>
      </c>
      <c r="C151" s="55" t="s">
        <v>1101</v>
      </c>
      <c r="D151" s="56" t="s">
        <v>251</v>
      </c>
      <c r="E151" s="56">
        <v>1</v>
      </c>
      <c r="F151" s="59" t="s">
        <v>27</v>
      </c>
    </row>
    <row r="152" spans="1:6" ht="15.75" customHeight="1">
      <c r="A152" s="55" t="s">
        <v>1029</v>
      </c>
      <c r="B152" s="56" t="s">
        <v>1247</v>
      </c>
      <c r="C152" s="55" t="s">
        <v>1083</v>
      </c>
      <c r="D152" s="56" t="s">
        <v>256</v>
      </c>
      <c r="E152" s="56">
        <v>1</v>
      </c>
      <c r="F152" s="61"/>
    </row>
    <row r="153" spans="1:6" ht="15.75" customHeight="1">
      <c r="A153" s="55" t="s">
        <v>1029</v>
      </c>
      <c r="B153" s="56" t="s">
        <v>1222</v>
      </c>
      <c r="C153" s="55" t="s">
        <v>593</v>
      </c>
      <c r="D153" s="56" t="s">
        <v>224</v>
      </c>
      <c r="E153" s="56">
        <v>1</v>
      </c>
      <c r="F153" s="59" t="s">
        <v>27</v>
      </c>
    </row>
    <row r="154" spans="1:6" ht="15.75" customHeight="1">
      <c r="A154" s="55" t="s">
        <v>1029</v>
      </c>
      <c r="B154" s="56" t="s">
        <v>1223</v>
      </c>
      <c r="C154" s="55" t="s">
        <v>1120</v>
      </c>
      <c r="D154" s="56" t="s">
        <v>235</v>
      </c>
      <c r="E154" s="56">
        <v>1</v>
      </c>
      <c r="F154" s="58" t="s">
        <v>37</v>
      </c>
    </row>
    <row r="155" spans="1:6" ht="15.75" customHeight="1">
      <c r="A155" s="55" t="s">
        <v>1029</v>
      </c>
      <c r="B155" s="56" t="s">
        <v>1226</v>
      </c>
      <c r="C155" s="55" t="s">
        <v>1156</v>
      </c>
      <c r="D155" s="56" t="s">
        <v>810</v>
      </c>
      <c r="E155" s="56">
        <v>1</v>
      </c>
      <c r="F155" s="58" t="s">
        <v>37</v>
      </c>
    </row>
    <row r="156" spans="1:6" ht="15.75" customHeight="1">
      <c r="A156" s="55" t="s">
        <v>1029</v>
      </c>
      <c r="B156" s="56" t="s">
        <v>1226</v>
      </c>
      <c r="C156" s="55" t="s">
        <v>1154</v>
      </c>
      <c r="D156" s="56" t="s">
        <v>810</v>
      </c>
      <c r="E156" s="56">
        <v>1</v>
      </c>
      <c r="F156" s="57" t="s">
        <v>42</v>
      </c>
    </row>
    <row r="157" spans="1:6" ht="15.75" customHeight="1">
      <c r="A157" s="55" t="s">
        <v>1029</v>
      </c>
      <c r="B157" s="56" t="s">
        <v>1229</v>
      </c>
      <c r="C157" s="55" t="s">
        <v>1139</v>
      </c>
      <c r="D157" s="56" t="s">
        <v>275</v>
      </c>
      <c r="E157" s="56">
        <v>1</v>
      </c>
      <c r="F157" s="57" t="s">
        <v>42</v>
      </c>
    </row>
    <row r="158" spans="1:6" ht="15.75" customHeight="1">
      <c r="A158" s="55" t="s">
        <v>1029</v>
      </c>
      <c r="B158" s="56" t="s">
        <v>1229</v>
      </c>
      <c r="C158" s="55" t="s">
        <v>593</v>
      </c>
      <c r="D158" s="56" t="s">
        <v>275</v>
      </c>
      <c r="E158" s="56">
        <v>1</v>
      </c>
      <c r="F158" s="59" t="s">
        <v>27</v>
      </c>
    </row>
    <row r="159" spans="1:6" ht="15.75" customHeight="1">
      <c r="A159" s="55" t="s">
        <v>1029</v>
      </c>
      <c r="B159" s="56" t="s">
        <v>1230</v>
      </c>
      <c r="C159" s="55" t="s">
        <v>818</v>
      </c>
      <c r="D159" s="56" t="s">
        <v>815</v>
      </c>
      <c r="E159" s="56">
        <v>2</v>
      </c>
      <c r="F159" s="60" t="s">
        <v>33</v>
      </c>
    </row>
    <row r="160" spans="1:6" ht="15.75" customHeight="1">
      <c r="A160" s="55" t="s">
        <v>1029</v>
      </c>
      <c r="B160" s="56" t="s">
        <v>1234</v>
      </c>
      <c r="C160" s="55" t="s">
        <v>818</v>
      </c>
      <c r="D160" s="56" t="s">
        <v>214</v>
      </c>
      <c r="E160" s="56">
        <v>1</v>
      </c>
      <c r="F160" s="60" t="s">
        <v>33</v>
      </c>
    </row>
    <row r="161" spans="1:6" ht="15.75" customHeight="1">
      <c r="A161" s="55" t="s">
        <v>1029</v>
      </c>
      <c r="B161" s="56" t="s">
        <v>1235</v>
      </c>
      <c r="C161" s="55" t="s">
        <v>818</v>
      </c>
      <c r="D161" s="56" t="s">
        <v>259</v>
      </c>
      <c r="E161" s="56">
        <v>3</v>
      </c>
      <c r="F161" s="60" t="s">
        <v>33</v>
      </c>
    </row>
    <row r="162" spans="1:6" ht="15.75" customHeight="1">
      <c r="A162" s="55" t="s">
        <v>1029</v>
      </c>
      <c r="B162" s="56" t="s">
        <v>1237</v>
      </c>
      <c r="C162" s="55" t="s">
        <v>818</v>
      </c>
      <c r="D162" s="56" t="s">
        <v>228</v>
      </c>
      <c r="E162" s="56">
        <v>2</v>
      </c>
      <c r="F162" s="60" t="s">
        <v>33</v>
      </c>
    </row>
    <row r="163" spans="1:6" ht="15.75" customHeight="1">
      <c r="A163" s="55" t="s">
        <v>1029</v>
      </c>
      <c r="B163" s="56" t="s">
        <v>1243</v>
      </c>
      <c r="C163" s="55" t="s">
        <v>593</v>
      </c>
      <c r="D163" s="56" t="s">
        <v>1244</v>
      </c>
      <c r="E163" s="56">
        <v>1</v>
      </c>
      <c r="F163" s="57" t="s">
        <v>42</v>
      </c>
    </row>
    <row r="164" spans="1:6" ht="15.75" customHeight="1">
      <c r="A164" s="55" t="s">
        <v>1259</v>
      </c>
      <c r="B164" s="56" t="s">
        <v>1222</v>
      </c>
      <c r="C164" s="55" t="s">
        <v>1102</v>
      </c>
      <c r="D164" s="56" t="s">
        <v>224</v>
      </c>
      <c r="E164" s="56">
        <v>1</v>
      </c>
      <c r="F164" s="61"/>
    </row>
    <row r="165" spans="1:6" ht="15.75" customHeight="1">
      <c r="A165" s="55" t="s">
        <v>1259</v>
      </c>
      <c r="B165" s="56" t="s">
        <v>1223</v>
      </c>
      <c r="C165" s="55" t="s">
        <v>1098</v>
      </c>
      <c r="D165" s="56" t="s">
        <v>235</v>
      </c>
      <c r="E165" s="56">
        <v>1</v>
      </c>
      <c r="F165" s="58" t="s">
        <v>37</v>
      </c>
    </row>
    <row r="166" spans="1:6" ht="15.75" customHeight="1">
      <c r="A166" s="55" t="s">
        <v>1259</v>
      </c>
      <c r="B166" s="56" t="s">
        <v>1224</v>
      </c>
      <c r="C166" s="55" t="s">
        <v>1093</v>
      </c>
      <c r="D166" s="56" t="s">
        <v>214</v>
      </c>
      <c r="E166" s="56">
        <v>1</v>
      </c>
      <c r="F166" s="61"/>
    </row>
    <row r="167" spans="1:6" ht="15.75" customHeight="1">
      <c r="A167" s="55" t="s">
        <v>1259</v>
      </c>
      <c r="B167" s="56" t="s">
        <v>1224</v>
      </c>
      <c r="C167" s="55" t="s">
        <v>1108</v>
      </c>
      <c r="D167" s="56" t="s">
        <v>214</v>
      </c>
      <c r="E167" s="56">
        <v>1</v>
      </c>
      <c r="F167" s="61"/>
    </row>
    <row r="168" spans="1:6" ht="15.75" customHeight="1">
      <c r="A168" s="55" t="s">
        <v>1259</v>
      </c>
      <c r="B168" s="56" t="s">
        <v>1224</v>
      </c>
      <c r="C168" s="55" t="s">
        <v>1117</v>
      </c>
      <c r="D168" s="56" t="s">
        <v>214</v>
      </c>
      <c r="E168" s="56">
        <v>1</v>
      </c>
      <c r="F168" s="57" t="s">
        <v>42</v>
      </c>
    </row>
    <row r="169" spans="1:6" ht="15.75" customHeight="1">
      <c r="A169" s="55" t="s">
        <v>1259</v>
      </c>
      <c r="B169" s="56" t="s">
        <v>1248</v>
      </c>
      <c r="C169" s="55" t="s">
        <v>1167</v>
      </c>
      <c r="D169" s="56" t="s">
        <v>241</v>
      </c>
      <c r="E169" s="56">
        <v>1</v>
      </c>
      <c r="F169" s="58" t="s">
        <v>37</v>
      </c>
    </row>
    <row r="170" spans="1:6" ht="15.75" customHeight="1">
      <c r="A170" s="55" t="s">
        <v>1259</v>
      </c>
      <c r="B170" s="56" t="s">
        <v>1234</v>
      </c>
      <c r="C170" s="55" t="s">
        <v>1171</v>
      </c>
      <c r="D170" s="56" t="s">
        <v>214</v>
      </c>
      <c r="E170" s="56">
        <v>1</v>
      </c>
      <c r="F170" s="58" t="s">
        <v>37</v>
      </c>
    </row>
    <row r="171" spans="1:6" ht="15.75" customHeight="1">
      <c r="A171" s="55" t="s">
        <v>1259</v>
      </c>
      <c r="B171" s="56" t="s">
        <v>1237</v>
      </c>
      <c r="C171" s="55" t="s">
        <v>824</v>
      </c>
      <c r="D171" s="56" t="s">
        <v>229</v>
      </c>
      <c r="E171" s="56">
        <v>1</v>
      </c>
      <c r="F171" s="58" t="s">
        <v>37</v>
      </c>
    </row>
    <row r="172" spans="1:6" ht="15.75" customHeight="1">
      <c r="A172" s="55" t="s">
        <v>1259</v>
      </c>
      <c r="B172" s="56" t="s">
        <v>1241</v>
      </c>
      <c r="C172" s="55" t="s">
        <v>1043</v>
      </c>
      <c r="D172" s="56" t="s">
        <v>1233</v>
      </c>
      <c r="E172" s="56">
        <v>1</v>
      </c>
      <c r="F172" s="61"/>
    </row>
    <row r="173" spans="1:6" ht="15.75" customHeight="1">
      <c r="A173" s="55" t="s">
        <v>1259</v>
      </c>
      <c r="B173" s="56" t="s">
        <v>1241</v>
      </c>
      <c r="C173" s="55" t="s">
        <v>1049</v>
      </c>
      <c r="D173" s="56" t="s">
        <v>1233</v>
      </c>
      <c r="E173" s="56">
        <v>1</v>
      </c>
      <c r="F173" s="61"/>
    </row>
    <row r="174" spans="1:6" ht="15.75" customHeight="1">
      <c r="A174" s="55" t="s">
        <v>1259</v>
      </c>
      <c r="B174" s="56" t="s">
        <v>1250</v>
      </c>
      <c r="C174" s="55" t="s">
        <v>1050</v>
      </c>
      <c r="D174" s="56" t="s">
        <v>454</v>
      </c>
      <c r="E174" s="56">
        <v>1</v>
      </c>
      <c r="F174" s="57" t="s">
        <v>42</v>
      </c>
    </row>
    <row r="175" spans="1:6" ht="15.75" customHeight="1">
      <c r="A175" s="55" t="s">
        <v>1039</v>
      </c>
      <c r="B175" s="56" t="s">
        <v>1225</v>
      </c>
      <c r="C175" s="55" t="s">
        <v>1094</v>
      </c>
      <c r="D175" s="56" t="s">
        <v>519</v>
      </c>
      <c r="E175" s="56">
        <v>1</v>
      </c>
      <c r="F175" s="62" t="s">
        <v>35</v>
      </c>
    </row>
    <row r="176" spans="1:6" ht="15.75" customHeight="1">
      <c r="A176" s="55" t="s">
        <v>1039</v>
      </c>
      <c r="B176" s="56" t="s">
        <v>1227</v>
      </c>
      <c r="C176" s="55" t="s">
        <v>1163</v>
      </c>
      <c r="D176" s="56" t="s">
        <v>986</v>
      </c>
      <c r="E176" s="56">
        <v>1</v>
      </c>
      <c r="F176" s="60" t="s">
        <v>33</v>
      </c>
    </row>
    <row r="177" spans="1:6" ht="15.75" customHeight="1">
      <c r="A177" s="55" t="s">
        <v>1039</v>
      </c>
      <c r="B177" s="56" t="s">
        <v>1227</v>
      </c>
      <c r="C177" s="55" t="s">
        <v>1138</v>
      </c>
      <c r="D177" s="56" t="s">
        <v>986</v>
      </c>
      <c r="E177" s="56">
        <v>1</v>
      </c>
      <c r="F177" s="62" t="s">
        <v>35</v>
      </c>
    </row>
    <row r="178" spans="1:6" ht="15.75" customHeight="1">
      <c r="A178" s="55" t="s">
        <v>1039</v>
      </c>
      <c r="B178" s="56" t="s">
        <v>1228</v>
      </c>
      <c r="C178" s="55" t="s">
        <v>1146</v>
      </c>
      <c r="D178" s="56" t="s">
        <v>509</v>
      </c>
      <c r="E178" s="56">
        <v>1</v>
      </c>
      <c r="F178" s="62" t="s">
        <v>35</v>
      </c>
    </row>
    <row r="179" spans="1:6" ht="15.75" customHeight="1">
      <c r="A179" s="55" t="s">
        <v>1039</v>
      </c>
      <c r="B179" s="56" t="s">
        <v>1236</v>
      </c>
      <c r="C179" s="55" t="s">
        <v>1180</v>
      </c>
      <c r="D179" s="56" t="s">
        <v>452</v>
      </c>
      <c r="E179" s="56">
        <v>1</v>
      </c>
      <c r="F179" s="62" t="s">
        <v>35</v>
      </c>
    </row>
    <row r="180" spans="1:6" ht="15.75" customHeight="1">
      <c r="A180" s="55" t="s">
        <v>1039</v>
      </c>
      <c r="B180" s="56" t="s">
        <v>1237</v>
      </c>
      <c r="C180" s="55" t="s">
        <v>1208</v>
      </c>
      <c r="D180" s="56" t="s">
        <v>229</v>
      </c>
      <c r="E180" s="56">
        <v>1</v>
      </c>
      <c r="F180" s="62" t="s">
        <v>35</v>
      </c>
    </row>
    <row r="181" spans="1:6" ht="15.75" customHeight="1">
      <c r="A181" s="55" t="s">
        <v>1039</v>
      </c>
      <c r="B181" s="56" t="s">
        <v>1241</v>
      </c>
      <c r="C181" s="55" t="s">
        <v>1070</v>
      </c>
      <c r="D181" s="56" t="s">
        <v>1233</v>
      </c>
      <c r="E181" s="56">
        <v>1</v>
      </c>
      <c r="F181" s="62" t="s">
        <v>35</v>
      </c>
    </row>
    <row r="182" spans="1:6" ht="15.75" customHeight="1">
      <c r="A182" s="55" t="s">
        <v>1039</v>
      </c>
      <c r="B182" s="56" t="s">
        <v>1241</v>
      </c>
      <c r="C182" s="55" t="s">
        <v>1072</v>
      </c>
      <c r="D182" s="56" t="s">
        <v>1233</v>
      </c>
      <c r="E182" s="56">
        <v>1</v>
      </c>
      <c r="F182" s="62" t="s">
        <v>35</v>
      </c>
    </row>
    <row r="183" spans="1:6" ht="15.75" customHeight="1">
      <c r="A183" s="55" t="s">
        <v>1039</v>
      </c>
      <c r="B183" s="56" t="s">
        <v>1241</v>
      </c>
      <c r="C183" s="55" t="s">
        <v>1074</v>
      </c>
      <c r="D183" s="56" t="s">
        <v>1233</v>
      </c>
      <c r="E183" s="56">
        <v>1</v>
      </c>
      <c r="F183" s="62" t="s">
        <v>35</v>
      </c>
    </row>
    <row r="184" spans="1:6" ht="15.75" customHeight="1">
      <c r="A184" s="55" t="s">
        <v>1039</v>
      </c>
      <c r="B184" s="56" t="s">
        <v>1250</v>
      </c>
      <c r="C184" s="55" t="s">
        <v>1044</v>
      </c>
      <c r="D184" s="56" t="s">
        <v>454</v>
      </c>
      <c r="E184" s="56">
        <v>1</v>
      </c>
      <c r="F184" s="62" t="s">
        <v>35</v>
      </c>
    </row>
    <row r="185" spans="1:6" ht="15.75" customHeight="1">
      <c r="A185" s="55" t="s">
        <v>1039</v>
      </c>
      <c r="B185" s="56" t="s">
        <v>1260</v>
      </c>
      <c r="C185" s="55" t="s">
        <v>1089</v>
      </c>
      <c r="D185" s="56" t="s">
        <v>218</v>
      </c>
      <c r="E185" s="56">
        <v>1</v>
      </c>
      <c r="F185" s="62" t="s">
        <v>35</v>
      </c>
    </row>
    <row r="186" spans="1:6" ht="15.75" customHeight="1">
      <c r="A186" s="55" t="s">
        <v>1261</v>
      </c>
      <c r="B186" s="56" t="s">
        <v>1224</v>
      </c>
      <c r="C186" s="55" t="s">
        <v>1132</v>
      </c>
      <c r="D186" s="56" t="s">
        <v>214</v>
      </c>
      <c r="E186" s="56">
        <v>1</v>
      </c>
      <c r="F186" s="60" t="s">
        <v>33</v>
      </c>
    </row>
    <row r="187" spans="1:6" ht="15.75" customHeight="1">
      <c r="A187" s="55" t="s">
        <v>1261</v>
      </c>
      <c r="B187" s="56" t="s">
        <v>1224</v>
      </c>
      <c r="C187" s="55" t="s">
        <v>1121</v>
      </c>
      <c r="D187" s="56" t="s">
        <v>214</v>
      </c>
      <c r="E187" s="56">
        <v>1</v>
      </c>
      <c r="F187" s="60" t="s">
        <v>33</v>
      </c>
    </row>
    <row r="188" spans="1:6" ht="15.75" customHeight="1">
      <c r="A188" s="55" t="s">
        <v>1261</v>
      </c>
      <c r="B188" s="56" t="s">
        <v>1225</v>
      </c>
      <c r="C188" s="55" t="s">
        <v>1042</v>
      </c>
      <c r="D188" s="56" t="s">
        <v>519</v>
      </c>
      <c r="E188" s="56">
        <v>1</v>
      </c>
      <c r="F188" s="60" t="s">
        <v>33</v>
      </c>
    </row>
    <row r="189" spans="1:6" ht="15.75" customHeight="1">
      <c r="A189" s="55" t="s">
        <v>1261</v>
      </c>
      <c r="B189" s="56" t="s">
        <v>1230</v>
      </c>
      <c r="C189" s="55" t="s">
        <v>1164</v>
      </c>
      <c r="D189" s="56" t="s">
        <v>786</v>
      </c>
      <c r="E189" s="56">
        <v>1</v>
      </c>
      <c r="F189" s="60" t="s">
        <v>33</v>
      </c>
    </row>
    <row r="190" spans="1:6" ht="15.75" customHeight="1">
      <c r="A190" s="55" t="s">
        <v>1261</v>
      </c>
      <c r="B190" s="56" t="s">
        <v>1236</v>
      </c>
      <c r="C190" s="55" t="s">
        <v>1172</v>
      </c>
      <c r="D190" s="56" t="s">
        <v>452</v>
      </c>
      <c r="E190" s="56">
        <v>1</v>
      </c>
      <c r="F190" s="60" t="s">
        <v>33</v>
      </c>
    </row>
    <row r="191" spans="1:6" ht="15.75" customHeight="1">
      <c r="A191" s="55" t="s">
        <v>1261</v>
      </c>
      <c r="B191" s="56" t="s">
        <v>1236</v>
      </c>
      <c r="C191" s="55" t="s">
        <v>1198</v>
      </c>
      <c r="D191" s="56" t="s">
        <v>452</v>
      </c>
      <c r="E191" s="56">
        <v>1</v>
      </c>
      <c r="F191" s="60" t="s">
        <v>33</v>
      </c>
    </row>
    <row r="192" spans="1:6" ht="15.75" customHeight="1">
      <c r="A192" s="55" t="s">
        <v>1261</v>
      </c>
      <c r="B192" s="56" t="s">
        <v>1249</v>
      </c>
      <c r="C192" s="55" t="s">
        <v>1053</v>
      </c>
      <c r="D192" s="56" t="s">
        <v>454</v>
      </c>
      <c r="E192" s="56">
        <v>1</v>
      </c>
      <c r="F192" s="60" t="s">
        <v>33</v>
      </c>
    </row>
    <row r="193" spans="1:6" ht="15.75" customHeight="1">
      <c r="A193" s="55" t="s">
        <v>1261</v>
      </c>
      <c r="B193" s="56" t="s">
        <v>1257</v>
      </c>
      <c r="C193" s="55" t="s">
        <v>1042</v>
      </c>
      <c r="D193" s="56" t="s">
        <v>256</v>
      </c>
      <c r="E193" s="56">
        <v>1</v>
      </c>
      <c r="F193" s="60" t="s">
        <v>33</v>
      </c>
    </row>
    <row r="194" spans="1:6" ht="15.75" customHeight="1">
      <c r="A194" s="55" t="s">
        <v>1261</v>
      </c>
      <c r="B194" s="56" t="s">
        <v>1250</v>
      </c>
      <c r="C194" s="55" t="s">
        <v>1061</v>
      </c>
      <c r="D194" s="56" t="s">
        <v>454</v>
      </c>
      <c r="E194" s="56">
        <v>1</v>
      </c>
      <c r="F194" s="61"/>
    </row>
    <row r="195" spans="1:6" ht="15.75" customHeight="1">
      <c r="A195" s="55" t="s">
        <v>1261</v>
      </c>
      <c r="B195" s="56" t="s">
        <v>1260</v>
      </c>
      <c r="C195" s="55" t="s">
        <v>1082</v>
      </c>
      <c r="D195" s="56" t="s">
        <v>218</v>
      </c>
      <c r="E195" s="56">
        <v>1</v>
      </c>
      <c r="F195" s="60" t="s">
        <v>33</v>
      </c>
    </row>
    <row r="196" spans="1:6" ht="15.75" customHeight="1">
      <c r="A196" s="55" t="s">
        <v>1262</v>
      </c>
      <c r="B196" s="56" t="s">
        <v>1223</v>
      </c>
      <c r="C196" s="55" t="s">
        <v>325</v>
      </c>
      <c r="D196" s="56" t="s">
        <v>235</v>
      </c>
      <c r="E196" s="56">
        <v>1</v>
      </c>
      <c r="F196" s="60" t="s">
        <v>33</v>
      </c>
    </row>
    <row r="197" spans="1:6" ht="15.75" customHeight="1">
      <c r="A197" s="55" t="s">
        <v>1262</v>
      </c>
      <c r="B197" s="56" t="s">
        <v>1224</v>
      </c>
      <c r="C197" s="55" t="s">
        <v>1134</v>
      </c>
      <c r="D197" s="56" t="s">
        <v>214</v>
      </c>
      <c r="E197" s="56">
        <v>1</v>
      </c>
      <c r="F197" s="60" t="s">
        <v>33</v>
      </c>
    </row>
    <row r="198" spans="1:6" ht="15.75" customHeight="1">
      <c r="A198" s="55" t="s">
        <v>1262</v>
      </c>
      <c r="B198" s="56" t="s">
        <v>1253</v>
      </c>
      <c r="C198" s="55" t="s">
        <v>325</v>
      </c>
      <c r="D198" s="56" t="s">
        <v>502</v>
      </c>
      <c r="E198" s="56">
        <v>1</v>
      </c>
      <c r="F198" s="60" t="s">
        <v>33</v>
      </c>
    </row>
    <row r="199" spans="1:6" ht="15.75" customHeight="1">
      <c r="A199" s="55" t="s">
        <v>1262</v>
      </c>
      <c r="B199" s="56" t="s">
        <v>1228</v>
      </c>
      <c r="C199" s="55" t="s">
        <v>325</v>
      </c>
      <c r="D199" s="56" t="s">
        <v>509</v>
      </c>
      <c r="E199" s="56">
        <v>1</v>
      </c>
      <c r="F199" s="60" t="s">
        <v>33</v>
      </c>
    </row>
    <row r="200" spans="1:6" ht="15.75" customHeight="1">
      <c r="A200" s="55" t="s">
        <v>1262</v>
      </c>
      <c r="B200" s="56" t="s">
        <v>1255</v>
      </c>
      <c r="C200" s="55" t="s">
        <v>1176</v>
      </c>
      <c r="D200" s="56" t="s">
        <v>1233</v>
      </c>
      <c r="E200" s="56">
        <v>1</v>
      </c>
      <c r="F200" s="60" t="s">
        <v>33</v>
      </c>
    </row>
    <row r="201" spans="1:6" ht="15.75" customHeight="1">
      <c r="A201" s="55" t="s">
        <v>1262</v>
      </c>
      <c r="B201" s="56" t="s">
        <v>1235</v>
      </c>
      <c r="C201" s="55" t="s">
        <v>1193</v>
      </c>
      <c r="D201" s="56" t="s">
        <v>249</v>
      </c>
      <c r="E201" s="56">
        <v>1</v>
      </c>
      <c r="F201" s="60" t="s">
        <v>33</v>
      </c>
    </row>
    <row r="202" spans="1:6" ht="15.75" customHeight="1">
      <c r="A202" s="55" t="s">
        <v>1262</v>
      </c>
      <c r="B202" s="56" t="s">
        <v>1236</v>
      </c>
      <c r="C202" s="55" t="s">
        <v>325</v>
      </c>
      <c r="D202" s="56" t="s">
        <v>452</v>
      </c>
      <c r="E202" s="56">
        <v>1</v>
      </c>
      <c r="F202" s="60" t="s">
        <v>33</v>
      </c>
    </row>
    <row r="203" spans="1:6" ht="15.75" customHeight="1">
      <c r="A203" s="55" t="s">
        <v>1262</v>
      </c>
      <c r="B203" s="56" t="s">
        <v>1250</v>
      </c>
      <c r="C203" s="55" t="s">
        <v>1067</v>
      </c>
      <c r="D203" s="56" t="s">
        <v>454</v>
      </c>
      <c r="E203" s="56">
        <v>1</v>
      </c>
      <c r="F203" s="60" t="s">
        <v>33</v>
      </c>
    </row>
    <row r="204" spans="1:6" ht="15.75" customHeight="1">
      <c r="A204" s="55" t="s">
        <v>1262</v>
      </c>
      <c r="B204" s="56" t="s">
        <v>1246</v>
      </c>
      <c r="C204" s="55" t="s">
        <v>1106</v>
      </c>
      <c r="D204" s="56" t="s">
        <v>251</v>
      </c>
      <c r="E204" s="56">
        <v>1</v>
      </c>
      <c r="F204" s="60" t="s">
        <v>33</v>
      </c>
    </row>
    <row r="205" spans="1:6" ht="15.75" customHeight="1">
      <c r="A205" s="55" t="s">
        <v>1037</v>
      </c>
      <c r="B205" s="56" t="s">
        <v>1223</v>
      </c>
      <c r="C205" s="55" t="s">
        <v>1107</v>
      </c>
      <c r="D205" s="56" t="s">
        <v>235</v>
      </c>
      <c r="E205" s="56">
        <v>1</v>
      </c>
      <c r="F205" s="57" t="s">
        <v>42</v>
      </c>
    </row>
    <row r="206" spans="1:6" ht="15.75" customHeight="1">
      <c r="A206" s="55" t="s">
        <v>1037</v>
      </c>
      <c r="B206" s="56" t="s">
        <v>1223</v>
      </c>
      <c r="C206" s="55" t="s">
        <v>1112</v>
      </c>
      <c r="D206" s="56" t="s">
        <v>235</v>
      </c>
      <c r="E206" s="56">
        <v>1</v>
      </c>
      <c r="F206" s="57" t="s">
        <v>42</v>
      </c>
    </row>
    <row r="207" spans="1:6" ht="15.75" customHeight="1">
      <c r="A207" s="55" t="s">
        <v>1037</v>
      </c>
      <c r="B207" s="56" t="s">
        <v>1224</v>
      </c>
      <c r="C207" s="55" t="s">
        <v>1135</v>
      </c>
      <c r="D207" s="56" t="s">
        <v>214</v>
      </c>
      <c r="E207" s="56">
        <v>1</v>
      </c>
      <c r="F207" s="57" t="s">
        <v>42</v>
      </c>
    </row>
    <row r="208" spans="1:6" ht="15.75" customHeight="1">
      <c r="A208" s="55" t="s">
        <v>1037</v>
      </c>
      <c r="B208" s="56" t="s">
        <v>1229</v>
      </c>
      <c r="C208" s="55" t="s">
        <v>1150</v>
      </c>
      <c r="D208" s="56" t="s">
        <v>275</v>
      </c>
      <c r="E208" s="56">
        <v>1</v>
      </c>
      <c r="F208" s="58" t="s">
        <v>37</v>
      </c>
    </row>
    <row r="209" spans="1:6" ht="15.75" customHeight="1">
      <c r="A209" s="55" t="s">
        <v>1037</v>
      </c>
      <c r="B209" s="56" t="s">
        <v>1231</v>
      </c>
      <c r="C209" s="55" t="s">
        <v>1173</v>
      </c>
      <c r="D209" s="56" t="s">
        <v>209</v>
      </c>
      <c r="E209" s="56">
        <v>1</v>
      </c>
      <c r="F209" s="57" t="s">
        <v>42</v>
      </c>
    </row>
    <row r="210" spans="1:6" ht="15.75" customHeight="1">
      <c r="A210" s="55" t="s">
        <v>1037</v>
      </c>
      <c r="B210" s="56" t="s">
        <v>1236</v>
      </c>
      <c r="C210" s="55" t="s">
        <v>1182</v>
      </c>
      <c r="D210" s="56" t="s">
        <v>452</v>
      </c>
      <c r="E210" s="56">
        <v>1</v>
      </c>
      <c r="F210" s="57" t="s">
        <v>42</v>
      </c>
    </row>
    <row r="211" spans="1:6" ht="15.75" customHeight="1">
      <c r="A211" s="55" t="s">
        <v>1037</v>
      </c>
      <c r="B211" s="56" t="s">
        <v>1236</v>
      </c>
      <c r="C211" s="55" t="s">
        <v>1185</v>
      </c>
      <c r="D211" s="56" t="s">
        <v>452</v>
      </c>
      <c r="E211" s="56">
        <v>1</v>
      </c>
      <c r="F211" s="57" t="s">
        <v>42</v>
      </c>
    </row>
    <row r="212" spans="1:6" ht="15.75" customHeight="1">
      <c r="A212" s="55" t="s">
        <v>1037</v>
      </c>
      <c r="B212" s="56" t="s">
        <v>1239</v>
      </c>
      <c r="C212" s="55" t="s">
        <v>1204</v>
      </c>
      <c r="D212" s="56" t="s">
        <v>252</v>
      </c>
      <c r="E212" s="56">
        <v>1</v>
      </c>
      <c r="F212" s="57" t="s">
        <v>42</v>
      </c>
    </row>
    <row r="213" spans="1:6" ht="15.75" customHeight="1">
      <c r="A213" s="55" t="s">
        <v>1037</v>
      </c>
      <c r="B213" s="56" t="s">
        <v>1246</v>
      </c>
      <c r="C213" s="55" t="s">
        <v>1131</v>
      </c>
      <c r="D213" s="56" t="s">
        <v>251</v>
      </c>
      <c r="E213" s="56">
        <v>1</v>
      </c>
      <c r="F213" s="57" t="s">
        <v>42</v>
      </c>
    </row>
    <row r="214" spans="1:6" ht="15.75" customHeight="1">
      <c r="A214" s="55" t="s">
        <v>1263</v>
      </c>
      <c r="B214" s="56" t="s">
        <v>1222</v>
      </c>
      <c r="C214" s="55" t="s">
        <v>1097</v>
      </c>
      <c r="D214" s="56" t="s">
        <v>224</v>
      </c>
      <c r="E214" s="56">
        <v>1</v>
      </c>
      <c r="F214" s="60" t="s">
        <v>33</v>
      </c>
    </row>
    <row r="215" spans="1:6" ht="15.75" customHeight="1">
      <c r="A215" s="55" t="s">
        <v>1263</v>
      </c>
      <c r="B215" s="56" t="s">
        <v>1223</v>
      </c>
      <c r="C215" s="55" t="s">
        <v>1092</v>
      </c>
      <c r="D215" s="56" t="s">
        <v>235</v>
      </c>
      <c r="E215" s="56">
        <v>1</v>
      </c>
      <c r="F215" s="60" t="s">
        <v>33</v>
      </c>
    </row>
    <row r="216" spans="1:6" ht="15.75" customHeight="1">
      <c r="A216" s="55" t="s">
        <v>1263</v>
      </c>
      <c r="B216" s="56" t="s">
        <v>1223</v>
      </c>
      <c r="C216" s="55" t="s">
        <v>1125</v>
      </c>
      <c r="D216" s="56" t="s">
        <v>235</v>
      </c>
      <c r="E216" s="56">
        <v>1</v>
      </c>
      <c r="F216" s="57" t="s">
        <v>42</v>
      </c>
    </row>
    <row r="217" spans="1:6" ht="15.75" customHeight="1">
      <c r="A217" s="55" t="s">
        <v>1263</v>
      </c>
      <c r="B217" s="56" t="s">
        <v>1252</v>
      </c>
      <c r="C217" s="55" t="s">
        <v>1149</v>
      </c>
      <c r="D217" s="56" t="s">
        <v>231</v>
      </c>
      <c r="E217" s="56">
        <v>1</v>
      </c>
      <c r="F217" s="57" t="s">
        <v>42</v>
      </c>
    </row>
    <row r="218" spans="1:6" ht="15.75" customHeight="1">
      <c r="A218" s="55" t="s">
        <v>1263</v>
      </c>
      <c r="B218" s="56" t="s">
        <v>1227</v>
      </c>
      <c r="C218" s="55" t="s">
        <v>402</v>
      </c>
      <c r="D218" s="56" t="s">
        <v>986</v>
      </c>
      <c r="E218" s="56">
        <v>1</v>
      </c>
      <c r="F218" s="60" t="s">
        <v>33</v>
      </c>
    </row>
    <row r="219" spans="1:6" ht="15.75" customHeight="1">
      <c r="A219" s="55" t="s">
        <v>1263</v>
      </c>
      <c r="B219" s="56" t="s">
        <v>1236</v>
      </c>
      <c r="C219" s="55" t="s">
        <v>1195</v>
      </c>
      <c r="D219" s="56" t="s">
        <v>452</v>
      </c>
      <c r="E219" s="56">
        <v>1</v>
      </c>
      <c r="F219" s="60" t="s">
        <v>33</v>
      </c>
    </row>
    <row r="220" spans="1:6" ht="15.75" customHeight="1">
      <c r="A220" s="55" t="s">
        <v>1263</v>
      </c>
      <c r="B220" s="56" t="s">
        <v>1242</v>
      </c>
      <c r="C220" s="55" t="s">
        <v>1051</v>
      </c>
      <c r="D220" s="56" t="s">
        <v>212</v>
      </c>
      <c r="E220" s="56">
        <v>1</v>
      </c>
      <c r="F220" s="61"/>
    </row>
    <row r="221" spans="1:6" ht="15.75" customHeight="1">
      <c r="A221" s="55" t="s">
        <v>1263</v>
      </c>
      <c r="B221" s="56" t="s">
        <v>1246</v>
      </c>
      <c r="C221" s="55" t="s">
        <v>1081</v>
      </c>
      <c r="D221" s="56" t="s">
        <v>251</v>
      </c>
      <c r="E221" s="56">
        <v>1</v>
      </c>
      <c r="F221" s="58" t="s">
        <v>37</v>
      </c>
    </row>
    <row r="222" spans="1:6" ht="15.75" customHeight="1">
      <c r="A222" s="55" t="s">
        <v>1047</v>
      </c>
      <c r="B222" s="56" t="s">
        <v>1253</v>
      </c>
      <c r="C222" s="55" t="s">
        <v>1144</v>
      </c>
      <c r="D222" s="56" t="s">
        <v>502</v>
      </c>
      <c r="E222" s="56">
        <v>1</v>
      </c>
      <c r="F222" s="57" t="s">
        <v>42</v>
      </c>
    </row>
    <row r="223" spans="1:6" ht="15.75" customHeight="1">
      <c r="A223" s="55" t="s">
        <v>1047</v>
      </c>
      <c r="B223" s="56" t="s">
        <v>1229</v>
      </c>
      <c r="C223" s="55" t="s">
        <v>1162</v>
      </c>
      <c r="D223" s="56" t="s">
        <v>275</v>
      </c>
      <c r="E223" s="56">
        <v>1</v>
      </c>
      <c r="F223" s="60" t="s">
        <v>33</v>
      </c>
    </row>
    <row r="224" spans="1:6" ht="15.75" customHeight="1">
      <c r="A224" s="55" t="s">
        <v>1047</v>
      </c>
      <c r="B224" s="56" t="s">
        <v>1255</v>
      </c>
      <c r="C224" s="55" t="s">
        <v>1170</v>
      </c>
      <c r="D224" s="56" t="s">
        <v>1233</v>
      </c>
      <c r="E224" s="56">
        <v>1</v>
      </c>
      <c r="F224" s="61"/>
    </row>
    <row r="225" spans="1:6" ht="15.75" customHeight="1">
      <c r="A225" s="55" t="s">
        <v>1047</v>
      </c>
      <c r="B225" s="56" t="s">
        <v>1249</v>
      </c>
      <c r="C225" s="55" t="s">
        <v>1047</v>
      </c>
      <c r="D225" s="56" t="s">
        <v>454</v>
      </c>
      <c r="E225" s="56">
        <v>1</v>
      </c>
      <c r="F225" s="60" t="s">
        <v>33</v>
      </c>
    </row>
    <row r="226" spans="1:6" ht="15.75" customHeight="1">
      <c r="A226" s="55" t="s">
        <v>1047</v>
      </c>
      <c r="B226" s="56" t="s">
        <v>1239</v>
      </c>
      <c r="C226" s="55" t="s">
        <v>1205</v>
      </c>
      <c r="D226" s="56" t="s">
        <v>252</v>
      </c>
      <c r="E226" s="56">
        <v>1</v>
      </c>
      <c r="F226" s="59" t="s">
        <v>27</v>
      </c>
    </row>
    <row r="227" spans="1:6" ht="15.75" customHeight="1">
      <c r="A227" s="55" t="s">
        <v>1047</v>
      </c>
      <c r="B227" s="56" t="s">
        <v>1246</v>
      </c>
      <c r="C227" s="55" t="s">
        <v>1133</v>
      </c>
      <c r="D227" s="56" t="s">
        <v>251</v>
      </c>
      <c r="E227" s="56">
        <v>1</v>
      </c>
      <c r="F227" s="61"/>
    </row>
    <row r="228" spans="1:6" ht="15.75" customHeight="1">
      <c r="A228" s="55" t="s">
        <v>1047</v>
      </c>
      <c r="B228" s="56" t="s">
        <v>1260</v>
      </c>
      <c r="C228" s="55" t="s">
        <v>1095</v>
      </c>
      <c r="D228" s="56" t="s">
        <v>218</v>
      </c>
      <c r="E228" s="56">
        <v>1</v>
      </c>
      <c r="F228" s="61"/>
    </row>
    <row r="229" spans="1:6" ht="15.75" customHeight="1">
      <c r="A229" s="55" t="s">
        <v>1034</v>
      </c>
      <c r="B229" s="56" t="s">
        <v>1224</v>
      </c>
      <c r="C229" s="55" t="s">
        <v>1128</v>
      </c>
      <c r="D229" s="56" t="s">
        <v>214</v>
      </c>
      <c r="E229" s="56">
        <v>1</v>
      </c>
      <c r="F229" s="57" t="s">
        <v>42</v>
      </c>
    </row>
    <row r="230" spans="1:6" ht="15.75" customHeight="1">
      <c r="A230" s="55" t="s">
        <v>1034</v>
      </c>
      <c r="B230" s="56" t="s">
        <v>1230</v>
      </c>
      <c r="C230" s="55" t="s">
        <v>1165</v>
      </c>
      <c r="D230" s="56" t="s">
        <v>786</v>
      </c>
      <c r="E230" s="56">
        <v>1</v>
      </c>
      <c r="F230" s="57" t="s">
        <v>42</v>
      </c>
    </row>
    <row r="231" spans="1:6" ht="15.75" customHeight="1">
      <c r="A231" s="55" t="s">
        <v>1034</v>
      </c>
      <c r="B231" s="56" t="s">
        <v>1234</v>
      </c>
      <c r="C231" s="55" t="s">
        <v>1189</v>
      </c>
      <c r="D231" s="56" t="s">
        <v>214</v>
      </c>
      <c r="E231" s="56">
        <v>1</v>
      </c>
      <c r="F231" s="57" t="s">
        <v>42</v>
      </c>
    </row>
    <row r="232" spans="1:6" ht="15.75" customHeight="1">
      <c r="A232" s="55" t="s">
        <v>1034</v>
      </c>
      <c r="B232" s="56" t="s">
        <v>1236</v>
      </c>
      <c r="C232" s="55" t="s">
        <v>1199</v>
      </c>
      <c r="D232" s="56" t="s">
        <v>452</v>
      </c>
      <c r="E232" s="56">
        <v>1</v>
      </c>
      <c r="F232" s="57" t="s">
        <v>42</v>
      </c>
    </row>
    <row r="233" spans="1:6" ht="15.75" customHeight="1">
      <c r="A233" s="55" t="s">
        <v>1034</v>
      </c>
      <c r="B233" s="56" t="s">
        <v>1236</v>
      </c>
      <c r="C233" s="55" t="s">
        <v>1191</v>
      </c>
      <c r="D233" s="56" t="s">
        <v>452</v>
      </c>
      <c r="E233" s="56">
        <v>1</v>
      </c>
      <c r="F233" s="57" t="s">
        <v>42</v>
      </c>
    </row>
    <row r="234" spans="1:6" ht="15.75" customHeight="1">
      <c r="A234" s="55" t="s">
        <v>1034</v>
      </c>
      <c r="B234" s="56" t="s">
        <v>1237</v>
      </c>
      <c r="C234" s="55" t="s">
        <v>1203</v>
      </c>
      <c r="D234" s="56" t="s">
        <v>229</v>
      </c>
      <c r="E234" s="56">
        <v>1</v>
      </c>
      <c r="F234" s="57" t="s">
        <v>42</v>
      </c>
    </row>
    <row r="235" spans="1:6" ht="15.75" customHeight="1">
      <c r="A235" s="55" t="s">
        <v>1034</v>
      </c>
      <c r="B235" s="56" t="s">
        <v>1246</v>
      </c>
      <c r="C235" s="55" t="s">
        <v>1127</v>
      </c>
      <c r="D235" s="56" t="s">
        <v>260</v>
      </c>
      <c r="E235" s="56">
        <v>2</v>
      </c>
      <c r="F235" s="57" t="s">
        <v>42</v>
      </c>
    </row>
    <row r="236" spans="1:6" ht="15.75" customHeight="1">
      <c r="A236" s="55" t="s">
        <v>281</v>
      </c>
      <c r="B236" s="56" t="s">
        <v>1222</v>
      </c>
      <c r="C236" s="55" t="s">
        <v>1124</v>
      </c>
      <c r="D236" s="56" t="s">
        <v>224</v>
      </c>
      <c r="E236" s="56">
        <v>1</v>
      </c>
      <c r="F236" s="60" t="s">
        <v>33</v>
      </c>
    </row>
    <row r="237" spans="1:6" ht="15.75" customHeight="1">
      <c r="A237" s="55" t="s">
        <v>281</v>
      </c>
      <c r="B237" s="56" t="s">
        <v>1224</v>
      </c>
      <c r="C237" s="55" t="s">
        <v>1130</v>
      </c>
      <c r="D237" s="56" t="s">
        <v>214</v>
      </c>
      <c r="E237" s="56">
        <v>1</v>
      </c>
      <c r="F237" s="57" t="s">
        <v>42</v>
      </c>
    </row>
    <row r="238" spans="1:6" ht="15.75" customHeight="1">
      <c r="A238" s="55" t="s">
        <v>281</v>
      </c>
      <c r="B238" s="56" t="s">
        <v>1224</v>
      </c>
      <c r="C238" s="55" t="s">
        <v>1136</v>
      </c>
      <c r="D238" s="56" t="s">
        <v>214</v>
      </c>
      <c r="E238" s="56">
        <v>1</v>
      </c>
      <c r="F238" s="57" t="s">
        <v>42</v>
      </c>
    </row>
    <row r="239" spans="1:6" ht="15.75" customHeight="1">
      <c r="A239" s="55" t="s">
        <v>281</v>
      </c>
      <c r="B239" s="56" t="s">
        <v>1231</v>
      </c>
      <c r="C239" s="55" t="s">
        <v>1188</v>
      </c>
      <c r="D239" s="56" t="s">
        <v>209</v>
      </c>
      <c r="E239" s="56">
        <v>1</v>
      </c>
      <c r="F239" s="58" t="s">
        <v>37</v>
      </c>
    </row>
    <row r="240" spans="1:6" ht="15.75" customHeight="1">
      <c r="A240" s="55" t="s">
        <v>281</v>
      </c>
      <c r="B240" s="56" t="s">
        <v>1248</v>
      </c>
      <c r="C240" s="55" t="s">
        <v>1175</v>
      </c>
      <c r="D240" s="56" t="s">
        <v>241</v>
      </c>
      <c r="E240" s="56">
        <v>1</v>
      </c>
      <c r="F240" s="58" t="s">
        <v>37</v>
      </c>
    </row>
    <row r="241" spans="1:6" ht="15.75" customHeight="1">
      <c r="A241" s="55" t="s">
        <v>281</v>
      </c>
      <c r="B241" s="56" t="s">
        <v>1242</v>
      </c>
      <c r="C241" s="55" t="s">
        <v>1075</v>
      </c>
      <c r="D241" s="56" t="s">
        <v>212</v>
      </c>
      <c r="E241" s="56">
        <v>1</v>
      </c>
      <c r="F241" s="60" t="s">
        <v>33</v>
      </c>
    </row>
    <row r="242" spans="1:6" ht="15.75" customHeight="1">
      <c r="A242" s="55" t="s">
        <v>1264</v>
      </c>
      <c r="B242" s="56" t="s">
        <v>1223</v>
      </c>
      <c r="C242" s="55" t="s">
        <v>1103</v>
      </c>
      <c r="D242" s="56" t="s">
        <v>235</v>
      </c>
      <c r="E242" s="56">
        <v>1</v>
      </c>
      <c r="F242" s="58" t="s">
        <v>37</v>
      </c>
    </row>
    <row r="243" spans="1:6" ht="15.75" customHeight="1">
      <c r="A243" s="55" t="s">
        <v>1264</v>
      </c>
      <c r="B243" s="56" t="s">
        <v>1253</v>
      </c>
      <c r="C243" s="55" t="s">
        <v>1141</v>
      </c>
      <c r="D243" s="56" t="s">
        <v>502</v>
      </c>
      <c r="E243" s="56">
        <v>1</v>
      </c>
      <c r="F243" s="60" t="s">
        <v>33</v>
      </c>
    </row>
    <row r="244" spans="1:6" ht="15.75" customHeight="1">
      <c r="A244" s="55" t="s">
        <v>1264</v>
      </c>
      <c r="B244" s="56" t="s">
        <v>1230</v>
      </c>
      <c r="C244" s="55" t="s">
        <v>1153</v>
      </c>
      <c r="D244" s="56" t="s">
        <v>786</v>
      </c>
      <c r="E244" s="56">
        <v>1</v>
      </c>
      <c r="F244" s="58" t="s">
        <v>37</v>
      </c>
    </row>
    <row r="245" spans="1:6" ht="15.75" customHeight="1">
      <c r="A245" s="55" t="s">
        <v>1264</v>
      </c>
      <c r="B245" s="56" t="s">
        <v>1237</v>
      </c>
      <c r="C245" s="55" t="s">
        <v>1207</v>
      </c>
      <c r="D245" s="56" t="s">
        <v>229</v>
      </c>
      <c r="E245" s="56">
        <v>1</v>
      </c>
      <c r="F245" s="57" t="s">
        <v>42</v>
      </c>
    </row>
    <row r="246" spans="1:6" ht="15.75" customHeight="1">
      <c r="A246" s="55" t="s">
        <v>1264</v>
      </c>
      <c r="B246" s="56" t="s">
        <v>1243</v>
      </c>
      <c r="C246" s="55" t="s">
        <v>1069</v>
      </c>
      <c r="D246" s="56" t="s">
        <v>1244</v>
      </c>
      <c r="E246" s="56">
        <v>1</v>
      </c>
      <c r="F246" s="58" t="s">
        <v>37</v>
      </c>
    </row>
    <row r="247" spans="1:6" ht="15.75" customHeight="1">
      <c r="A247" s="55" t="s">
        <v>1264</v>
      </c>
      <c r="B247" s="56" t="s">
        <v>1246</v>
      </c>
      <c r="C247" s="55" t="s">
        <v>1129</v>
      </c>
      <c r="D247" s="56" t="s">
        <v>251</v>
      </c>
      <c r="E247" s="56">
        <v>1</v>
      </c>
      <c r="F247" s="58" t="s">
        <v>37</v>
      </c>
    </row>
    <row r="248" spans="1:6" ht="15.75" customHeight="1">
      <c r="A248" s="55" t="s">
        <v>1265</v>
      </c>
      <c r="B248" s="56" t="s">
        <v>1224</v>
      </c>
      <c r="C248" s="55" t="s">
        <v>166</v>
      </c>
      <c r="D248" s="56" t="s">
        <v>214</v>
      </c>
      <c r="E248" s="56">
        <v>1</v>
      </c>
      <c r="F248" s="60" t="s">
        <v>33</v>
      </c>
    </row>
    <row r="249" spans="1:6" ht="15.75" customHeight="1">
      <c r="A249" s="55" t="s">
        <v>1265</v>
      </c>
      <c r="B249" s="56" t="s">
        <v>1224</v>
      </c>
      <c r="C249" s="55" t="s">
        <v>166</v>
      </c>
      <c r="D249" s="56" t="s">
        <v>214</v>
      </c>
      <c r="E249" s="56">
        <v>1</v>
      </c>
      <c r="F249" s="60" t="s">
        <v>33</v>
      </c>
    </row>
    <row r="250" spans="1:6" ht="15.75" customHeight="1">
      <c r="A250" s="55" t="s">
        <v>1265</v>
      </c>
      <c r="B250" s="56" t="s">
        <v>1252</v>
      </c>
      <c r="C250" s="55" t="s">
        <v>1137</v>
      </c>
      <c r="D250" s="56" t="s">
        <v>231</v>
      </c>
      <c r="E250" s="56">
        <v>1</v>
      </c>
      <c r="F250" s="61"/>
    </row>
    <row r="251" spans="1:6" ht="15.75" customHeight="1">
      <c r="A251" s="55" t="s">
        <v>1265</v>
      </c>
      <c r="B251" s="56" t="s">
        <v>1229</v>
      </c>
      <c r="C251" s="55" t="s">
        <v>1155</v>
      </c>
      <c r="D251" s="56" t="s">
        <v>275</v>
      </c>
      <c r="E251" s="56">
        <v>1</v>
      </c>
      <c r="F251" s="60" t="s">
        <v>33</v>
      </c>
    </row>
    <row r="252" spans="1:6" ht="15.75" customHeight="1">
      <c r="A252" s="55" t="s">
        <v>1265</v>
      </c>
      <c r="B252" s="56" t="s">
        <v>1234</v>
      </c>
      <c r="C252" s="55" t="s">
        <v>1192</v>
      </c>
      <c r="D252" s="56" t="s">
        <v>214</v>
      </c>
      <c r="E252" s="56">
        <v>1</v>
      </c>
      <c r="F252" s="60" t="s">
        <v>33</v>
      </c>
    </row>
    <row r="253" spans="1:6" ht="15.75" customHeight="1">
      <c r="A253" s="55" t="s">
        <v>1265</v>
      </c>
      <c r="B253" s="56" t="s">
        <v>1243</v>
      </c>
      <c r="C253" s="55" t="s">
        <v>611</v>
      </c>
      <c r="D253" s="56" t="s">
        <v>1244</v>
      </c>
      <c r="E253" s="56">
        <v>1</v>
      </c>
      <c r="F253" s="60" t="s">
        <v>33</v>
      </c>
    </row>
    <row r="254" spans="1:6" ht="15.75" customHeight="1">
      <c r="A254" s="55" t="s">
        <v>1266</v>
      </c>
      <c r="B254" s="56" t="s">
        <v>1228</v>
      </c>
      <c r="C254" s="55" t="s">
        <v>1160</v>
      </c>
      <c r="D254" s="56" t="s">
        <v>509</v>
      </c>
      <c r="E254" s="56">
        <v>1</v>
      </c>
      <c r="F254" s="60" t="s">
        <v>33</v>
      </c>
    </row>
    <row r="255" spans="1:6" ht="15.75" customHeight="1">
      <c r="A255" s="55" t="s">
        <v>1266</v>
      </c>
      <c r="B255" s="56" t="s">
        <v>1248</v>
      </c>
      <c r="C255" s="55" t="s">
        <v>1178</v>
      </c>
      <c r="D255" s="56" t="s">
        <v>241</v>
      </c>
      <c r="E255" s="56">
        <v>1</v>
      </c>
      <c r="F255" s="60" t="s">
        <v>33</v>
      </c>
    </row>
    <row r="256" spans="1:6" ht="15.75" customHeight="1">
      <c r="A256" s="55" t="s">
        <v>1266</v>
      </c>
      <c r="B256" s="56" t="s">
        <v>1236</v>
      </c>
      <c r="C256" s="55" t="s">
        <v>1197</v>
      </c>
      <c r="D256" s="56" t="s">
        <v>452</v>
      </c>
      <c r="E256" s="56">
        <v>1</v>
      </c>
      <c r="F256" s="60" t="s">
        <v>33</v>
      </c>
    </row>
    <row r="257" spans="1:6" ht="15.75" customHeight="1">
      <c r="A257" s="55" t="s">
        <v>296</v>
      </c>
      <c r="B257" s="56" t="s">
        <v>1234</v>
      </c>
      <c r="C257" s="55" t="s">
        <v>296</v>
      </c>
      <c r="D257" s="56" t="s">
        <v>214</v>
      </c>
      <c r="E257" s="56">
        <v>1</v>
      </c>
      <c r="F257" s="57" t="s">
        <v>42</v>
      </c>
    </row>
    <row r="258" spans="1:6" ht="15.75" customHeight="1">
      <c r="A258" s="55" t="s">
        <v>296</v>
      </c>
      <c r="B258" s="56" t="s">
        <v>1235</v>
      </c>
      <c r="C258" s="55" t="s">
        <v>692</v>
      </c>
      <c r="D258" s="56" t="s">
        <v>249</v>
      </c>
      <c r="E258" s="56">
        <v>1</v>
      </c>
      <c r="F258" s="57" t="s">
        <v>42</v>
      </c>
    </row>
    <row r="259" spans="1:6" ht="15.75" customHeight="1">
      <c r="A259" s="55" t="s">
        <v>296</v>
      </c>
      <c r="B259" s="56" t="s">
        <v>1236</v>
      </c>
      <c r="C259" s="55" t="s">
        <v>296</v>
      </c>
      <c r="D259" s="56" t="s">
        <v>452</v>
      </c>
      <c r="E259" s="56">
        <v>1</v>
      </c>
      <c r="F259" s="57" t="s">
        <v>42</v>
      </c>
    </row>
    <row r="260" spans="1:6" ht="15.75" customHeight="1">
      <c r="A260" s="55" t="s">
        <v>1087</v>
      </c>
      <c r="B260" s="56" t="s">
        <v>1224</v>
      </c>
      <c r="C260" s="55" t="s">
        <v>1113</v>
      </c>
      <c r="D260" s="56" t="s">
        <v>214</v>
      </c>
      <c r="E260" s="56">
        <v>1</v>
      </c>
      <c r="F260" s="60" t="s">
        <v>33</v>
      </c>
    </row>
    <row r="261" spans="1:6" ht="15.75" customHeight="1">
      <c r="A261" s="55" t="s">
        <v>1087</v>
      </c>
      <c r="B261" s="56" t="s">
        <v>1225</v>
      </c>
      <c r="C261" s="55" t="s">
        <v>1087</v>
      </c>
      <c r="D261" s="56" t="s">
        <v>518</v>
      </c>
      <c r="E261" s="56">
        <v>2</v>
      </c>
      <c r="F261" s="60" t="s">
        <v>33</v>
      </c>
    </row>
    <row r="262" spans="1:6" ht="15.75" customHeight="1">
      <c r="A262" s="55" t="s">
        <v>1087</v>
      </c>
      <c r="B262" s="56" t="s">
        <v>1252</v>
      </c>
      <c r="C262" s="55" t="s">
        <v>1087</v>
      </c>
      <c r="D262" s="56" t="s">
        <v>231</v>
      </c>
      <c r="E262" s="56">
        <v>1</v>
      </c>
      <c r="F262" s="60" t="s">
        <v>33</v>
      </c>
    </row>
    <row r="263" spans="1:6" ht="15.75" customHeight="1">
      <c r="A263" s="55" t="s">
        <v>1267</v>
      </c>
      <c r="B263" s="56" t="s">
        <v>1229</v>
      </c>
      <c r="C263" s="55" t="s">
        <v>1158</v>
      </c>
      <c r="D263" s="56" t="s">
        <v>275</v>
      </c>
      <c r="E263" s="56">
        <v>1</v>
      </c>
      <c r="F263" s="57" t="s">
        <v>42</v>
      </c>
    </row>
    <row r="264" spans="1:6" ht="15.75" customHeight="1">
      <c r="A264" s="55" t="s">
        <v>1267</v>
      </c>
      <c r="B264" s="56" t="s">
        <v>1257</v>
      </c>
      <c r="C264" s="55" t="s">
        <v>1048</v>
      </c>
      <c r="D264" s="56" t="s">
        <v>256</v>
      </c>
      <c r="E264" s="56">
        <v>1</v>
      </c>
      <c r="F264" s="61"/>
    </row>
    <row r="265" spans="1:6" ht="15.75" customHeight="1">
      <c r="A265" s="55" t="s">
        <v>1268</v>
      </c>
      <c r="B265" s="56" t="s">
        <v>1247</v>
      </c>
      <c r="C265" s="55" t="s">
        <v>1090</v>
      </c>
      <c r="D265" s="56" t="s">
        <v>256</v>
      </c>
      <c r="E265" s="56">
        <v>1</v>
      </c>
      <c r="F265" s="58" t="s">
        <v>37</v>
      </c>
    </row>
    <row r="266" spans="1:6" ht="15.75" customHeight="1">
      <c r="A266" s="55" t="s">
        <v>1268</v>
      </c>
      <c r="B266" s="56" t="s">
        <v>1234</v>
      </c>
      <c r="C266" s="55" t="s">
        <v>1177</v>
      </c>
      <c r="D266" s="56" t="s">
        <v>214</v>
      </c>
      <c r="E266" s="56">
        <v>1</v>
      </c>
      <c r="F266" s="58" t="s">
        <v>37</v>
      </c>
    </row>
    <row r="267" spans="1:6" ht="15.75" customHeight="1">
      <c r="A267" s="55" t="s">
        <v>1269</v>
      </c>
      <c r="B267" s="56" t="s">
        <v>1241</v>
      </c>
      <c r="C267" s="55" t="s">
        <v>1077</v>
      </c>
      <c r="D267" s="56" t="s">
        <v>1233</v>
      </c>
      <c r="E267" s="56">
        <v>1</v>
      </c>
      <c r="F267" s="60" t="s">
        <v>33</v>
      </c>
    </row>
    <row r="268" spans="1:6" ht="15.75" customHeight="1">
      <c r="A268" s="55" t="s">
        <v>62</v>
      </c>
      <c r="B268" s="56" t="s">
        <v>1246</v>
      </c>
      <c r="C268" s="55" t="s">
        <v>1123</v>
      </c>
      <c r="D268" s="56" t="s">
        <v>251</v>
      </c>
      <c r="E268" s="56">
        <v>1</v>
      </c>
      <c r="F268" s="57" t="s">
        <v>42</v>
      </c>
    </row>
    <row r="269" spans="1:6" ht="17.25" customHeight="1">
      <c r="A269" s="76" t="s">
        <v>281</v>
      </c>
      <c r="B269" s="77" t="s">
        <v>1254</v>
      </c>
      <c r="C269" s="78" t="s">
        <v>1058</v>
      </c>
      <c r="D269" s="79">
        <v>0.16669999999999999</v>
      </c>
      <c r="E269" s="56">
        <v>1</v>
      </c>
      <c r="F269" s="61"/>
    </row>
    <row r="270" spans="1:6" ht="17.25" customHeight="1">
      <c r="A270" s="76" t="s">
        <v>281</v>
      </c>
      <c r="B270" s="77" t="s">
        <v>1254</v>
      </c>
      <c r="C270" s="80" t="s">
        <v>1063</v>
      </c>
      <c r="D270" s="81">
        <v>0.16669999999999999</v>
      </c>
      <c r="E270" s="56">
        <v>1</v>
      </c>
      <c r="F270" s="61"/>
    </row>
    <row r="271" spans="1:6" ht="17.25" customHeight="1">
      <c r="A271" s="76" t="s">
        <v>281</v>
      </c>
      <c r="B271" s="82" t="s">
        <v>1249</v>
      </c>
      <c r="C271" s="83" t="s">
        <v>1059</v>
      </c>
      <c r="D271" s="79">
        <v>0.28570000000000001</v>
      </c>
      <c r="E271" s="56">
        <v>2</v>
      </c>
      <c r="F271" s="61"/>
    </row>
    <row r="272" spans="1:6" ht="17.25" customHeight="1">
      <c r="A272" s="76" t="s">
        <v>281</v>
      </c>
      <c r="B272" s="82" t="s">
        <v>1249</v>
      </c>
      <c r="C272" s="83" t="s">
        <v>1064</v>
      </c>
      <c r="D272" s="79">
        <v>0.1429</v>
      </c>
      <c r="E272" s="56">
        <v>1</v>
      </c>
      <c r="F272" s="61"/>
    </row>
    <row r="273" spans="1:6" ht="17.25" customHeight="1">
      <c r="A273" s="76" t="s">
        <v>281</v>
      </c>
      <c r="B273" s="82" t="s">
        <v>1257</v>
      </c>
      <c r="C273" s="83" t="s">
        <v>74</v>
      </c>
      <c r="D273" s="79">
        <v>6.6699999999999995E-2</v>
      </c>
      <c r="E273" s="56">
        <v>1</v>
      </c>
      <c r="F273" s="61"/>
    </row>
    <row r="274" spans="1:6" ht="17.25" customHeight="1">
      <c r="A274" s="76" t="s">
        <v>281</v>
      </c>
      <c r="B274" s="82" t="s">
        <v>1257</v>
      </c>
      <c r="C274" s="83" t="s">
        <v>1065</v>
      </c>
      <c r="D274" s="79">
        <v>6.6699999999999995E-2</v>
      </c>
      <c r="E274" s="56">
        <v>1</v>
      </c>
      <c r="F274" s="61"/>
    </row>
  </sheetData>
  <autoFilter ref="A1:F268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"/>
  <sheetViews>
    <sheetView zoomScale="70" zoomScaleNormal="70" workbookViewId="0">
      <selection activeCell="G44" sqref="G44"/>
    </sheetView>
  </sheetViews>
  <sheetFormatPr defaultColWidth="8.6640625" defaultRowHeight="14.4"/>
  <cols>
    <col min="1" max="1" width="22" style="150" customWidth="1"/>
    <col min="2" max="2" width="7" style="150" customWidth="1"/>
    <col min="3" max="3" width="9" style="150" customWidth="1"/>
    <col min="4" max="4" width="22" style="150" customWidth="1"/>
    <col min="5" max="5" width="8" style="150" customWidth="1"/>
    <col min="6" max="6" width="9" style="150" customWidth="1"/>
    <col min="7" max="7" width="22" style="150" customWidth="1"/>
    <col min="8" max="8" width="7" style="150" customWidth="1"/>
    <col min="9" max="9" width="9" style="150" customWidth="1"/>
    <col min="10" max="10" width="22" style="150" customWidth="1"/>
    <col min="11" max="11" width="8" style="150" customWidth="1"/>
    <col min="12" max="12" width="9" style="150" customWidth="1"/>
    <col min="13" max="13" width="22" style="150" customWidth="1"/>
    <col min="14" max="14" width="7" style="150" customWidth="1"/>
    <col min="15" max="15" width="9" style="150" customWidth="1"/>
    <col min="16" max="16" width="22" style="150" customWidth="1"/>
    <col min="17" max="17" width="7" style="150" customWidth="1"/>
    <col min="18" max="18" width="9" style="150" customWidth="1"/>
    <col min="19" max="19" width="22" style="150" customWidth="1"/>
    <col min="20" max="20" width="7" style="150" customWidth="1"/>
    <col min="21" max="21" width="9" style="150" customWidth="1"/>
  </cols>
  <sheetData>
    <row r="1" spans="1:21" ht="21.75" customHeight="1">
      <c r="A1" s="1" t="s">
        <v>0</v>
      </c>
      <c r="B1" s="2">
        <v>4</v>
      </c>
      <c r="C1" s="159" t="s">
        <v>1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</row>
    <row r="2" spans="1:21" ht="15.75" customHeight="1">
      <c r="A2" s="3" t="s">
        <v>2</v>
      </c>
      <c r="B2" s="3" t="s">
        <v>3</v>
      </c>
      <c r="C2" s="3" t="s">
        <v>4</v>
      </c>
      <c r="D2" s="3" t="s">
        <v>2</v>
      </c>
      <c r="E2" s="3" t="s">
        <v>3</v>
      </c>
      <c r="F2" s="3" t="s">
        <v>4</v>
      </c>
      <c r="G2" s="3" t="s">
        <v>2</v>
      </c>
      <c r="H2" s="3" t="s">
        <v>3</v>
      </c>
      <c r="I2" s="3" t="s">
        <v>4</v>
      </c>
      <c r="J2" s="3" t="s">
        <v>2</v>
      </c>
      <c r="K2" s="3" t="s">
        <v>3</v>
      </c>
      <c r="L2" s="3" t="s">
        <v>4</v>
      </c>
      <c r="M2" s="3" t="s">
        <v>2</v>
      </c>
      <c r="N2" s="3" t="s">
        <v>3</v>
      </c>
      <c r="O2" s="3" t="s">
        <v>4</v>
      </c>
      <c r="P2" s="3" t="s">
        <v>2</v>
      </c>
      <c r="Q2" s="3" t="s">
        <v>3</v>
      </c>
      <c r="R2" s="3" t="s">
        <v>4</v>
      </c>
      <c r="S2" s="3" t="s">
        <v>2</v>
      </c>
      <c r="T2" s="3" t="s">
        <v>3</v>
      </c>
      <c r="U2" s="3" t="s">
        <v>4</v>
      </c>
    </row>
    <row r="3" spans="1:21" ht="15.75" customHeight="1">
      <c r="A3" s="4" t="str">
        <f>IF(1&lt;=DAY(EOMONTH(DATE(2026,$B$1,1),0)),$B$1&amp;"월 1일","")</f>
        <v>4월 1일</v>
      </c>
      <c r="B3" s="5"/>
      <c r="C3" s="6"/>
      <c r="D3" s="4" t="str">
        <f>IF(2&lt;=DAY(EOMONTH(DATE(2026,$B$1,1),0)),$B$1&amp;"월 2일","")</f>
        <v>4월 2일</v>
      </c>
      <c r="E3" s="5"/>
      <c r="F3" s="6"/>
      <c r="G3" s="4" t="str">
        <f>IF(3&lt;=DAY(EOMONTH(DATE(2026,$B$1,1),0)),$B$1&amp;"월 3일","")</f>
        <v>4월 3일</v>
      </c>
      <c r="H3" s="5"/>
      <c r="I3" s="6"/>
      <c r="J3" s="4" t="str">
        <f>IF(4&lt;=DAY(EOMONTH(DATE(2026,$B$1,1),0)),$B$1&amp;"월 4일","")</f>
        <v>4월 4일</v>
      </c>
      <c r="K3" s="5"/>
      <c r="L3" s="6"/>
      <c r="M3" s="4" t="str">
        <f>IF(5&lt;=DAY(EOMONTH(DATE(2026,$B$1,1),0)),$B$1&amp;"월 5일","")</f>
        <v>4월 5일</v>
      </c>
      <c r="N3" s="5"/>
      <c r="O3" s="6"/>
      <c r="P3" s="4" t="str">
        <f>IF(6&lt;=DAY(EOMONTH(DATE(2026,$B$1,1),0)),$B$1&amp;"월 6일","")</f>
        <v>4월 6일</v>
      </c>
      <c r="Q3" s="5"/>
      <c r="R3" s="6"/>
      <c r="S3" s="4" t="str">
        <f>IF(7&lt;=DAY(EOMONTH(DATE(2026,$B$1,1),0)),$B$1&amp;"월 7일","")</f>
        <v>4월 7일</v>
      </c>
      <c r="T3" s="5"/>
      <c r="U3" s="6"/>
    </row>
    <row r="4" spans="1:21" ht="15.75" customHeight="1">
      <c r="A4" s="84" t="s">
        <v>1270</v>
      </c>
      <c r="B4" s="85">
        <v>2.7E-2</v>
      </c>
      <c r="C4" s="86" t="s">
        <v>33</v>
      </c>
      <c r="D4" s="7" t="s">
        <v>1271</v>
      </c>
      <c r="E4" s="8">
        <v>2.5999999999999999E-2</v>
      </c>
      <c r="F4" s="9" t="s">
        <v>33</v>
      </c>
      <c r="G4" s="7" t="s">
        <v>48</v>
      </c>
      <c r="H4" s="8">
        <v>5.8799999999999998E-2</v>
      </c>
      <c r="I4" s="9" t="s">
        <v>27</v>
      </c>
      <c r="J4" s="7" t="s">
        <v>1272</v>
      </c>
      <c r="K4" s="8">
        <v>0.2</v>
      </c>
      <c r="L4" s="9" t="s">
        <v>37</v>
      </c>
      <c r="M4" s="7" t="s">
        <v>1271</v>
      </c>
      <c r="N4" s="8">
        <v>6.8199999999999997E-2</v>
      </c>
      <c r="O4" s="9" t="s">
        <v>33</v>
      </c>
      <c r="P4" s="7" t="s">
        <v>1271</v>
      </c>
      <c r="Q4" s="8">
        <v>3.39E-2</v>
      </c>
      <c r="R4" s="9" t="s">
        <v>33</v>
      </c>
      <c r="S4" s="10" t="s">
        <v>1273</v>
      </c>
      <c r="T4" s="8">
        <v>1.5900000000000001E-2</v>
      </c>
      <c r="U4" s="9" t="s">
        <v>37</v>
      </c>
    </row>
    <row r="5" spans="1:21" ht="15.75" customHeight="1">
      <c r="A5" s="84" t="s">
        <v>1274</v>
      </c>
      <c r="B5" s="85">
        <v>2.7E-2</v>
      </c>
      <c r="C5" s="86" t="s">
        <v>33</v>
      </c>
      <c r="D5" s="10" t="s">
        <v>1275</v>
      </c>
      <c r="E5" s="8">
        <v>1.2999999999999999E-2</v>
      </c>
      <c r="F5" s="9" t="s">
        <v>33</v>
      </c>
      <c r="G5" s="7" t="s">
        <v>1271</v>
      </c>
      <c r="H5" s="8">
        <v>5.8799999999999998E-2</v>
      </c>
      <c r="I5" s="9" t="s">
        <v>33</v>
      </c>
      <c r="J5" s="7" t="s">
        <v>1276</v>
      </c>
      <c r="K5" s="8">
        <v>0.2</v>
      </c>
      <c r="L5" s="9" t="s">
        <v>33</v>
      </c>
      <c r="M5" s="7" t="s">
        <v>48</v>
      </c>
      <c r="N5" s="8">
        <v>4.5499999999999999E-2</v>
      </c>
      <c r="O5" s="9" t="s">
        <v>27</v>
      </c>
      <c r="P5" s="7" t="s">
        <v>48</v>
      </c>
      <c r="Q5" s="8">
        <v>1.6899999999999998E-2</v>
      </c>
      <c r="R5" s="9" t="s">
        <v>27</v>
      </c>
      <c r="S5" s="7" t="s">
        <v>1277</v>
      </c>
      <c r="T5" s="8">
        <v>1.5900000000000001E-2</v>
      </c>
      <c r="U5" s="9" t="s">
        <v>33</v>
      </c>
    </row>
    <row r="6" spans="1:21" ht="15.75" customHeight="1">
      <c r="A6" s="84" t="s">
        <v>1278</v>
      </c>
      <c r="B6" s="85">
        <v>2.7E-2</v>
      </c>
      <c r="C6" s="86" t="s">
        <v>27</v>
      </c>
      <c r="D6" s="7" t="s">
        <v>1279</v>
      </c>
      <c r="E6" s="8">
        <v>1.2999999999999999E-2</v>
      </c>
      <c r="F6" s="9" t="s">
        <v>37</v>
      </c>
      <c r="G6" s="10" t="s">
        <v>1280</v>
      </c>
      <c r="H6" s="8">
        <v>2.9399999999999999E-2</v>
      </c>
      <c r="I6" s="9" t="s">
        <v>33</v>
      </c>
      <c r="J6" s="7" t="s">
        <v>43</v>
      </c>
      <c r="K6" s="8">
        <v>0.2</v>
      </c>
      <c r="L6" s="9" t="s">
        <v>37</v>
      </c>
      <c r="M6" s="7" t="s">
        <v>1047</v>
      </c>
      <c r="N6" s="8">
        <v>4.5499999999999999E-2</v>
      </c>
      <c r="O6" s="9" t="s">
        <v>33</v>
      </c>
      <c r="P6" s="7" t="s">
        <v>1281</v>
      </c>
      <c r="Q6" s="8">
        <v>1.6899999999999998E-2</v>
      </c>
      <c r="R6" s="9" t="s">
        <v>33</v>
      </c>
      <c r="S6" s="7" t="s">
        <v>1282</v>
      </c>
      <c r="T6" s="8">
        <v>1.5900000000000001E-2</v>
      </c>
      <c r="U6" s="9" t="s">
        <v>37</v>
      </c>
    </row>
    <row r="7" spans="1:21" ht="15.75" customHeight="1">
      <c r="A7" s="84" t="s">
        <v>1283</v>
      </c>
      <c r="B7" s="85">
        <v>2.7E-2</v>
      </c>
      <c r="C7" s="86" t="s">
        <v>42</v>
      </c>
      <c r="D7" s="7" t="s">
        <v>43</v>
      </c>
      <c r="E7" s="8">
        <v>1.2999999999999999E-2</v>
      </c>
      <c r="F7" s="9" t="s">
        <v>37</v>
      </c>
      <c r="G7" s="7" t="s">
        <v>1284</v>
      </c>
      <c r="H7" s="8">
        <v>2.9399999999999999E-2</v>
      </c>
      <c r="I7" s="9" t="s">
        <v>42</v>
      </c>
      <c r="J7" s="10"/>
      <c r="K7" s="12"/>
      <c r="L7" s="9"/>
      <c r="M7" s="7" t="s">
        <v>1096</v>
      </c>
      <c r="N7" s="8">
        <v>2.2700000000000001E-2</v>
      </c>
      <c r="O7" s="9" t="s">
        <v>33</v>
      </c>
      <c r="P7" s="7" t="s">
        <v>1285</v>
      </c>
      <c r="Q7" s="8">
        <v>1.6899999999999998E-2</v>
      </c>
      <c r="R7" s="9" t="s">
        <v>33</v>
      </c>
      <c r="S7" s="7" t="s">
        <v>1286</v>
      </c>
      <c r="T7" s="8">
        <v>1.5900000000000001E-2</v>
      </c>
      <c r="U7" s="9" t="s">
        <v>33</v>
      </c>
    </row>
    <row r="8" spans="1:21" ht="15.75" customHeight="1">
      <c r="A8" s="84" t="s">
        <v>1287</v>
      </c>
      <c r="B8" s="85">
        <v>2.7E-2</v>
      </c>
      <c r="C8" s="86" t="s">
        <v>42</v>
      </c>
      <c r="D8" s="7" t="s">
        <v>1286</v>
      </c>
      <c r="E8" s="8">
        <v>1.2999999999999999E-2</v>
      </c>
      <c r="F8" s="9" t="s">
        <v>33</v>
      </c>
      <c r="G8" s="7" t="s">
        <v>1288</v>
      </c>
      <c r="H8" s="8">
        <v>2.9399999999999999E-2</v>
      </c>
      <c r="I8" s="9" t="s">
        <v>33</v>
      </c>
      <c r="J8" s="10"/>
      <c r="K8" s="12"/>
      <c r="L8" s="9"/>
      <c r="M8" s="7" t="s">
        <v>1281</v>
      </c>
      <c r="N8" s="8">
        <v>2.2700000000000001E-2</v>
      </c>
      <c r="O8" s="9" t="s">
        <v>33</v>
      </c>
      <c r="P8" s="7" t="s">
        <v>1289</v>
      </c>
      <c r="Q8" s="8">
        <v>1.6899999999999998E-2</v>
      </c>
      <c r="R8" s="9" t="s">
        <v>33</v>
      </c>
      <c r="S8" s="7" t="s">
        <v>1290</v>
      </c>
      <c r="T8" s="8">
        <v>1.5900000000000001E-2</v>
      </c>
      <c r="U8" s="9" t="s">
        <v>42</v>
      </c>
    </row>
    <row r="9" spans="1:21" ht="15.75" customHeight="1">
      <c r="A9" s="84" t="s">
        <v>1291</v>
      </c>
      <c r="B9" s="85">
        <v>2.7E-2</v>
      </c>
      <c r="C9" s="86" t="s">
        <v>33</v>
      </c>
      <c r="D9" s="7" t="s">
        <v>166</v>
      </c>
      <c r="E9" s="8">
        <v>1.2999999999999999E-2</v>
      </c>
      <c r="F9" s="9" t="s">
        <v>33</v>
      </c>
      <c r="G9" s="7" t="s">
        <v>1292</v>
      </c>
      <c r="H9" s="8">
        <v>2.9399999999999999E-2</v>
      </c>
      <c r="I9" s="9" t="s">
        <v>37</v>
      </c>
      <c r="J9" s="10"/>
      <c r="K9" s="12"/>
      <c r="L9" s="9"/>
      <c r="M9" s="7" t="s">
        <v>1293</v>
      </c>
      <c r="N9" s="8">
        <v>2.2700000000000001E-2</v>
      </c>
      <c r="O9" s="9" t="s">
        <v>33</v>
      </c>
      <c r="P9" s="7" t="s">
        <v>1047</v>
      </c>
      <c r="Q9" s="8">
        <v>1.6899999999999998E-2</v>
      </c>
      <c r="R9" s="9" t="s">
        <v>33</v>
      </c>
      <c r="S9" s="7" t="s">
        <v>1077</v>
      </c>
      <c r="T9" s="8">
        <v>1.5900000000000001E-2</v>
      </c>
      <c r="U9" s="9" t="s">
        <v>33</v>
      </c>
    </row>
    <row r="10" spans="1:21" ht="15.75" customHeight="1">
      <c r="A10" s="84" t="s">
        <v>1271</v>
      </c>
      <c r="B10" s="85">
        <v>2.7E-2</v>
      </c>
      <c r="C10" s="86" t="s">
        <v>33</v>
      </c>
      <c r="D10" s="7" t="s">
        <v>1294</v>
      </c>
      <c r="E10" s="8">
        <v>1.2999999999999999E-2</v>
      </c>
      <c r="F10" s="9" t="s">
        <v>33</v>
      </c>
      <c r="G10" s="7" t="s">
        <v>1295</v>
      </c>
      <c r="H10" s="8">
        <v>2.9399999999999999E-2</v>
      </c>
      <c r="I10" s="9" t="s">
        <v>33</v>
      </c>
      <c r="J10" s="10"/>
      <c r="K10" s="12"/>
      <c r="L10" s="9"/>
      <c r="M10" s="7" t="s">
        <v>1296</v>
      </c>
      <c r="N10" s="8">
        <v>2.2700000000000001E-2</v>
      </c>
      <c r="O10" s="9" t="s">
        <v>33</v>
      </c>
      <c r="P10" s="7" t="s">
        <v>1297</v>
      </c>
      <c r="Q10" s="8">
        <v>1.6899999999999998E-2</v>
      </c>
      <c r="R10" s="9" t="s">
        <v>42</v>
      </c>
      <c r="S10" s="7" t="s">
        <v>611</v>
      </c>
      <c r="T10" s="8">
        <v>1.5900000000000001E-2</v>
      </c>
      <c r="U10" s="9" t="s">
        <v>33</v>
      </c>
    </row>
    <row r="11" spans="1:21" ht="15.75" customHeight="1">
      <c r="A11" s="84" t="s">
        <v>1298</v>
      </c>
      <c r="B11" s="85">
        <v>2.7E-2</v>
      </c>
      <c r="C11" s="86" t="s">
        <v>33</v>
      </c>
      <c r="D11" s="7" t="s">
        <v>1299</v>
      </c>
      <c r="E11" s="8">
        <v>1.2999999999999999E-2</v>
      </c>
      <c r="F11" s="9" t="s">
        <v>33</v>
      </c>
      <c r="G11" s="10" t="s">
        <v>1300</v>
      </c>
      <c r="H11" s="8">
        <v>2.9399999999999999E-2</v>
      </c>
      <c r="I11" s="9" t="s">
        <v>35</v>
      </c>
      <c r="J11" s="10"/>
      <c r="K11" s="12"/>
      <c r="L11" s="9"/>
      <c r="M11" s="7" t="s">
        <v>1301</v>
      </c>
      <c r="N11" s="8">
        <v>2.2700000000000001E-2</v>
      </c>
      <c r="O11" s="9" t="s">
        <v>33</v>
      </c>
      <c r="P11" s="7" t="s">
        <v>1302</v>
      </c>
      <c r="Q11" s="8">
        <v>1.6899999999999998E-2</v>
      </c>
      <c r="R11" s="9" t="s">
        <v>42</v>
      </c>
      <c r="S11" s="7" t="s">
        <v>1281</v>
      </c>
      <c r="T11" s="8">
        <v>1.5900000000000001E-2</v>
      </c>
      <c r="U11" s="9" t="s">
        <v>33</v>
      </c>
    </row>
    <row r="12" spans="1:21" ht="15.75" customHeight="1">
      <c r="A12" s="84" t="s">
        <v>1303</v>
      </c>
      <c r="B12" s="85">
        <v>2.7E-2</v>
      </c>
      <c r="C12" s="86" t="s">
        <v>33</v>
      </c>
      <c r="D12" s="10" t="s">
        <v>871</v>
      </c>
      <c r="E12" s="8">
        <v>2.5999999999999999E-2</v>
      </c>
      <c r="F12" s="9" t="s">
        <v>37</v>
      </c>
      <c r="G12" s="7" t="s">
        <v>1304</v>
      </c>
      <c r="H12" s="8">
        <v>2.9399999999999999E-2</v>
      </c>
      <c r="I12" s="9" t="s">
        <v>42</v>
      </c>
      <c r="J12" s="10"/>
      <c r="K12" s="12"/>
      <c r="L12" s="9"/>
      <c r="M12" s="7" t="s">
        <v>1305</v>
      </c>
      <c r="N12" s="8">
        <v>2.2700000000000001E-2</v>
      </c>
      <c r="O12" s="9" t="s">
        <v>33</v>
      </c>
      <c r="P12" s="7" t="s">
        <v>177</v>
      </c>
      <c r="Q12" s="8">
        <v>1.6899999999999998E-2</v>
      </c>
      <c r="R12" s="9" t="s">
        <v>37</v>
      </c>
      <c r="S12" s="7" t="s">
        <v>1306</v>
      </c>
      <c r="T12" s="8">
        <v>1.5900000000000001E-2</v>
      </c>
      <c r="U12" s="9" t="s">
        <v>33</v>
      </c>
    </row>
    <row r="13" spans="1:21" ht="15.75" customHeight="1">
      <c r="A13" s="84" t="s">
        <v>30</v>
      </c>
      <c r="B13" s="85">
        <v>0.1081</v>
      </c>
      <c r="C13" s="86" t="s">
        <v>37</v>
      </c>
      <c r="D13" s="10" t="s">
        <v>1143</v>
      </c>
      <c r="E13" s="8">
        <v>1.2999999999999999E-2</v>
      </c>
      <c r="F13" s="9" t="s">
        <v>37</v>
      </c>
      <c r="G13" s="7" t="s">
        <v>1307</v>
      </c>
      <c r="H13" s="8">
        <v>2.9399999999999999E-2</v>
      </c>
      <c r="I13" s="9" t="s">
        <v>37</v>
      </c>
      <c r="J13" s="10"/>
      <c r="K13" s="12"/>
      <c r="L13" s="9"/>
      <c r="M13" s="7" t="s">
        <v>1308</v>
      </c>
      <c r="N13" s="8">
        <v>2.2700000000000001E-2</v>
      </c>
      <c r="O13" s="9" t="s">
        <v>33</v>
      </c>
      <c r="P13" s="7" t="s">
        <v>1309</v>
      </c>
      <c r="Q13" s="8">
        <v>1.6899999999999998E-2</v>
      </c>
      <c r="R13" s="9" t="s">
        <v>42</v>
      </c>
      <c r="S13" s="7" t="s">
        <v>1310</v>
      </c>
      <c r="T13" s="8">
        <v>1.5900000000000001E-2</v>
      </c>
      <c r="U13" s="9" t="s">
        <v>42</v>
      </c>
    </row>
    <row r="14" spans="1:21" ht="15.75" customHeight="1">
      <c r="A14" s="84" t="s">
        <v>1311</v>
      </c>
      <c r="B14" s="85">
        <v>2.7E-2</v>
      </c>
      <c r="C14" s="86" t="s">
        <v>37</v>
      </c>
      <c r="D14" s="7" t="s">
        <v>1312</v>
      </c>
      <c r="E14" s="8">
        <v>1.2999999999999999E-2</v>
      </c>
      <c r="F14" s="9" t="s">
        <v>37</v>
      </c>
      <c r="G14" s="7" t="s">
        <v>1313</v>
      </c>
      <c r="H14" s="8">
        <v>2.9399999999999999E-2</v>
      </c>
      <c r="I14" s="9" t="s">
        <v>42</v>
      </c>
      <c r="J14" s="10"/>
      <c r="K14" s="12"/>
      <c r="L14" s="9"/>
      <c r="M14" s="7" t="s">
        <v>1314</v>
      </c>
      <c r="N14" s="8">
        <v>2.2700000000000001E-2</v>
      </c>
      <c r="O14" s="9" t="s">
        <v>33</v>
      </c>
      <c r="P14" s="7" t="s">
        <v>128</v>
      </c>
      <c r="Q14" s="8">
        <v>1.6899999999999998E-2</v>
      </c>
      <c r="R14" s="9" t="s">
        <v>42</v>
      </c>
      <c r="S14" s="7" t="s">
        <v>1315</v>
      </c>
      <c r="T14" s="8">
        <v>1.5900000000000001E-2</v>
      </c>
      <c r="U14" s="9" t="s">
        <v>33</v>
      </c>
    </row>
    <row r="15" spans="1:21" ht="15.75" customHeight="1">
      <c r="A15" s="84" t="s">
        <v>30</v>
      </c>
      <c r="B15" s="85">
        <v>8.1100000000000005E-2</v>
      </c>
      <c r="C15" s="86" t="s">
        <v>37</v>
      </c>
      <c r="D15" s="7" t="s">
        <v>1316</v>
      </c>
      <c r="E15" s="8">
        <v>1.2999999999999999E-2</v>
      </c>
      <c r="F15" s="9" t="s">
        <v>37</v>
      </c>
      <c r="G15" s="7" t="s">
        <v>1317</v>
      </c>
      <c r="H15" s="8">
        <v>2.9399999999999999E-2</v>
      </c>
      <c r="I15" s="9" t="s">
        <v>42</v>
      </c>
      <c r="J15" s="10"/>
      <c r="K15" s="12"/>
      <c r="L15" s="9"/>
      <c r="M15" s="7" t="s">
        <v>1318</v>
      </c>
      <c r="N15" s="8">
        <v>2.2700000000000001E-2</v>
      </c>
      <c r="O15" s="9" t="s">
        <v>37</v>
      </c>
      <c r="P15" s="7" t="s">
        <v>1319</v>
      </c>
      <c r="Q15" s="8">
        <v>1.6899999999999998E-2</v>
      </c>
      <c r="R15" s="9" t="s">
        <v>33</v>
      </c>
      <c r="S15" s="10" t="s">
        <v>1320</v>
      </c>
      <c r="T15" s="8">
        <v>1.5900000000000001E-2</v>
      </c>
      <c r="U15" s="9" t="s">
        <v>37</v>
      </c>
    </row>
    <row r="16" spans="1:21" ht="15.75" customHeight="1">
      <c r="A16" s="84" t="s">
        <v>1321</v>
      </c>
      <c r="B16" s="85">
        <v>2.7E-2</v>
      </c>
      <c r="C16" s="86" t="s">
        <v>33</v>
      </c>
      <c r="D16" s="7" t="s">
        <v>611</v>
      </c>
      <c r="E16" s="8">
        <v>1.2999999999999999E-2</v>
      </c>
      <c r="F16" s="9" t="s">
        <v>33</v>
      </c>
      <c r="G16" s="7" t="s">
        <v>1322</v>
      </c>
      <c r="H16" s="8">
        <v>2.9399999999999999E-2</v>
      </c>
      <c r="I16" s="9" t="s">
        <v>42</v>
      </c>
      <c r="J16" s="10"/>
      <c r="K16" s="12"/>
      <c r="L16" s="9"/>
      <c r="M16" s="7" t="s">
        <v>1323</v>
      </c>
      <c r="N16" s="8">
        <v>2.2700000000000001E-2</v>
      </c>
      <c r="O16" s="9" t="s">
        <v>37</v>
      </c>
      <c r="P16" s="7" t="s">
        <v>1324</v>
      </c>
      <c r="Q16" s="8">
        <v>1.6899999999999998E-2</v>
      </c>
      <c r="R16" s="9" t="s">
        <v>33</v>
      </c>
      <c r="S16" s="10" t="s">
        <v>1325</v>
      </c>
      <c r="T16" s="8">
        <v>1.5900000000000001E-2</v>
      </c>
      <c r="U16" s="9" t="s">
        <v>33</v>
      </c>
    </row>
    <row r="17" spans="1:21" ht="15.75" customHeight="1">
      <c r="A17" s="84" t="s">
        <v>1326</v>
      </c>
      <c r="B17" s="85">
        <v>2.7E-2</v>
      </c>
      <c r="C17" s="86" t="s">
        <v>33</v>
      </c>
      <c r="D17" s="7" t="s">
        <v>1327</v>
      </c>
      <c r="E17" s="8">
        <v>1.2999999999999999E-2</v>
      </c>
      <c r="F17" s="9" t="s">
        <v>33</v>
      </c>
      <c r="G17" s="7" t="s">
        <v>1328</v>
      </c>
      <c r="H17" s="8">
        <v>2.9399999999999999E-2</v>
      </c>
      <c r="I17" s="9" t="s">
        <v>37</v>
      </c>
      <c r="J17" s="10"/>
      <c r="K17" s="12"/>
      <c r="L17" s="9"/>
      <c r="M17" s="7" t="s">
        <v>1329</v>
      </c>
      <c r="N17" s="8">
        <v>4.5499999999999999E-2</v>
      </c>
      <c r="O17" s="9" t="s">
        <v>37</v>
      </c>
      <c r="P17" s="10"/>
      <c r="Q17" s="12"/>
      <c r="R17" s="9"/>
      <c r="S17" s="7" t="s">
        <v>1330</v>
      </c>
      <c r="T17" s="8">
        <v>1.5900000000000001E-2</v>
      </c>
      <c r="U17" s="9" t="s">
        <v>27</v>
      </c>
    </row>
    <row r="18" spans="1:21" ht="15.75" customHeight="1">
      <c r="A18" s="10"/>
      <c r="B18" s="12"/>
      <c r="C18" s="9"/>
      <c r="D18" s="7" t="s">
        <v>1331</v>
      </c>
      <c r="E18" s="8">
        <v>1.2999999999999999E-2</v>
      </c>
      <c r="F18" s="9" t="s">
        <v>42</v>
      </c>
      <c r="G18" s="10" t="s">
        <v>1332</v>
      </c>
      <c r="H18" s="8">
        <v>2.9399999999999999E-2</v>
      </c>
      <c r="I18" s="9" t="s">
        <v>37</v>
      </c>
      <c r="J18" s="10"/>
      <c r="K18" s="12"/>
      <c r="L18" s="9"/>
      <c r="M18" s="10" t="s">
        <v>1333</v>
      </c>
      <c r="N18" s="8">
        <v>2.2700000000000001E-2</v>
      </c>
      <c r="O18" s="9" t="s">
        <v>33</v>
      </c>
      <c r="P18" s="10"/>
      <c r="Q18" s="12"/>
      <c r="R18" s="9"/>
      <c r="S18" s="7" t="s">
        <v>1334</v>
      </c>
      <c r="T18" s="8">
        <v>1.5900000000000001E-2</v>
      </c>
      <c r="U18" s="9" t="s">
        <v>37</v>
      </c>
    </row>
    <row r="19" spans="1:21" ht="15.75" customHeight="1">
      <c r="A19" s="10"/>
      <c r="B19" s="12"/>
      <c r="C19" s="9"/>
      <c r="D19" s="10" t="s">
        <v>1335</v>
      </c>
      <c r="E19" s="8">
        <v>2.5999999999999999E-2</v>
      </c>
      <c r="F19" s="9" t="s">
        <v>33</v>
      </c>
      <c r="G19" s="10"/>
      <c r="H19" s="12"/>
      <c r="I19" s="9"/>
      <c r="J19" s="10"/>
      <c r="K19" s="12"/>
      <c r="L19" s="9"/>
      <c r="M19" s="7" t="s">
        <v>1336</v>
      </c>
      <c r="N19" s="8">
        <v>2.2700000000000001E-2</v>
      </c>
      <c r="O19" s="9" t="s">
        <v>33</v>
      </c>
      <c r="P19" s="10"/>
      <c r="Q19" s="12"/>
      <c r="R19" s="9"/>
      <c r="S19" s="7" t="s">
        <v>1337</v>
      </c>
      <c r="T19" s="8">
        <v>1.5900000000000001E-2</v>
      </c>
      <c r="U19" s="9" t="s">
        <v>33</v>
      </c>
    </row>
    <row r="20" spans="1:21" ht="15.75" customHeight="1">
      <c r="A20" s="10"/>
      <c r="B20" s="12"/>
      <c r="C20" s="9"/>
      <c r="D20" s="7" t="s">
        <v>30</v>
      </c>
      <c r="E20" s="8">
        <v>1.2999999999999999E-2</v>
      </c>
      <c r="F20" s="9" t="s">
        <v>37</v>
      </c>
      <c r="G20" s="10"/>
      <c r="H20" s="12"/>
      <c r="I20" s="9"/>
      <c r="J20" s="10"/>
      <c r="K20" s="12"/>
      <c r="L20" s="9"/>
      <c r="M20" s="10"/>
      <c r="N20" s="12"/>
      <c r="O20" s="9"/>
      <c r="P20" s="10"/>
      <c r="Q20" s="12"/>
      <c r="R20" s="9"/>
      <c r="S20" s="7" t="s">
        <v>1338</v>
      </c>
      <c r="T20" s="8">
        <v>1.5900000000000001E-2</v>
      </c>
      <c r="U20" s="9" t="s">
        <v>42</v>
      </c>
    </row>
    <row r="21" spans="1:21" ht="15.75" customHeight="1">
      <c r="A21" s="10"/>
      <c r="B21" s="12"/>
      <c r="C21" s="9"/>
      <c r="D21" s="10"/>
      <c r="E21" s="12"/>
      <c r="F21" s="9"/>
      <c r="G21" s="10"/>
      <c r="H21" s="12"/>
      <c r="I21" s="9"/>
      <c r="J21" s="10"/>
      <c r="K21" s="12"/>
      <c r="L21" s="9"/>
      <c r="M21" s="10"/>
      <c r="N21" s="12"/>
      <c r="O21" s="9"/>
      <c r="P21" s="10"/>
      <c r="Q21" s="12"/>
      <c r="R21" s="9"/>
      <c r="S21" s="7" t="s">
        <v>1271</v>
      </c>
      <c r="T21" s="8">
        <v>1.5900000000000001E-2</v>
      </c>
      <c r="U21" s="9" t="s">
        <v>33</v>
      </c>
    </row>
    <row r="22" spans="1:21" ht="15.75" customHeight="1">
      <c r="A22" s="10"/>
      <c r="B22" s="12"/>
      <c r="C22" s="9"/>
      <c r="D22" s="10"/>
      <c r="E22" s="12"/>
      <c r="F22" s="9"/>
      <c r="G22" s="10"/>
      <c r="H22" s="12"/>
      <c r="I22" s="9"/>
      <c r="J22" s="10"/>
      <c r="K22" s="12"/>
      <c r="L22" s="9"/>
      <c r="M22" s="10"/>
      <c r="N22" s="12"/>
      <c r="O22" s="9"/>
      <c r="P22" s="10"/>
      <c r="Q22" s="12"/>
      <c r="R22" s="9"/>
      <c r="S22" s="7" t="s">
        <v>1339</v>
      </c>
      <c r="T22" s="8">
        <v>1.5900000000000001E-2</v>
      </c>
      <c r="U22" s="9" t="s">
        <v>42</v>
      </c>
    </row>
    <row r="23" spans="1:21" ht="15.75" customHeight="1">
      <c r="A23" s="16"/>
      <c r="B23" s="17"/>
      <c r="C23" s="18"/>
      <c r="D23" s="16"/>
      <c r="E23" s="17"/>
      <c r="F23" s="18"/>
      <c r="G23" s="16"/>
      <c r="H23" s="17"/>
      <c r="I23" s="18"/>
      <c r="J23" s="16"/>
      <c r="K23" s="17"/>
      <c r="L23" s="18"/>
      <c r="M23" s="16"/>
      <c r="N23" s="17"/>
      <c r="O23" s="18"/>
      <c r="P23" s="16"/>
      <c r="Q23" s="17"/>
      <c r="R23" s="18"/>
      <c r="S23" s="32" t="s">
        <v>30</v>
      </c>
      <c r="T23" s="19">
        <v>1.5900000000000001E-2</v>
      </c>
      <c r="U23" s="18" t="s">
        <v>37</v>
      </c>
    </row>
    <row r="24" spans="1:21" ht="15.75" customHeight="1">
      <c r="A24" s="16"/>
      <c r="B24" s="17"/>
      <c r="C24" s="18"/>
      <c r="D24" s="16"/>
      <c r="E24" s="17"/>
      <c r="F24" s="18"/>
      <c r="G24" s="16"/>
      <c r="H24" s="17"/>
      <c r="I24" s="18"/>
      <c r="J24" s="16"/>
      <c r="K24" s="17"/>
      <c r="L24" s="18"/>
      <c r="M24" s="16"/>
      <c r="N24" s="17"/>
      <c r="O24" s="18"/>
      <c r="P24" s="16"/>
      <c r="Q24" s="17"/>
      <c r="R24" s="18"/>
      <c r="S24" s="16" t="s">
        <v>1340</v>
      </c>
      <c r="T24" s="19">
        <v>1.5900000000000001E-2</v>
      </c>
      <c r="U24" s="18" t="s">
        <v>37</v>
      </c>
    </row>
    <row r="25" spans="1:21" ht="15.75" customHeight="1">
      <c r="A25" s="13"/>
      <c r="B25" s="14"/>
      <c r="C25" s="15"/>
      <c r="D25" s="13"/>
      <c r="E25" s="14"/>
      <c r="F25" s="15"/>
      <c r="G25" s="13"/>
      <c r="H25" s="14"/>
      <c r="I25" s="15"/>
      <c r="J25" s="13"/>
      <c r="K25" s="14"/>
      <c r="L25" s="15"/>
      <c r="M25" s="13"/>
      <c r="N25" s="14"/>
      <c r="O25" s="15"/>
      <c r="P25" s="13"/>
      <c r="Q25" s="14"/>
      <c r="R25" s="15"/>
      <c r="S25" s="13"/>
      <c r="T25" s="14"/>
      <c r="U25" s="15"/>
    </row>
    <row r="26" spans="1:21" ht="15.75" customHeight="1">
      <c r="A26" s="4" t="str">
        <f>IF(8&lt;=DAY(EOMONTH(DATE(2026,$B$1,1),0)),$B$1&amp;"월 8일","")</f>
        <v>4월 8일</v>
      </c>
      <c r="B26" s="5"/>
      <c r="C26" s="6"/>
      <c r="D26" s="4" t="str">
        <f>IF(9&lt;=DAY(EOMONTH(DATE(2026,$B$1,1),0)),$B$1&amp;"월 9일","")</f>
        <v>4월 9일</v>
      </c>
      <c r="E26" s="5"/>
      <c r="F26" s="6"/>
      <c r="G26" s="4" t="str">
        <f>IF(10&lt;=DAY(EOMONTH(DATE(2026,$B$1,1),0)),$B$1&amp;"월 10일","")</f>
        <v>4월 10일</v>
      </c>
      <c r="H26" s="5"/>
      <c r="I26" s="6"/>
      <c r="J26" s="4" t="str">
        <f>IF(11&lt;=DAY(EOMONTH(DATE(2026,$B$1,1),0)),$B$1&amp;"월 11일","")</f>
        <v>4월 11일</v>
      </c>
      <c r="K26" s="5"/>
      <c r="L26" s="6"/>
      <c r="M26" s="4" t="str">
        <f>IF(12&lt;=DAY(EOMONTH(DATE(2026,$B$1,1),0)),$B$1&amp;"월 12일","")</f>
        <v>4월 12일</v>
      </c>
      <c r="N26" s="5"/>
      <c r="O26" s="6"/>
      <c r="P26" s="4" t="str">
        <f>IF(13&lt;=DAY(EOMONTH(DATE(2026,$B$1,1),0)),$B$1&amp;"월 13일","")</f>
        <v>4월 13일</v>
      </c>
      <c r="Q26" s="5"/>
      <c r="R26" s="6"/>
      <c r="S26" s="4" t="str">
        <f>IF(14&lt;=DAY(EOMONTH(DATE(2026,$B$1,1),0)),$B$1&amp;"월 14일","")</f>
        <v>4월 14일</v>
      </c>
      <c r="T26" s="5"/>
      <c r="U26" s="6"/>
    </row>
    <row r="27" spans="1:21" ht="15.75" customHeight="1">
      <c r="A27" s="7" t="s">
        <v>1341</v>
      </c>
      <c r="B27" s="8">
        <v>5.4100000000000002E-2</v>
      </c>
      <c r="C27" s="9" t="s">
        <v>42</v>
      </c>
      <c r="D27" s="7" t="s">
        <v>48</v>
      </c>
      <c r="E27" s="8">
        <v>5.4100000000000002E-2</v>
      </c>
      <c r="F27" s="9" t="s">
        <v>27</v>
      </c>
      <c r="G27" s="10" t="s">
        <v>1342</v>
      </c>
      <c r="H27" s="8">
        <v>3.85E-2</v>
      </c>
      <c r="I27" s="9" t="s">
        <v>33</v>
      </c>
      <c r="J27" s="7" t="s">
        <v>1302</v>
      </c>
      <c r="K27" s="8">
        <v>0.15379999999999999</v>
      </c>
      <c r="L27" s="9" t="s">
        <v>42</v>
      </c>
      <c r="M27" s="7" t="s">
        <v>1281</v>
      </c>
      <c r="N27" s="8">
        <v>9.5200000000000007E-2</v>
      </c>
      <c r="O27" s="9" t="s">
        <v>33</v>
      </c>
      <c r="P27" s="10" t="s">
        <v>1343</v>
      </c>
      <c r="Q27" s="8">
        <v>2.3800000000000002E-2</v>
      </c>
      <c r="R27" s="9" t="s">
        <v>35</v>
      </c>
      <c r="S27" s="7" t="s">
        <v>1344</v>
      </c>
      <c r="T27" s="8">
        <v>6.9800000000000001E-2</v>
      </c>
      <c r="U27" s="9" t="s">
        <v>42</v>
      </c>
    </row>
    <row r="28" spans="1:21" ht="15.75" customHeight="1">
      <c r="A28" s="7" t="s">
        <v>1345</v>
      </c>
      <c r="B28" s="8">
        <v>5.4100000000000002E-2</v>
      </c>
      <c r="C28" s="9" t="s">
        <v>42</v>
      </c>
      <c r="D28" s="7" t="s">
        <v>1346</v>
      </c>
      <c r="E28" s="8">
        <v>2.7E-2</v>
      </c>
      <c r="F28" s="9" t="s">
        <v>42</v>
      </c>
      <c r="G28" s="7" t="s">
        <v>611</v>
      </c>
      <c r="H28" s="8">
        <v>3.85E-2</v>
      </c>
      <c r="I28" s="9" t="s">
        <v>33</v>
      </c>
      <c r="J28" s="10" t="s">
        <v>1347</v>
      </c>
      <c r="K28" s="8">
        <v>7.6899999999999996E-2</v>
      </c>
      <c r="L28" s="9" t="s">
        <v>27</v>
      </c>
      <c r="M28" s="7" t="s">
        <v>1047</v>
      </c>
      <c r="N28" s="8">
        <v>9.5200000000000007E-2</v>
      </c>
      <c r="O28" s="9" t="s">
        <v>33</v>
      </c>
      <c r="P28" s="7" t="s">
        <v>1087</v>
      </c>
      <c r="Q28" s="8">
        <v>2.3800000000000002E-2</v>
      </c>
      <c r="R28" s="9" t="s">
        <v>33</v>
      </c>
      <c r="S28" s="7" t="s">
        <v>128</v>
      </c>
      <c r="T28" s="8">
        <v>1.55E-2</v>
      </c>
      <c r="U28" s="9" t="s">
        <v>42</v>
      </c>
    </row>
    <row r="29" spans="1:21" ht="15.75" customHeight="1">
      <c r="A29" s="10" t="s">
        <v>1348</v>
      </c>
      <c r="B29" s="8">
        <v>2.7E-2</v>
      </c>
      <c r="C29" s="9" t="s">
        <v>33</v>
      </c>
      <c r="D29" s="7" t="s">
        <v>1349</v>
      </c>
      <c r="E29" s="8">
        <v>2.7E-2</v>
      </c>
      <c r="F29" s="9" t="s">
        <v>33</v>
      </c>
      <c r="G29" s="7" t="s">
        <v>1350</v>
      </c>
      <c r="H29" s="8">
        <v>3.85E-2</v>
      </c>
      <c r="I29" s="9" t="s">
        <v>33</v>
      </c>
      <c r="J29" s="10" t="s">
        <v>1351</v>
      </c>
      <c r="K29" s="8">
        <v>7.6899999999999996E-2</v>
      </c>
      <c r="L29" s="9" t="s">
        <v>33</v>
      </c>
      <c r="M29" s="7" t="s">
        <v>1352</v>
      </c>
      <c r="N29" s="8">
        <v>4.7600000000000003E-2</v>
      </c>
      <c r="O29" s="9" t="s">
        <v>42</v>
      </c>
      <c r="P29" s="7" t="s">
        <v>1353</v>
      </c>
      <c r="Q29" s="8">
        <v>2.3800000000000002E-2</v>
      </c>
      <c r="R29" s="9" t="s">
        <v>33</v>
      </c>
      <c r="S29" s="10" t="s">
        <v>1354</v>
      </c>
      <c r="T29" s="8">
        <v>7.7999999999999996E-3</v>
      </c>
      <c r="U29" s="9" t="s">
        <v>37</v>
      </c>
    </row>
    <row r="30" spans="1:21" ht="15.75" customHeight="1">
      <c r="A30" s="10" t="s">
        <v>1355</v>
      </c>
      <c r="B30" s="8">
        <v>2.7E-2</v>
      </c>
      <c r="C30" s="9" t="s">
        <v>35</v>
      </c>
      <c r="D30" s="7" t="s">
        <v>1356</v>
      </c>
      <c r="E30" s="8">
        <v>2.7E-2</v>
      </c>
      <c r="F30" s="9" t="s">
        <v>37</v>
      </c>
      <c r="G30" s="7" t="s">
        <v>1344</v>
      </c>
      <c r="H30" s="8">
        <v>3.85E-2</v>
      </c>
      <c r="I30" s="9" t="s">
        <v>42</v>
      </c>
      <c r="J30" s="7" t="s">
        <v>1286</v>
      </c>
      <c r="K30" s="8">
        <v>7.6899999999999996E-2</v>
      </c>
      <c r="L30" s="9" t="s">
        <v>33</v>
      </c>
      <c r="M30" s="7" t="s">
        <v>1286</v>
      </c>
      <c r="N30" s="8">
        <v>4.7600000000000003E-2</v>
      </c>
      <c r="O30" s="9" t="s">
        <v>33</v>
      </c>
      <c r="P30" s="7" t="s">
        <v>1357</v>
      </c>
      <c r="Q30" s="8">
        <v>2.3800000000000002E-2</v>
      </c>
      <c r="R30" s="9" t="s">
        <v>42</v>
      </c>
      <c r="S30" s="7" t="s">
        <v>1047</v>
      </c>
      <c r="T30" s="8">
        <v>7.7999999999999996E-3</v>
      </c>
      <c r="U30" s="9" t="s">
        <v>33</v>
      </c>
    </row>
    <row r="31" spans="1:21" ht="15.75" customHeight="1">
      <c r="A31" s="10" t="s">
        <v>1358</v>
      </c>
      <c r="B31" s="8">
        <v>2.7E-2</v>
      </c>
      <c r="C31" s="9" t="s">
        <v>33</v>
      </c>
      <c r="D31" s="7" t="s">
        <v>611</v>
      </c>
      <c r="E31" s="8">
        <v>2.7E-2</v>
      </c>
      <c r="F31" s="9" t="s">
        <v>33</v>
      </c>
      <c r="G31" s="7" t="s">
        <v>1359</v>
      </c>
      <c r="H31" s="8">
        <v>3.85E-2</v>
      </c>
      <c r="I31" s="9" t="s">
        <v>42</v>
      </c>
      <c r="J31" s="7" t="s">
        <v>1087</v>
      </c>
      <c r="K31" s="8">
        <v>7.6899999999999996E-2</v>
      </c>
      <c r="L31" s="9" t="s">
        <v>33</v>
      </c>
      <c r="M31" s="7" t="s">
        <v>1271</v>
      </c>
      <c r="N31" s="8">
        <v>4.7600000000000003E-2</v>
      </c>
      <c r="O31" s="9" t="s">
        <v>33</v>
      </c>
      <c r="P31" s="7" t="s">
        <v>325</v>
      </c>
      <c r="Q31" s="8">
        <v>2.3800000000000002E-2</v>
      </c>
      <c r="R31" s="9" t="s">
        <v>33</v>
      </c>
      <c r="S31" s="7" t="s">
        <v>1360</v>
      </c>
      <c r="T31" s="8">
        <v>7.7999999999999996E-3</v>
      </c>
      <c r="U31" s="9" t="s">
        <v>33</v>
      </c>
    </row>
    <row r="32" spans="1:21" ht="15.75" customHeight="1">
      <c r="A32" s="7" t="s">
        <v>1281</v>
      </c>
      <c r="B32" s="8">
        <v>2.7E-2</v>
      </c>
      <c r="C32" s="9" t="s">
        <v>33</v>
      </c>
      <c r="D32" s="7" t="s">
        <v>1361</v>
      </c>
      <c r="E32" s="8">
        <v>2.7E-2</v>
      </c>
      <c r="F32" s="9" t="s">
        <v>33</v>
      </c>
      <c r="G32" s="7" t="s">
        <v>1131</v>
      </c>
      <c r="H32" s="8">
        <v>3.85E-2</v>
      </c>
      <c r="I32" s="9" t="s">
        <v>42</v>
      </c>
      <c r="J32" s="7" t="s">
        <v>1362</v>
      </c>
      <c r="K32" s="8">
        <v>7.6899999999999996E-2</v>
      </c>
      <c r="L32" s="9" t="s">
        <v>33</v>
      </c>
      <c r="M32" s="10" t="s">
        <v>1363</v>
      </c>
      <c r="N32" s="8">
        <v>4.7600000000000003E-2</v>
      </c>
      <c r="O32" s="9" t="s">
        <v>33</v>
      </c>
      <c r="P32" s="7" t="s">
        <v>1052</v>
      </c>
      <c r="Q32" s="8">
        <v>2.3800000000000002E-2</v>
      </c>
      <c r="R32" s="9" t="s">
        <v>37</v>
      </c>
      <c r="S32" s="7" t="s">
        <v>1364</v>
      </c>
      <c r="T32" s="8">
        <v>7.7999999999999996E-3</v>
      </c>
      <c r="U32" s="9" t="s">
        <v>42</v>
      </c>
    </row>
    <row r="33" spans="1:21" ht="15.75" customHeight="1">
      <c r="A33" s="7" t="s">
        <v>1365</v>
      </c>
      <c r="B33" s="8">
        <v>2.7E-2</v>
      </c>
      <c r="C33" s="9" t="s">
        <v>35</v>
      </c>
      <c r="D33" s="7" t="s">
        <v>1079</v>
      </c>
      <c r="E33" s="8">
        <v>2.7E-2</v>
      </c>
      <c r="F33" s="9" t="s">
        <v>33</v>
      </c>
      <c r="G33" s="10" t="s">
        <v>1366</v>
      </c>
      <c r="H33" s="8">
        <v>3.85E-2</v>
      </c>
      <c r="I33" s="9" t="s">
        <v>37</v>
      </c>
      <c r="J33" s="7" t="s">
        <v>30</v>
      </c>
      <c r="K33" s="8">
        <v>7.6899999999999996E-2</v>
      </c>
      <c r="L33" s="9" t="s">
        <v>37</v>
      </c>
      <c r="M33" s="10" t="s">
        <v>1367</v>
      </c>
      <c r="N33" s="8">
        <v>4.7600000000000003E-2</v>
      </c>
      <c r="O33" s="9" t="s">
        <v>33</v>
      </c>
      <c r="P33" s="7" t="s">
        <v>1368</v>
      </c>
      <c r="Q33" s="8">
        <v>2.3800000000000002E-2</v>
      </c>
      <c r="R33" s="9" t="s">
        <v>33</v>
      </c>
      <c r="S33" s="7" t="s">
        <v>1369</v>
      </c>
      <c r="T33" s="8">
        <v>7.7999999999999996E-3</v>
      </c>
      <c r="U33" s="9" t="s">
        <v>42</v>
      </c>
    </row>
    <row r="34" spans="1:21" ht="15.75" customHeight="1">
      <c r="A34" s="7" t="s">
        <v>1370</v>
      </c>
      <c r="B34" s="8">
        <v>2.7E-2</v>
      </c>
      <c r="C34" s="9" t="s">
        <v>42</v>
      </c>
      <c r="D34" s="7" t="s">
        <v>1371</v>
      </c>
      <c r="E34" s="8">
        <v>2.7E-2</v>
      </c>
      <c r="F34" s="9" t="s">
        <v>33</v>
      </c>
      <c r="G34" s="10" t="s">
        <v>1372</v>
      </c>
      <c r="H34" s="8">
        <v>3.85E-2</v>
      </c>
      <c r="I34" s="9" t="s">
        <v>37</v>
      </c>
      <c r="J34" s="7" t="s">
        <v>1373</v>
      </c>
      <c r="K34" s="8">
        <v>7.6899999999999996E-2</v>
      </c>
      <c r="L34" s="9" t="s">
        <v>37</v>
      </c>
      <c r="M34" s="7" t="s">
        <v>1374</v>
      </c>
      <c r="N34" s="8">
        <v>4.7600000000000003E-2</v>
      </c>
      <c r="O34" s="9" t="s">
        <v>37</v>
      </c>
      <c r="P34" s="7" t="s">
        <v>359</v>
      </c>
      <c r="Q34" s="8">
        <v>2.3800000000000002E-2</v>
      </c>
      <c r="R34" s="9" t="s">
        <v>37</v>
      </c>
      <c r="S34" s="7" t="s">
        <v>1359</v>
      </c>
      <c r="T34" s="8">
        <v>7.7999999999999996E-3</v>
      </c>
      <c r="U34" s="9" t="s">
        <v>42</v>
      </c>
    </row>
    <row r="35" spans="1:21" ht="15.75" customHeight="1">
      <c r="A35" s="7" t="s">
        <v>1375</v>
      </c>
      <c r="B35" s="8">
        <v>2.7E-2</v>
      </c>
      <c r="C35" s="9" t="s">
        <v>33</v>
      </c>
      <c r="D35" s="7" t="s">
        <v>1376</v>
      </c>
      <c r="E35" s="8">
        <v>2.7E-2</v>
      </c>
      <c r="F35" s="9" t="s">
        <v>42</v>
      </c>
      <c r="G35" s="7" t="s">
        <v>1377</v>
      </c>
      <c r="H35" s="8">
        <v>3.85E-2</v>
      </c>
      <c r="I35" s="9" t="s">
        <v>42</v>
      </c>
      <c r="J35" s="10" t="s">
        <v>1378</v>
      </c>
      <c r="K35" s="8">
        <v>7.6899999999999996E-2</v>
      </c>
      <c r="L35" s="9" t="s">
        <v>33</v>
      </c>
      <c r="M35" s="7" t="s">
        <v>1350</v>
      </c>
      <c r="N35" s="8">
        <v>4.7600000000000003E-2</v>
      </c>
      <c r="O35" s="9" t="s">
        <v>33</v>
      </c>
      <c r="P35" s="7" t="s">
        <v>1087</v>
      </c>
      <c r="Q35" s="8">
        <v>2.3800000000000002E-2</v>
      </c>
      <c r="R35" s="9" t="s">
        <v>33</v>
      </c>
      <c r="S35" s="7" t="s">
        <v>1379</v>
      </c>
      <c r="T35" s="8">
        <v>7.7999999999999996E-3</v>
      </c>
      <c r="U35" s="9" t="s">
        <v>42</v>
      </c>
    </row>
    <row r="36" spans="1:21" ht="15.75" customHeight="1">
      <c r="A36" s="7" t="s">
        <v>1380</v>
      </c>
      <c r="B36" s="8">
        <v>2.7E-2</v>
      </c>
      <c r="C36" s="9" t="s">
        <v>42</v>
      </c>
      <c r="D36" s="7" t="s">
        <v>1284</v>
      </c>
      <c r="E36" s="8">
        <v>2.7E-2</v>
      </c>
      <c r="F36" s="9" t="s">
        <v>42</v>
      </c>
      <c r="G36" s="7" t="s">
        <v>1271</v>
      </c>
      <c r="H36" s="8">
        <v>3.85E-2</v>
      </c>
      <c r="I36" s="9" t="s">
        <v>33</v>
      </c>
      <c r="J36" s="10"/>
      <c r="K36" s="12"/>
      <c r="L36" s="9"/>
      <c r="M36" s="10" t="s">
        <v>1381</v>
      </c>
      <c r="N36" s="8">
        <v>4.7600000000000003E-2</v>
      </c>
      <c r="O36" s="9" t="s">
        <v>33</v>
      </c>
      <c r="P36" s="7" t="s">
        <v>1382</v>
      </c>
      <c r="Q36" s="8">
        <v>2.3800000000000002E-2</v>
      </c>
      <c r="R36" s="9" t="s">
        <v>37</v>
      </c>
      <c r="S36" s="7" t="s">
        <v>1383</v>
      </c>
      <c r="T36" s="8">
        <v>7.7999999999999996E-3</v>
      </c>
      <c r="U36" s="9" t="s">
        <v>42</v>
      </c>
    </row>
    <row r="37" spans="1:21" ht="15.75" customHeight="1">
      <c r="A37" s="7" t="s">
        <v>1271</v>
      </c>
      <c r="B37" s="8">
        <v>2.7E-2</v>
      </c>
      <c r="C37" s="9" t="s">
        <v>33</v>
      </c>
      <c r="D37" s="7" t="s">
        <v>1384</v>
      </c>
      <c r="E37" s="8">
        <v>2.7E-2</v>
      </c>
      <c r="F37" s="9" t="s">
        <v>33</v>
      </c>
      <c r="G37" s="10" t="s">
        <v>1385</v>
      </c>
      <c r="H37" s="8">
        <v>3.85E-2</v>
      </c>
      <c r="I37" s="9" t="s">
        <v>37</v>
      </c>
      <c r="J37" s="10"/>
      <c r="K37" s="12"/>
      <c r="L37" s="9"/>
      <c r="M37" s="10" t="s">
        <v>1386</v>
      </c>
      <c r="N37" s="8">
        <v>4.7600000000000003E-2</v>
      </c>
      <c r="O37" s="9" t="s">
        <v>37</v>
      </c>
      <c r="P37" s="7" t="s">
        <v>1387</v>
      </c>
      <c r="Q37" s="8">
        <v>2.3800000000000002E-2</v>
      </c>
      <c r="R37" s="9" t="s">
        <v>42</v>
      </c>
      <c r="S37" s="10" t="s">
        <v>1388</v>
      </c>
      <c r="T37" s="8">
        <v>7.7999999999999996E-3</v>
      </c>
      <c r="U37" s="9" t="s">
        <v>37</v>
      </c>
    </row>
    <row r="38" spans="1:21" ht="15.75" customHeight="1">
      <c r="A38" s="10" t="s">
        <v>1389</v>
      </c>
      <c r="B38" s="8">
        <v>2.7E-2</v>
      </c>
      <c r="C38" s="9" t="s">
        <v>33</v>
      </c>
      <c r="D38" s="7" t="s">
        <v>1390</v>
      </c>
      <c r="E38" s="8">
        <v>2.7E-2</v>
      </c>
      <c r="F38" s="9" t="s">
        <v>37</v>
      </c>
      <c r="G38" s="7" t="s">
        <v>1391</v>
      </c>
      <c r="H38" s="8">
        <v>3.85E-2</v>
      </c>
      <c r="I38" s="9" t="s">
        <v>37</v>
      </c>
      <c r="J38" s="10"/>
      <c r="K38" s="12"/>
      <c r="L38" s="9"/>
      <c r="M38" s="10"/>
      <c r="N38" s="12"/>
      <c r="O38" s="9"/>
      <c r="P38" s="7" t="s">
        <v>30</v>
      </c>
      <c r="Q38" s="8">
        <v>2.3800000000000002E-2</v>
      </c>
      <c r="R38" s="9" t="s">
        <v>37</v>
      </c>
      <c r="S38" s="10" t="s">
        <v>629</v>
      </c>
      <c r="T38" s="8">
        <v>7.7999999999999996E-3</v>
      </c>
      <c r="U38" s="9" t="s">
        <v>37</v>
      </c>
    </row>
    <row r="39" spans="1:21" ht="15.75" customHeight="1">
      <c r="A39" s="10" t="s">
        <v>1392</v>
      </c>
      <c r="B39" s="8">
        <v>2.7E-2</v>
      </c>
      <c r="C39" s="9" t="s">
        <v>37</v>
      </c>
      <c r="D39" s="7" t="s">
        <v>1393</v>
      </c>
      <c r="E39" s="8">
        <v>2.7E-2</v>
      </c>
      <c r="F39" s="9" t="s">
        <v>42</v>
      </c>
      <c r="G39" s="7" t="s">
        <v>1394</v>
      </c>
      <c r="H39" s="8">
        <v>3.85E-2</v>
      </c>
      <c r="I39" s="9" t="s">
        <v>37</v>
      </c>
      <c r="J39" s="10"/>
      <c r="K39" s="12"/>
      <c r="L39" s="9"/>
      <c r="M39" s="10"/>
      <c r="N39" s="12"/>
      <c r="O39" s="9"/>
      <c r="P39" s="7" t="s">
        <v>1395</v>
      </c>
      <c r="Q39" s="8">
        <v>2.3800000000000002E-2</v>
      </c>
      <c r="R39" s="9" t="s">
        <v>42</v>
      </c>
      <c r="S39" s="7" t="s">
        <v>1396</v>
      </c>
      <c r="T39" s="8">
        <v>7.7999999999999996E-3</v>
      </c>
      <c r="U39" s="9" t="s">
        <v>42</v>
      </c>
    </row>
    <row r="40" spans="1:21" ht="15.75" customHeight="1">
      <c r="A40" s="7" t="s">
        <v>48</v>
      </c>
      <c r="B40" s="8">
        <v>2.7E-2</v>
      </c>
      <c r="C40" s="9" t="s">
        <v>27</v>
      </c>
      <c r="D40" s="7" t="s">
        <v>1397</v>
      </c>
      <c r="E40" s="8">
        <v>2.7E-2</v>
      </c>
      <c r="F40" s="9" t="s">
        <v>33</v>
      </c>
      <c r="G40" s="10"/>
      <c r="H40" s="12"/>
      <c r="I40" s="9"/>
      <c r="J40" s="10"/>
      <c r="K40" s="12"/>
      <c r="L40" s="9"/>
      <c r="M40" s="10"/>
      <c r="N40" s="12"/>
      <c r="O40" s="9"/>
      <c r="P40" s="10"/>
      <c r="Q40" s="12"/>
      <c r="R40" s="9"/>
      <c r="S40" s="7" t="s">
        <v>73</v>
      </c>
      <c r="T40" s="8">
        <v>7.7999999999999996E-3</v>
      </c>
      <c r="U40" s="9" t="s">
        <v>42</v>
      </c>
    </row>
    <row r="41" spans="1:21" ht="15.75" customHeight="1">
      <c r="A41" s="7" t="s">
        <v>1398</v>
      </c>
      <c r="B41" s="8">
        <v>2.7E-2</v>
      </c>
      <c r="C41" s="9" t="s">
        <v>33</v>
      </c>
      <c r="D41" s="10" t="s">
        <v>1399</v>
      </c>
      <c r="E41" s="8">
        <v>2.7E-2</v>
      </c>
      <c r="F41" s="9" t="s">
        <v>37</v>
      </c>
      <c r="G41" s="10"/>
      <c r="H41" s="12"/>
      <c r="I41" s="9"/>
      <c r="J41" s="10"/>
      <c r="K41" s="12"/>
      <c r="L41" s="9"/>
      <c r="M41" s="10"/>
      <c r="N41" s="12"/>
      <c r="O41" s="9"/>
      <c r="P41" s="10"/>
      <c r="Q41" s="12"/>
      <c r="R41" s="9"/>
      <c r="S41" s="7" t="s">
        <v>1286</v>
      </c>
      <c r="T41" s="8">
        <v>7.7999999999999996E-3</v>
      </c>
      <c r="U41" s="9" t="s">
        <v>33</v>
      </c>
    </row>
    <row r="42" spans="1:21" ht="15.75" customHeight="1">
      <c r="A42" s="7" t="s">
        <v>1047</v>
      </c>
      <c r="B42" s="8">
        <v>2.7E-2</v>
      </c>
      <c r="C42" s="9" t="s">
        <v>33</v>
      </c>
      <c r="D42" s="10" t="s">
        <v>582</v>
      </c>
      <c r="E42" s="8">
        <v>2.7E-2</v>
      </c>
      <c r="F42" s="9" t="s">
        <v>33</v>
      </c>
      <c r="G42" s="10"/>
      <c r="H42" s="12"/>
      <c r="I42" s="9"/>
      <c r="J42" s="10"/>
      <c r="K42" s="12"/>
      <c r="L42" s="9"/>
      <c r="M42" s="10"/>
      <c r="N42" s="12"/>
      <c r="O42" s="9"/>
      <c r="P42" s="10"/>
      <c r="Q42" s="12"/>
      <c r="R42" s="9"/>
      <c r="S42" s="7" t="s">
        <v>1148</v>
      </c>
      <c r="T42" s="8">
        <v>7.7999999999999996E-3</v>
      </c>
      <c r="U42" s="9" t="s">
        <v>42</v>
      </c>
    </row>
    <row r="43" spans="1:21" ht="15.75" customHeight="1">
      <c r="A43" s="7" t="s">
        <v>1400</v>
      </c>
      <c r="B43" s="8">
        <v>2.7E-2</v>
      </c>
      <c r="C43" s="9" t="s">
        <v>33</v>
      </c>
      <c r="D43" s="7" t="s">
        <v>1401</v>
      </c>
      <c r="E43" s="8">
        <v>2.7E-2</v>
      </c>
      <c r="F43" s="9" t="s">
        <v>37</v>
      </c>
      <c r="G43" s="10"/>
      <c r="H43" s="12"/>
      <c r="I43" s="9"/>
      <c r="J43" s="10"/>
      <c r="K43" s="12"/>
      <c r="L43" s="9"/>
      <c r="M43" s="10"/>
      <c r="N43" s="12"/>
      <c r="O43" s="9"/>
      <c r="P43" s="10"/>
      <c r="Q43" s="12"/>
      <c r="R43" s="9"/>
      <c r="S43" s="7" t="s">
        <v>155</v>
      </c>
      <c r="T43" s="8">
        <v>7.7999999999999996E-3</v>
      </c>
      <c r="U43" s="9" t="s">
        <v>33</v>
      </c>
    </row>
    <row r="44" spans="1:21" ht="15.75" customHeight="1">
      <c r="A44" s="7" t="s">
        <v>1402</v>
      </c>
      <c r="B44" s="8">
        <v>2.7E-2</v>
      </c>
      <c r="C44" s="9" t="s">
        <v>33</v>
      </c>
      <c r="D44" s="7" t="s">
        <v>1403</v>
      </c>
      <c r="E44" s="8">
        <v>2.7E-2</v>
      </c>
      <c r="F44" s="9" t="s">
        <v>37</v>
      </c>
      <c r="G44" s="10"/>
      <c r="H44" s="12"/>
      <c r="I44" s="9"/>
      <c r="J44" s="10"/>
      <c r="K44" s="12"/>
      <c r="L44" s="9"/>
      <c r="M44" s="10"/>
      <c r="N44" s="12"/>
      <c r="O44" s="9"/>
      <c r="P44" s="10"/>
      <c r="Q44" s="12"/>
      <c r="R44" s="9"/>
      <c r="S44" s="7" t="s">
        <v>1404</v>
      </c>
      <c r="T44" s="8">
        <v>7.7999999999999996E-3</v>
      </c>
      <c r="U44" s="9" t="s">
        <v>33</v>
      </c>
    </row>
    <row r="45" spans="1:21" ht="15.75" customHeight="1">
      <c r="A45" s="7" t="s">
        <v>43</v>
      </c>
      <c r="B45" s="8">
        <v>5.4100000000000002E-2</v>
      </c>
      <c r="C45" s="9" t="s">
        <v>37</v>
      </c>
      <c r="D45" s="7" t="s">
        <v>1176</v>
      </c>
      <c r="E45" s="8">
        <v>2.7E-2</v>
      </c>
      <c r="F45" s="9" t="s">
        <v>33</v>
      </c>
      <c r="G45" s="10"/>
      <c r="H45" s="12"/>
      <c r="I45" s="9"/>
      <c r="J45" s="10"/>
      <c r="K45" s="12"/>
      <c r="L45" s="9"/>
      <c r="M45" s="10"/>
      <c r="N45" s="12"/>
      <c r="O45" s="9"/>
      <c r="P45" s="10"/>
      <c r="Q45" s="12"/>
      <c r="R45" s="9"/>
      <c r="S45" s="7" t="s">
        <v>593</v>
      </c>
      <c r="T45" s="8">
        <v>7.7999999999999996E-3</v>
      </c>
      <c r="U45" s="9" t="s">
        <v>42</v>
      </c>
    </row>
    <row r="46" spans="1:21" ht="15.75" customHeight="1">
      <c r="A46" s="10" t="s">
        <v>1405</v>
      </c>
      <c r="B46" s="8">
        <v>2.7E-2</v>
      </c>
      <c r="C46" s="9" t="s">
        <v>33</v>
      </c>
      <c r="D46" s="7" t="s">
        <v>1406</v>
      </c>
      <c r="E46" s="8">
        <v>2.7E-2</v>
      </c>
      <c r="F46" s="9" t="s">
        <v>42</v>
      </c>
      <c r="G46" s="10"/>
      <c r="H46" s="12"/>
      <c r="I46" s="9"/>
      <c r="J46" s="10"/>
      <c r="K46" s="12"/>
      <c r="L46" s="9"/>
      <c r="M46" s="10"/>
      <c r="N46" s="12"/>
      <c r="O46" s="9"/>
      <c r="P46" s="10"/>
      <c r="Q46" s="12"/>
      <c r="R46" s="9"/>
      <c r="S46" s="7" t="s">
        <v>370</v>
      </c>
      <c r="T46" s="8">
        <v>7.7999999999999996E-3</v>
      </c>
      <c r="U46" s="9" t="s">
        <v>33</v>
      </c>
    </row>
    <row r="47" spans="1:21" ht="15.75" customHeight="1">
      <c r="A47" s="7" t="s">
        <v>1407</v>
      </c>
      <c r="B47" s="8">
        <v>2.7E-2</v>
      </c>
      <c r="C47" s="9" t="s">
        <v>42</v>
      </c>
      <c r="D47" s="10"/>
      <c r="E47" s="8"/>
      <c r="F47" s="9"/>
      <c r="G47" s="10"/>
      <c r="H47" s="12"/>
      <c r="I47" s="9"/>
      <c r="J47" s="10"/>
      <c r="K47" s="12"/>
      <c r="L47" s="9"/>
      <c r="M47" s="10"/>
      <c r="N47" s="12"/>
      <c r="O47" s="9"/>
      <c r="P47" s="10"/>
      <c r="Q47" s="12"/>
      <c r="R47" s="9"/>
      <c r="S47" s="7" t="s">
        <v>1408</v>
      </c>
      <c r="T47" s="8">
        <v>7.7999999999999996E-3</v>
      </c>
      <c r="U47" s="9" t="s">
        <v>33</v>
      </c>
    </row>
    <row r="48" spans="1:21" ht="15.75" customHeight="1">
      <c r="A48" s="7" t="s">
        <v>1409</v>
      </c>
      <c r="B48" s="8">
        <v>5.4100000000000002E-2</v>
      </c>
      <c r="C48" s="9" t="s">
        <v>35</v>
      </c>
      <c r="D48" s="10"/>
      <c r="E48" s="8"/>
      <c r="F48" s="9"/>
      <c r="G48" s="10"/>
      <c r="H48" s="12"/>
      <c r="I48" s="9"/>
      <c r="J48" s="10"/>
      <c r="K48" s="12"/>
      <c r="L48" s="9"/>
      <c r="M48" s="10"/>
      <c r="N48" s="12"/>
      <c r="O48" s="9"/>
      <c r="P48" s="10"/>
      <c r="Q48" s="12"/>
      <c r="R48" s="9"/>
      <c r="S48" s="7" t="s">
        <v>1410</v>
      </c>
      <c r="T48" s="8">
        <v>7.7999999999999996E-3</v>
      </c>
      <c r="U48" s="9" t="s">
        <v>42</v>
      </c>
    </row>
    <row r="49" spans="1:21" ht="15.75" customHeight="1">
      <c r="A49" s="53" t="s">
        <v>30</v>
      </c>
      <c r="B49" s="87">
        <v>5.4100000000000002E-2</v>
      </c>
      <c r="C49" s="15" t="s">
        <v>37</v>
      </c>
      <c r="D49" s="13"/>
      <c r="E49" s="87"/>
      <c r="F49" s="15"/>
      <c r="G49" s="13"/>
      <c r="H49" s="14"/>
      <c r="I49" s="15"/>
      <c r="J49" s="13"/>
      <c r="K49" s="14"/>
      <c r="L49" s="15"/>
      <c r="M49" s="13"/>
      <c r="N49" s="14"/>
      <c r="O49" s="15"/>
      <c r="P49" s="13"/>
      <c r="Q49" s="14"/>
      <c r="R49" s="15"/>
      <c r="S49" s="13"/>
      <c r="T49" s="14"/>
      <c r="U49" s="15"/>
    </row>
    <row r="50" spans="1:21" ht="15.75" customHeight="1">
      <c r="A50" s="4" t="s">
        <v>1411</v>
      </c>
      <c r="B50" s="5"/>
      <c r="C50" s="6"/>
      <c r="D50" s="4" t="s">
        <v>1412</v>
      </c>
      <c r="E50" s="5"/>
      <c r="F50" s="6"/>
      <c r="G50" s="4" t="s">
        <v>1413</v>
      </c>
      <c r="H50" s="5"/>
      <c r="I50" s="6"/>
      <c r="J50" s="4" t="s">
        <v>1414</v>
      </c>
      <c r="K50" s="5"/>
      <c r="L50" s="6"/>
      <c r="M50" s="4" t="s">
        <v>1415</v>
      </c>
      <c r="N50" s="5"/>
      <c r="O50" s="6"/>
      <c r="P50" s="4" t="s">
        <v>1416</v>
      </c>
      <c r="Q50" s="5"/>
      <c r="R50" s="6"/>
      <c r="S50" s="4" t="s">
        <v>1417</v>
      </c>
      <c r="T50" s="5"/>
      <c r="U50" s="6"/>
    </row>
    <row r="51" spans="1:21" ht="15.75" customHeight="1">
      <c r="A51" s="10" t="s">
        <v>1418</v>
      </c>
      <c r="B51" s="8">
        <v>8.6999999999999994E-3</v>
      </c>
      <c r="C51" s="9" t="s">
        <v>37</v>
      </c>
      <c r="D51" s="7" t="s">
        <v>1419</v>
      </c>
      <c r="E51" s="8">
        <v>4.5499999999999999E-2</v>
      </c>
      <c r="F51" s="9" t="s">
        <v>37</v>
      </c>
      <c r="G51" s="7" t="s">
        <v>1266</v>
      </c>
      <c r="H51" s="8">
        <v>3.5099999999999999E-2</v>
      </c>
      <c r="I51" s="9" t="s">
        <v>33</v>
      </c>
      <c r="J51" s="7" t="s">
        <v>1286</v>
      </c>
      <c r="K51" s="8">
        <v>0.1111</v>
      </c>
      <c r="L51" s="9" t="s">
        <v>33</v>
      </c>
      <c r="M51" s="10" t="s">
        <v>1420</v>
      </c>
      <c r="N51" s="8">
        <v>5.5599999999999997E-2</v>
      </c>
      <c r="O51" s="9" t="s">
        <v>37</v>
      </c>
      <c r="P51" s="10" t="s">
        <v>1421</v>
      </c>
      <c r="Q51" s="8">
        <v>3.3300000000000003E-2</v>
      </c>
      <c r="R51" s="9" t="s">
        <v>33</v>
      </c>
      <c r="S51" s="10" t="s">
        <v>1422</v>
      </c>
      <c r="T51" s="8">
        <v>2.0400000000000001E-2</v>
      </c>
      <c r="U51" s="9" t="s">
        <v>33</v>
      </c>
    </row>
    <row r="52" spans="1:21" ht="15.75" customHeight="1">
      <c r="A52" s="10" t="s">
        <v>629</v>
      </c>
      <c r="B52" s="8">
        <v>8.6999999999999994E-3</v>
      </c>
      <c r="C52" s="9" t="s">
        <v>37</v>
      </c>
      <c r="D52" s="7" t="s">
        <v>1423</v>
      </c>
      <c r="E52" s="8">
        <v>4.5499999999999999E-2</v>
      </c>
      <c r="F52" s="9" t="s">
        <v>33</v>
      </c>
      <c r="G52" s="10" t="s">
        <v>1424</v>
      </c>
      <c r="H52" s="8">
        <v>1.7500000000000002E-2</v>
      </c>
      <c r="I52" s="9" t="s">
        <v>37</v>
      </c>
      <c r="J52" s="7" t="s">
        <v>1425</v>
      </c>
      <c r="K52" s="8">
        <v>0.1111</v>
      </c>
      <c r="L52" s="9" t="s">
        <v>33</v>
      </c>
      <c r="M52" s="7" t="s">
        <v>1426</v>
      </c>
      <c r="N52" s="8">
        <v>5.5599999999999997E-2</v>
      </c>
      <c r="O52" s="9" t="s">
        <v>33</v>
      </c>
      <c r="P52" s="10" t="s">
        <v>1427</v>
      </c>
      <c r="Q52" s="8">
        <v>3.3300000000000003E-2</v>
      </c>
      <c r="R52" s="9" t="s">
        <v>33</v>
      </c>
      <c r="S52" s="10" t="s">
        <v>1428</v>
      </c>
      <c r="T52" s="8">
        <v>2.0400000000000001E-2</v>
      </c>
      <c r="U52" s="9" t="s">
        <v>35</v>
      </c>
    </row>
    <row r="53" spans="1:21" ht="15.75" customHeight="1">
      <c r="A53" s="7" t="s">
        <v>1277</v>
      </c>
      <c r="B53" s="8">
        <v>8.6999999999999994E-3</v>
      </c>
      <c r="C53" s="9" t="s">
        <v>33</v>
      </c>
      <c r="D53" s="7" t="s">
        <v>62</v>
      </c>
      <c r="E53" s="8">
        <v>4.5499999999999999E-2</v>
      </c>
      <c r="F53" s="9" t="s">
        <v>42</v>
      </c>
      <c r="G53" s="10" t="s">
        <v>871</v>
      </c>
      <c r="H53" s="8">
        <v>1.7500000000000002E-2</v>
      </c>
      <c r="I53" s="9" t="s">
        <v>37</v>
      </c>
      <c r="J53" s="7" t="s">
        <v>1047</v>
      </c>
      <c r="K53" s="8">
        <v>0.1111</v>
      </c>
      <c r="L53" s="9" t="s">
        <v>33</v>
      </c>
      <c r="M53" s="7" t="s">
        <v>1286</v>
      </c>
      <c r="N53" s="8">
        <v>5.5599999999999997E-2</v>
      </c>
      <c r="O53" s="9" t="s">
        <v>33</v>
      </c>
      <c r="P53" s="10" t="s">
        <v>1429</v>
      </c>
      <c r="Q53" s="8">
        <v>3.3300000000000003E-2</v>
      </c>
      <c r="R53" s="9" t="s">
        <v>35</v>
      </c>
      <c r="S53" s="7" t="s">
        <v>1430</v>
      </c>
      <c r="T53" s="8">
        <v>2.0400000000000001E-2</v>
      </c>
      <c r="U53" s="9" t="s">
        <v>33</v>
      </c>
    </row>
    <row r="54" spans="1:21" ht="15.75" customHeight="1">
      <c r="A54" s="7" t="s">
        <v>1284</v>
      </c>
      <c r="B54" s="8">
        <v>8.6999999999999994E-3</v>
      </c>
      <c r="C54" s="9" t="s">
        <v>42</v>
      </c>
      <c r="D54" s="7" t="s">
        <v>1431</v>
      </c>
      <c r="E54" s="8">
        <v>2.2700000000000001E-2</v>
      </c>
      <c r="F54" s="9" t="s">
        <v>42</v>
      </c>
      <c r="G54" s="10" t="s">
        <v>1432</v>
      </c>
      <c r="H54" s="8">
        <v>1.7500000000000002E-2</v>
      </c>
      <c r="I54" s="9" t="s">
        <v>37</v>
      </c>
      <c r="J54" s="7" t="s">
        <v>128</v>
      </c>
      <c r="K54" s="8">
        <v>0.1111</v>
      </c>
      <c r="L54" s="9" t="s">
        <v>42</v>
      </c>
      <c r="M54" s="7" t="s">
        <v>1433</v>
      </c>
      <c r="N54" s="8">
        <v>5.5599999999999997E-2</v>
      </c>
      <c r="O54" s="9" t="s">
        <v>33</v>
      </c>
      <c r="P54" s="7" t="s">
        <v>1434</v>
      </c>
      <c r="Q54" s="8">
        <v>3.3300000000000003E-2</v>
      </c>
      <c r="R54" s="9" t="s">
        <v>42</v>
      </c>
      <c r="S54" s="7" t="s">
        <v>1435</v>
      </c>
      <c r="T54" s="8">
        <v>2.0400000000000001E-2</v>
      </c>
      <c r="U54" s="9" t="s">
        <v>33</v>
      </c>
    </row>
    <row r="55" spans="1:21" ht="15.75" customHeight="1">
      <c r="A55" s="7" t="s">
        <v>1436</v>
      </c>
      <c r="B55" s="8">
        <v>8.6999999999999994E-3</v>
      </c>
      <c r="C55" s="9" t="s">
        <v>37</v>
      </c>
      <c r="D55" s="7" t="s">
        <v>1437</v>
      </c>
      <c r="E55" s="8">
        <v>2.2700000000000001E-2</v>
      </c>
      <c r="F55" s="9" t="s">
        <v>42</v>
      </c>
      <c r="G55" s="7" t="s">
        <v>1438</v>
      </c>
      <c r="H55" s="8">
        <v>1.7500000000000002E-2</v>
      </c>
      <c r="I55" s="9" t="s">
        <v>37</v>
      </c>
      <c r="J55" s="7" t="s">
        <v>1439</v>
      </c>
      <c r="K55" s="8">
        <v>0.1111</v>
      </c>
      <c r="L55" s="9" t="s">
        <v>33</v>
      </c>
      <c r="M55" s="7" t="s">
        <v>1047</v>
      </c>
      <c r="N55" s="8">
        <v>5.5599999999999997E-2</v>
      </c>
      <c r="O55" s="9" t="s">
        <v>33</v>
      </c>
      <c r="P55" s="7" t="s">
        <v>43</v>
      </c>
      <c r="Q55" s="8">
        <v>3.3300000000000003E-2</v>
      </c>
      <c r="R55" s="9" t="s">
        <v>37</v>
      </c>
      <c r="S55" s="7" t="s">
        <v>1440</v>
      </c>
      <c r="T55" s="8">
        <v>2.0400000000000001E-2</v>
      </c>
      <c r="U55" s="9" t="s">
        <v>33</v>
      </c>
    </row>
    <row r="56" spans="1:21" ht="15.75" customHeight="1">
      <c r="A56" s="7" t="s">
        <v>1096</v>
      </c>
      <c r="B56" s="8">
        <v>8.6999999999999994E-3</v>
      </c>
      <c r="C56" s="9" t="s">
        <v>33</v>
      </c>
      <c r="D56" s="7" t="s">
        <v>1087</v>
      </c>
      <c r="E56" s="8">
        <v>2.2700000000000001E-2</v>
      </c>
      <c r="F56" s="9" t="s">
        <v>33</v>
      </c>
      <c r="G56" s="7" t="s">
        <v>1441</v>
      </c>
      <c r="H56" s="8">
        <v>1.7500000000000002E-2</v>
      </c>
      <c r="I56" s="9" t="s">
        <v>37</v>
      </c>
      <c r="J56" s="7" t="s">
        <v>1442</v>
      </c>
      <c r="K56" s="8">
        <v>0.1111</v>
      </c>
      <c r="L56" s="9" t="s">
        <v>33</v>
      </c>
      <c r="M56" s="7" t="s">
        <v>62</v>
      </c>
      <c r="N56" s="8">
        <v>5.5599999999999997E-2</v>
      </c>
      <c r="O56" s="9" t="s">
        <v>42</v>
      </c>
      <c r="P56" s="7" t="s">
        <v>1443</v>
      </c>
      <c r="Q56" s="8">
        <v>3.3300000000000003E-2</v>
      </c>
      <c r="R56" s="9" t="s">
        <v>35</v>
      </c>
      <c r="S56" s="7" t="s">
        <v>1052</v>
      </c>
      <c r="T56" s="8">
        <v>2.0400000000000001E-2</v>
      </c>
      <c r="U56" s="9" t="s">
        <v>37</v>
      </c>
    </row>
    <row r="57" spans="1:21" ht="15.75" customHeight="1">
      <c r="A57" s="7" t="s">
        <v>1444</v>
      </c>
      <c r="B57" s="8">
        <v>8.6999999999999994E-3</v>
      </c>
      <c r="C57" s="9" t="s">
        <v>27</v>
      </c>
      <c r="D57" s="7" t="s">
        <v>1445</v>
      </c>
      <c r="E57" s="8">
        <v>2.2700000000000001E-2</v>
      </c>
      <c r="F57" s="9" t="s">
        <v>33</v>
      </c>
      <c r="G57" s="10" t="s">
        <v>1446</v>
      </c>
      <c r="H57" s="8">
        <v>1.7500000000000002E-2</v>
      </c>
      <c r="I57" s="9" t="s">
        <v>33</v>
      </c>
      <c r="J57" s="10" t="s">
        <v>1447</v>
      </c>
      <c r="K57" s="8">
        <v>0.1111</v>
      </c>
      <c r="L57" s="9" t="s">
        <v>42</v>
      </c>
      <c r="M57" s="10"/>
      <c r="N57" s="12"/>
      <c r="O57" s="9"/>
      <c r="P57" s="7" t="s">
        <v>1448</v>
      </c>
      <c r="Q57" s="8">
        <v>3.3300000000000003E-2</v>
      </c>
      <c r="R57" s="9" t="s">
        <v>35</v>
      </c>
      <c r="S57" s="7" t="s">
        <v>1047</v>
      </c>
      <c r="T57" s="8">
        <v>4.0800000000000003E-2</v>
      </c>
      <c r="U57" s="9" t="s">
        <v>33</v>
      </c>
    </row>
    <row r="58" spans="1:21" ht="15.75" customHeight="1">
      <c r="A58" s="7" t="s">
        <v>1370</v>
      </c>
      <c r="B58" s="8">
        <v>8.6999999999999994E-3</v>
      </c>
      <c r="C58" s="9" t="s">
        <v>42</v>
      </c>
      <c r="D58" s="7" t="s">
        <v>1344</v>
      </c>
      <c r="E58" s="8">
        <v>2.2700000000000001E-2</v>
      </c>
      <c r="F58" s="9" t="s">
        <v>42</v>
      </c>
      <c r="G58" s="7" t="s">
        <v>1449</v>
      </c>
      <c r="H58" s="8">
        <v>1.7500000000000002E-2</v>
      </c>
      <c r="I58" s="9" t="s">
        <v>37</v>
      </c>
      <c r="J58" s="7" t="s">
        <v>1450</v>
      </c>
      <c r="K58" s="8">
        <v>0.1111</v>
      </c>
      <c r="L58" s="9" t="s">
        <v>33</v>
      </c>
      <c r="M58" s="10"/>
      <c r="N58" s="12"/>
      <c r="O58" s="9"/>
      <c r="P58" s="7" t="s">
        <v>1451</v>
      </c>
      <c r="Q58" s="8">
        <v>3.3300000000000003E-2</v>
      </c>
      <c r="R58" s="9" t="s">
        <v>37</v>
      </c>
      <c r="S58" s="10" t="s">
        <v>1452</v>
      </c>
      <c r="T58" s="8">
        <v>2.0400000000000001E-2</v>
      </c>
      <c r="U58" s="9" t="s">
        <v>35</v>
      </c>
    </row>
    <row r="59" spans="1:21" ht="15.75" customHeight="1">
      <c r="A59" s="7" t="s">
        <v>1453</v>
      </c>
      <c r="B59" s="8">
        <v>8.6999999999999994E-3</v>
      </c>
      <c r="C59" s="9" t="s">
        <v>42</v>
      </c>
      <c r="D59" s="10" t="s">
        <v>1454</v>
      </c>
      <c r="E59" s="8">
        <v>2.2700000000000001E-2</v>
      </c>
      <c r="F59" s="9" t="s">
        <v>33</v>
      </c>
      <c r="G59" s="7" t="s">
        <v>1087</v>
      </c>
      <c r="H59" s="8">
        <v>1.7500000000000002E-2</v>
      </c>
      <c r="I59" s="9" t="s">
        <v>33</v>
      </c>
      <c r="J59" s="7" t="s">
        <v>1455</v>
      </c>
      <c r="K59" s="8">
        <v>0.1111</v>
      </c>
      <c r="L59" s="9" t="s">
        <v>33</v>
      </c>
      <c r="M59" s="10"/>
      <c r="N59" s="12"/>
      <c r="O59" s="9"/>
      <c r="P59" s="7" t="s">
        <v>1456</v>
      </c>
      <c r="Q59" s="8">
        <v>3.3300000000000003E-2</v>
      </c>
      <c r="R59" s="9" t="s">
        <v>33</v>
      </c>
      <c r="S59" s="7" t="s">
        <v>1457</v>
      </c>
      <c r="T59" s="8">
        <v>2.0400000000000001E-2</v>
      </c>
      <c r="U59" s="9" t="s">
        <v>33</v>
      </c>
    </row>
    <row r="60" spans="1:21" ht="15.75" customHeight="1">
      <c r="A60" s="7" t="s">
        <v>1052</v>
      </c>
      <c r="B60" s="8">
        <v>8.6999999999999994E-3</v>
      </c>
      <c r="C60" s="9" t="s">
        <v>37</v>
      </c>
      <c r="D60" s="7" t="s">
        <v>1286</v>
      </c>
      <c r="E60" s="8">
        <v>2.2700000000000001E-2</v>
      </c>
      <c r="F60" s="9" t="s">
        <v>33</v>
      </c>
      <c r="G60" s="7" t="s">
        <v>30</v>
      </c>
      <c r="H60" s="8">
        <v>1.7500000000000002E-2</v>
      </c>
      <c r="I60" s="9" t="s">
        <v>37</v>
      </c>
      <c r="J60" s="10"/>
      <c r="K60" s="12"/>
      <c r="L60" s="9"/>
      <c r="M60" s="10"/>
      <c r="N60" s="12"/>
      <c r="O60" s="9"/>
      <c r="P60" s="7" t="s">
        <v>1266</v>
      </c>
      <c r="Q60" s="8">
        <v>3.3300000000000003E-2</v>
      </c>
      <c r="R60" s="9" t="s">
        <v>33</v>
      </c>
      <c r="S60" s="7" t="s">
        <v>1266</v>
      </c>
      <c r="T60" s="8">
        <v>2.0400000000000001E-2</v>
      </c>
      <c r="U60" s="9" t="s">
        <v>33</v>
      </c>
    </row>
    <row r="61" spans="1:21" ht="15.75" customHeight="1">
      <c r="A61" s="7" t="s">
        <v>1458</v>
      </c>
      <c r="B61" s="8">
        <v>8.6999999999999994E-3</v>
      </c>
      <c r="C61" s="9" t="s">
        <v>33</v>
      </c>
      <c r="D61" s="7" t="s">
        <v>1459</v>
      </c>
      <c r="E61" s="8">
        <v>2.2700000000000001E-2</v>
      </c>
      <c r="F61" s="9" t="s">
        <v>35</v>
      </c>
      <c r="G61" s="7" t="s">
        <v>30</v>
      </c>
      <c r="H61" s="8">
        <v>1.7500000000000002E-2</v>
      </c>
      <c r="I61" s="9" t="s">
        <v>37</v>
      </c>
      <c r="J61" s="10"/>
      <c r="K61" s="12"/>
      <c r="L61" s="9"/>
      <c r="M61" s="10"/>
      <c r="N61" s="12"/>
      <c r="O61" s="9"/>
      <c r="P61" s="7" t="s">
        <v>1431</v>
      </c>
      <c r="Q61" s="8">
        <v>3.3300000000000003E-2</v>
      </c>
      <c r="R61" s="9" t="s">
        <v>42</v>
      </c>
      <c r="S61" s="10" t="s">
        <v>629</v>
      </c>
      <c r="T61" s="8">
        <v>4.0800000000000003E-2</v>
      </c>
      <c r="U61" s="9" t="s">
        <v>37</v>
      </c>
    </row>
    <row r="62" spans="1:21" ht="15.75" customHeight="1">
      <c r="A62" s="7" t="s">
        <v>1344</v>
      </c>
      <c r="B62" s="8">
        <v>2.6100000000000002E-2</v>
      </c>
      <c r="C62" s="9" t="s">
        <v>42</v>
      </c>
      <c r="D62" s="7" t="s">
        <v>74</v>
      </c>
      <c r="E62" s="8">
        <v>2.2700000000000001E-2</v>
      </c>
      <c r="F62" s="9" t="s">
        <v>33</v>
      </c>
      <c r="G62" s="10"/>
      <c r="H62" s="12"/>
      <c r="I62" s="9"/>
      <c r="J62" s="10"/>
      <c r="K62" s="12"/>
      <c r="L62" s="9"/>
      <c r="M62" s="10"/>
      <c r="N62" s="12"/>
      <c r="O62" s="9"/>
      <c r="P62" s="7" t="s">
        <v>1460</v>
      </c>
      <c r="Q62" s="8">
        <v>3.3300000000000003E-2</v>
      </c>
      <c r="R62" s="9" t="s">
        <v>27</v>
      </c>
      <c r="S62" s="7" t="s">
        <v>30</v>
      </c>
      <c r="T62" s="8">
        <v>2.0400000000000001E-2</v>
      </c>
      <c r="U62" s="9" t="s">
        <v>37</v>
      </c>
    </row>
    <row r="63" spans="1:21" ht="15.75" customHeight="1">
      <c r="A63" s="7" t="s">
        <v>1359</v>
      </c>
      <c r="B63" s="8">
        <v>1.7399999999999999E-2</v>
      </c>
      <c r="C63" s="9" t="s">
        <v>42</v>
      </c>
      <c r="D63" s="7" t="s">
        <v>1357</v>
      </c>
      <c r="E63" s="8">
        <v>2.2700000000000001E-2</v>
      </c>
      <c r="F63" s="9" t="s">
        <v>42</v>
      </c>
      <c r="G63" s="10"/>
      <c r="H63" s="12"/>
      <c r="I63" s="9"/>
      <c r="J63" s="10"/>
      <c r="K63" s="12"/>
      <c r="L63" s="9"/>
      <c r="M63" s="10"/>
      <c r="N63" s="12"/>
      <c r="O63" s="9"/>
      <c r="P63" s="7" t="s">
        <v>1461</v>
      </c>
      <c r="Q63" s="8">
        <v>3.3300000000000003E-2</v>
      </c>
      <c r="R63" s="9" t="s">
        <v>33</v>
      </c>
      <c r="S63" s="10" t="s">
        <v>1462</v>
      </c>
      <c r="T63" s="8">
        <v>2.0400000000000001E-2</v>
      </c>
      <c r="U63" s="9" t="s">
        <v>35</v>
      </c>
    </row>
    <row r="64" spans="1:21" ht="15.75" customHeight="1">
      <c r="A64" s="10" t="s">
        <v>1300</v>
      </c>
      <c r="B64" s="8">
        <v>8.6999999999999994E-3</v>
      </c>
      <c r="C64" s="9" t="s">
        <v>35</v>
      </c>
      <c r="D64" s="7" t="s">
        <v>1463</v>
      </c>
      <c r="E64" s="8">
        <v>2.2700000000000001E-2</v>
      </c>
      <c r="F64" s="9" t="s">
        <v>42</v>
      </c>
      <c r="G64" s="10"/>
      <c r="H64" s="12"/>
      <c r="I64" s="9"/>
      <c r="J64" s="10"/>
      <c r="K64" s="12"/>
      <c r="L64" s="9"/>
      <c r="M64" s="10"/>
      <c r="N64" s="12"/>
      <c r="O64" s="9"/>
      <c r="P64" s="7" t="s">
        <v>367</v>
      </c>
      <c r="Q64" s="8">
        <v>3.3300000000000003E-2</v>
      </c>
      <c r="R64" s="9" t="s">
        <v>37</v>
      </c>
      <c r="S64" s="7" t="s">
        <v>1464</v>
      </c>
      <c r="T64" s="8">
        <v>2.0400000000000001E-2</v>
      </c>
      <c r="U64" s="9" t="s">
        <v>35</v>
      </c>
    </row>
    <row r="65" spans="1:21" ht="15.75" customHeight="1">
      <c r="A65" s="7" t="s">
        <v>1465</v>
      </c>
      <c r="B65" s="8">
        <v>8.6999999999999994E-3</v>
      </c>
      <c r="C65" s="9" t="s">
        <v>42</v>
      </c>
      <c r="D65" s="7" t="s">
        <v>1466</v>
      </c>
      <c r="E65" s="8">
        <v>2.2700000000000001E-2</v>
      </c>
      <c r="F65" s="9" t="s">
        <v>42</v>
      </c>
      <c r="G65" s="10"/>
      <c r="H65" s="12"/>
      <c r="I65" s="9"/>
      <c r="J65" s="10"/>
      <c r="K65" s="12"/>
      <c r="L65" s="9"/>
      <c r="M65" s="10"/>
      <c r="N65" s="12"/>
      <c r="O65" s="9"/>
      <c r="P65" s="7" t="s">
        <v>1467</v>
      </c>
      <c r="Q65" s="8">
        <v>3.3300000000000003E-2</v>
      </c>
      <c r="R65" s="9" t="s">
        <v>37</v>
      </c>
      <c r="S65" s="10"/>
      <c r="T65" s="12"/>
      <c r="U65" s="9"/>
    </row>
    <row r="66" spans="1:21" ht="15.75" customHeight="1">
      <c r="A66" s="7" t="s">
        <v>1087</v>
      </c>
      <c r="B66" s="8">
        <v>8.6999999999999994E-3</v>
      </c>
      <c r="C66" s="9" t="s">
        <v>33</v>
      </c>
      <c r="D66" s="7" t="s">
        <v>1468</v>
      </c>
      <c r="E66" s="8">
        <v>2.2700000000000001E-2</v>
      </c>
      <c r="F66" s="9" t="s">
        <v>42</v>
      </c>
      <c r="G66" s="10"/>
      <c r="H66" s="12"/>
      <c r="I66" s="9"/>
      <c r="J66" s="10"/>
      <c r="K66" s="12"/>
      <c r="L66" s="9"/>
      <c r="M66" s="10"/>
      <c r="N66" s="12"/>
      <c r="O66" s="9"/>
      <c r="P66" s="7" t="s">
        <v>1469</v>
      </c>
      <c r="Q66" s="8">
        <v>3.3300000000000003E-2</v>
      </c>
      <c r="R66" s="9" t="s">
        <v>42</v>
      </c>
      <c r="S66" s="10"/>
      <c r="T66" s="12"/>
      <c r="U66" s="9"/>
    </row>
    <row r="67" spans="1:21" ht="15.75" customHeight="1">
      <c r="A67" s="7" t="s">
        <v>1077</v>
      </c>
      <c r="B67" s="8">
        <v>8.6999999999999994E-3</v>
      </c>
      <c r="C67" s="9" t="s">
        <v>33</v>
      </c>
      <c r="D67" s="10"/>
      <c r="E67" s="12"/>
      <c r="F67" s="9"/>
      <c r="G67" s="10"/>
      <c r="H67" s="12"/>
      <c r="I67" s="9"/>
      <c r="J67" s="10"/>
      <c r="K67" s="12"/>
      <c r="L67" s="9"/>
      <c r="M67" s="10"/>
      <c r="N67" s="12"/>
      <c r="O67" s="9"/>
      <c r="P67" s="7" t="s">
        <v>1470</v>
      </c>
      <c r="Q67" s="8">
        <v>3.3300000000000003E-2</v>
      </c>
      <c r="R67" s="9" t="s">
        <v>37</v>
      </c>
      <c r="S67" s="10"/>
      <c r="T67" s="12"/>
      <c r="U67" s="9"/>
    </row>
    <row r="68" spans="1:21" ht="15.75" customHeight="1">
      <c r="A68" s="7" t="s">
        <v>1047</v>
      </c>
      <c r="B68" s="8">
        <v>8.6999999999999994E-3</v>
      </c>
      <c r="C68" s="9" t="s">
        <v>33</v>
      </c>
      <c r="D68" s="10"/>
      <c r="E68" s="12"/>
      <c r="F68" s="9"/>
      <c r="G68" s="10"/>
      <c r="H68" s="12"/>
      <c r="I68" s="9"/>
      <c r="J68" s="10"/>
      <c r="K68" s="12"/>
      <c r="L68" s="9"/>
      <c r="M68" s="10"/>
      <c r="N68" s="12"/>
      <c r="O68" s="9"/>
      <c r="P68" s="7" t="s">
        <v>1471</v>
      </c>
      <c r="Q68" s="8">
        <v>3.3300000000000003E-2</v>
      </c>
      <c r="R68" s="9" t="s">
        <v>33</v>
      </c>
      <c r="S68" s="10"/>
      <c r="T68" s="12"/>
      <c r="U68" s="9"/>
    </row>
    <row r="69" spans="1:21" ht="15.75" customHeight="1">
      <c r="A69" s="7" t="s">
        <v>1472</v>
      </c>
      <c r="B69" s="8">
        <v>8.6999999999999994E-3</v>
      </c>
      <c r="C69" s="9" t="s">
        <v>37</v>
      </c>
      <c r="D69" s="10"/>
      <c r="E69" s="12"/>
      <c r="F69" s="9"/>
      <c r="G69" s="10"/>
      <c r="H69" s="12"/>
      <c r="I69" s="9"/>
      <c r="J69" s="10"/>
      <c r="K69" s="12"/>
      <c r="L69" s="9"/>
      <c r="M69" s="10"/>
      <c r="N69" s="12"/>
      <c r="O69" s="9"/>
      <c r="P69" s="7" t="s">
        <v>841</v>
      </c>
      <c r="Q69" s="8">
        <v>3.3300000000000003E-2</v>
      </c>
      <c r="R69" s="9" t="s">
        <v>42</v>
      </c>
      <c r="S69" s="10"/>
      <c r="T69" s="12"/>
      <c r="U69" s="9"/>
    </row>
    <row r="70" spans="1:21" ht="15.75" customHeight="1">
      <c r="A70" s="10" t="s">
        <v>1473</v>
      </c>
      <c r="B70" s="8">
        <v>8.6999999999999994E-3</v>
      </c>
      <c r="C70" s="9" t="s">
        <v>42</v>
      </c>
      <c r="D70" s="10"/>
      <c r="E70" s="12"/>
      <c r="F70" s="9"/>
      <c r="G70" s="10"/>
      <c r="H70" s="12"/>
      <c r="I70" s="9"/>
      <c r="J70" s="10"/>
      <c r="K70" s="12"/>
      <c r="L70" s="9"/>
      <c r="M70" s="10"/>
      <c r="N70" s="12"/>
      <c r="O70" s="9"/>
      <c r="P70" s="7" t="s">
        <v>30</v>
      </c>
      <c r="Q70" s="8">
        <v>3.3300000000000003E-2</v>
      </c>
      <c r="R70" s="9" t="s">
        <v>37</v>
      </c>
      <c r="S70" s="10"/>
      <c r="T70" s="12"/>
      <c r="U70" s="9"/>
    </row>
    <row r="71" spans="1:21" ht="15.75" customHeight="1">
      <c r="A71" s="10" t="s">
        <v>1474</v>
      </c>
      <c r="B71" s="8">
        <v>8.6999999999999994E-3</v>
      </c>
      <c r="C71" s="9" t="s">
        <v>33</v>
      </c>
      <c r="D71" s="10"/>
      <c r="E71" s="12"/>
      <c r="F71" s="9"/>
      <c r="G71" s="10"/>
      <c r="H71" s="12"/>
      <c r="I71" s="9"/>
      <c r="J71" s="10"/>
      <c r="K71" s="12"/>
      <c r="L71" s="9"/>
      <c r="M71" s="10"/>
      <c r="N71" s="12"/>
      <c r="O71" s="9"/>
      <c r="P71" s="7" t="s">
        <v>1475</v>
      </c>
      <c r="Q71" s="8">
        <v>3.3300000000000003E-2</v>
      </c>
      <c r="R71" s="9" t="s">
        <v>33</v>
      </c>
      <c r="S71" s="10"/>
      <c r="T71" s="12"/>
      <c r="U71" s="9"/>
    </row>
    <row r="72" spans="1:21" ht="15.75" customHeight="1">
      <c r="A72" s="32" t="s">
        <v>30</v>
      </c>
      <c r="B72" s="19">
        <v>8.6999999999999994E-3</v>
      </c>
      <c r="C72" s="18" t="s">
        <v>37</v>
      </c>
      <c r="D72" s="16"/>
      <c r="E72" s="17"/>
      <c r="F72" s="18"/>
      <c r="G72" s="16"/>
      <c r="H72" s="17"/>
      <c r="I72" s="18"/>
      <c r="J72" s="16"/>
      <c r="K72" s="17"/>
      <c r="L72" s="18"/>
      <c r="M72" s="16"/>
      <c r="N72" s="17"/>
      <c r="O72" s="18"/>
      <c r="P72" s="16"/>
      <c r="Q72" s="17"/>
      <c r="R72" s="18"/>
      <c r="S72" s="16"/>
      <c r="T72" s="17"/>
      <c r="U72" s="18"/>
    </row>
    <row r="73" spans="1:21" s="92" customFormat="1" ht="15.75" customHeight="1">
      <c r="A73" s="88"/>
      <c r="B73" s="89"/>
      <c r="C73" s="90"/>
      <c r="D73" s="88"/>
      <c r="E73" s="91"/>
      <c r="F73" s="90"/>
      <c r="G73" s="88"/>
      <c r="H73" s="91"/>
      <c r="I73" s="90"/>
      <c r="J73" s="88"/>
      <c r="K73" s="91"/>
      <c r="L73" s="90"/>
      <c r="M73" s="88"/>
      <c r="N73" s="91"/>
      <c r="O73" s="90"/>
      <c r="P73" s="88"/>
      <c r="Q73" s="91"/>
      <c r="R73" s="90"/>
      <c r="S73" s="88"/>
      <c r="T73" s="91"/>
      <c r="U73" s="90"/>
    </row>
    <row r="74" spans="1:21" ht="15.75" customHeight="1">
      <c r="A74" s="4" t="str">
        <f>IF(22&lt;=DAY(EOMONTH(DATE(2026,$B$1,1),0)),$B$1&amp;"월 22일","")</f>
        <v>4월 22일</v>
      </c>
      <c r="B74" s="5"/>
      <c r="C74" s="6"/>
      <c r="D74" s="4" t="str">
        <f>IF(23&lt;=DAY(EOMONTH(DATE(2026,$B$1,1),0)),$B$1&amp;"월 23일","")</f>
        <v>4월 23일</v>
      </c>
      <c r="E74" s="5"/>
      <c r="F74" s="6"/>
      <c r="G74" s="4" t="str">
        <f>IF(24&lt;=DAY(EOMONTH(DATE(2026,$B$1,1),0)),$B$1&amp;"월 24일","")</f>
        <v>4월 24일</v>
      </c>
      <c r="H74" s="5"/>
      <c r="I74" s="6"/>
      <c r="J74" s="4" t="str">
        <f>IF(25&lt;=DAY(EOMONTH(DATE(2026,$B$1,1),0)),$B$1&amp;"월 25일","")</f>
        <v>4월 25일</v>
      </c>
      <c r="K74" s="5"/>
      <c r="L74" s="6"/>
      <c r="M74" s="4" t="str">
        <f>IF(26&lt;=DAY(EOMONTH(DATE(2026,$B$1,1),0)),$B$1&amp;"월 26일","")</f>
        <v>4월 26일</v>
      </c>
      <c r="N74" s="5"/>
      <c r="O74" s="6"/>
      <c r="P74" s="4" t="str">
        <f>IF(27&lt;=DAY(EOMONTH(DATE(2026,$B$1,1),0)),$B$1&amp;"월 27일","")</f>
        <v>4월 27일</v>
      </c>
      <c r="Q74" s="5"/>
      <c r="R74" s="6"/>
      <c r="S74" s="4" t="str">
        <f>IF(28&lt;=DAY(EOMONTH(DATE(2026,$B$1,1),0)),$B$1&amp;"월 28일","")</f>
        <v>4월 28일</v>
      </c>
      <c r="T74" s="5"/>
      <c r="U74" s="6"/>
    </row>
    <row r="75" spans="1:21" ht="15.75" customHeight="1">
      <c r="A75" s="7" t="s">
        <v>1476</v>
      </c>
      <c r="B75" s="8">
        <v>3.6999999999999998E-2</v>
      </c>
      <c r="C75" s="9" t="s">
        <v>33</v>
      </c>
      <c r="D75" s="7" t="s">
        <v>48</v>
      </c>
      <c r="E75" s="8">
        <v>8.8599999999999998E-2</v>
      </c>
      <c r="F75" s="9" t="s">
        <v>27</v>
      </c>
      <c r="G75" s="7" t="s">
        <v>1477</v>
      </c>
      <c r="H75" s="8">
        <v>2.3800000000000002E-2</v>
      </c>
      <c r="I75" s="9" t="s">
        <v>42</v>
      </c>
      <c r="J75" s="10" t="s">
        <v>1478</v>
      </c>
      <c r="K75" s="8">
        <v>0.1</v>
      </c>
      <c r="L75" s="9" t="s">
        <v>37</v>
      </c>
      <c r="M75" s="10" t="s">
        <v>1479</v>
      </c>
      <c r="N75" s="8">
        <v>6.25E-2</v>
      </c>
      <c r="O75" s="9" t="s">
        <v>37</v>
      </c>
      <c r="P75" s="10" t="s">
        <v>1480</v>
      </c>
      <c r="Q75" s="8">
        <v>1.72E-2</v>
      </c>
      <c r="R75" s="9" t="s">
        <v>33</v>
      </c>
      <c r="S75" s="7" t="s">
        <v>48</v>
      </c>
      <c r="T75" s="8">
        <v>5.8000000000000003E-2</v>
      </c>
      <c r="U75" s="9" t="s">
        <v>27</v>
      </c>
    </row>
    <row r="76" spans="1:21" ht="15.75" customHeight="1">
      <c r="A76" s="7" t="s">
        <v>1481</v>
      </c>
      <c r="B76" s="8">
        <v>3.6999999999999998E-2</v>
      </c>
      <c r="C76" s="9" t="s">
        <v>33</v>
      </c>
      <c r="D76" s="10" t="s">
        <v>1482</v>
      </c>
      <c r="E76" s="8">
        <v>1.2699999999999999E-2</v>
      </c>
      <c r="F76" s="9" t="s">
        <v>42</v>
      </c>
      <c r="G76" s="7" t="s">
        <v>1483</v>
      </c>
      <c r="H76" s="8">
        <v>2.3800000000000002E-2</v>
      </c>
      <c r="I76" s="9" t="s">
        <v>42</v>
      </c>
      <c r="J76" s="7" t="s">
        <v>1484</v>
      </c>
      <c r="K76" s="8">
        <v>0.1</v>
      </c>
      <c r="L76" s="9" t="s">
        <v>33</v>
      </c>
      <c r="M76" s="7" t="s">
        <v>1485</v>
      </c>
      <c r="N76" s="8">
        <v>6.25E-2</v>
      </c>
      <c r="O76" s="9" t="s">
        <v>42</v>
      </c>
      <c r="P76" s="10" t="s">
        <v>871</v>
      </c>
      <c r="Q76" s="8">
        <v>1.72E-2</v>
      </c>
      <c r="R76" s="9" t="s">
        <v>37</v>
      </c>
      <c r="S76" s="7" t="s">
        <v>1052</v>
      </c>
      <c r="T76" s="8">
        <v>2.9000000000000001E-2</v>
      </c>
      <c r="U76" s="9" t="s">
        <v>37</v>
      </c>
    </row>
    <row r="77" spans="1:21" ht="15.75" customHeight="1">
      <c r="A77" s="7" t="s">
        <v>1486</v>
      </c>
      <c r="B77" s="8">
        <v>3.6999999999999998E-2</v>
      </c>
      <c r="C77" s="9" t="s">
        <v>33</v>
      </c>
      <c r="D77" s="7" t="s">
        <v>325</v>
      </c>
      <c r="E77" s="8">
        <v>1.2699999999999999E-2</v>
      </c>
      <c r="F77" s="9" t="s">
        <v>33</v>
      </c>
      <c r="G77" s="7" t="s">
        <v>1487</v>
      </c>
      <c r="H77" s="8">
        <v>2.3800000000000002E-2</v>
      </c>
      <c r="I77" s="9" t="s">
        <v>33</v>
      </c>
      <c r="J77" s="7" t="s">
        <v>1052</v>
      </c>
      <c r="K77" s="8">
        <v>0.1</v>
      </c>
      <c r="L77" s="9" t="s">
        <v>37</v>
      </c>
      <c r="M77" s="7" t="s">
        <v>1357</v>
      </c>
      <c r="N77" s="8">
        <v>6.25E-2</v>
      </c>
      <c r="O77" s="9" t="s">
        <v>42</v>
      </c>
      <c r="P77" s="10" t="s">
        <v>1488</v>
      </c>
      <c r="Q77" s="8">
        <v>1.72E-2</v>
      </c>
      <c r="R77" s="9" t="s">
        <v>37</v>
      </c>
      <c r="S77" s="10" t="s">
        <v>1489</v>
      </c>
      <c r="T77" s="8">
        <v>1.4500000000000001E-2</v>
      </c>
      <c r="U77" s="9" t="s">
        <v>33</v>
      </c>
    </row>
    <row r="78" spans="1:21" ht="15.75" customHeight="1">
      <c r="A78" s="7" t="s">
        <v>1490</v>
      </c>
      <c r="B78" s="8">
        <v>3.6999999999999998E-2</v>
      </c>
      <c r="C78" s="9" t="s">
        <v>33</v>
      </c>
      <c r="D78" s="7" t="s">
        <v>1079</v>
      </c>
      <c r="E78" s="8">
        <v>1.2699999999999999E-2</v>
      </c>
      <c r="F78" s="9" t="s">
        <v>33</v>
      </c>
      <c r="G78" s="7" t="s">
        <v>1285</v>
      </c>
      <c r="H78" s="8">
        <v>2.3800000000000002E-2</v>
      </c>
      <c r="I78" s="9" t="s">
        <v>33</v>
      </c>
      <c r="J78" s="7" t="s">
        <v>128</v>
      </c>
      <c r="K78" s="8">
        <v>0.1</v>
      </c>
      <c r="L78" s="9" t="s">
        <v>42</v>
      </c>
      <c r="M78" s="7" t="s">
        <v>1052</v>
      </c>
      <c r="N78" s="8">
        <v>6.25E-2</v>
      </c>
      <c r="O78" s="9" t="s">
        <v>37</v>
      </c>
      <c r="P78" s="7" t="s">
        <v>1491</v>
      </c>
      <c r="Q78" s="8">
        <v>1.72E-2</v>
      </c>
      <c r="R78" s="9" t="s">
        <v>37</v>
      </c>
      <c r="S78" s="7" t="s">
        <v>1492</v>
      </c>
      <c r="T78" s="8">
        <v>1.4500000000000001E-2</v>
      </c>
      <c r="U78" s="9" t="s">
        <v>33</v>
      </c>
    </row>
    <row r="79" spans="1:21" ht="15.75" customHeight="1">
      <c r="A79" s="7" t="s">
        <v>1357</v>
      </c>
      <c r="B79" s="8">
        <v>3.6999999999999998E-2</v>
      </c>
      <c r="C79" s="9" t="s">
        <v>42</v>
      </c>
      <c r="D79" s="7" t="s">
        <v>1052</v>
      </c>
      <c r="E79" s="8">
        <v>2.53E-2</v>
      </c>
      <c r="F79" s="9" t="s">
        <v>37</v>
      </c>
      <c r="G79" s="7" t="s">
        <v>1493</v>
      </c>
      <c r="H79" s="8">
        <v>2.3800000000000002E-2</v>
      </c>
      <c r="I79" s="9" t="s">
        <v>33</v>
      </c>
      <c r="J79" s="7" t="s">
        <v>30</v>
      </c>
      <c r="K79" s="8">
        <v>0.1</v>
      </c>
      <c r="L79" s="9" t="s">
        <v>37</v>
      </c>
      <c r="M79" s="7" t="s">
        <v>1494</v>
      </c>
      <c r="N79" s="8">
        <v>6.25E-2</v>
      </c>
      <c r="O79" s="9" t="s">
        <v>33</v>
      </c>
      <c r="P79" s="7" t="s">
        <v>43</v>
      </c>
      <c r="Q79" s="8">
        <v>1.72E-2</v>
      </c>
      <c r="R79" s="9" t="s">
        <v>37</v>
      </c>
      <c r="S79" s="7" t="s">
        <v>30</v>
      </c>
      <c r="T79" s="8">
        <v>2.9000000000000001E-2</v>
      </c>
      <c r="U79" s="9" t="s">
        <v>37</v>
      </c>
    </row>
    <row r="80" spans="1:21" ht="15.75" customHeight="1">
      <c r="A80" s="7" t="s">
        <v>1495</v>
      </c>
      <c r="B80" s="8">
        <v>7.4099999999999999E-2</v>
      </c>
      <c r="C80" s="9" t="s">
        <v>37</v>
      </c>
      <c r="D80" s="7" t="s">
        <v>1496</v>
      </c>
      <c r="E80" s="8">
        <v>2.53E-2</v>
      </c>
      <c r="F80" s="9" t="s">
        <v>37</v>
      </c>
      <c r="G80" s="7" t="s">
        <v>1047</v>
      </c>
      <c r="H80" s="8">
        <v>2.3800000000000002E-2</v>
      </c>
      <c r="I80" s="9" t="s">
        <v>33</v>
      </c>
      <c r="J80" s="7" t="s">
        <v>1497</v>
      </c>
      <c r="K80" s="8">
        <v>0.1</v>
      </c>
      <c r="L80" s="9" t="s">
        <v>33</v>
      </c>
      <c r="M80" s="7" t="s">
        <v>1498</v>
      </c>
      <c r="N80" s="8">
        <v>6.25E-2</v>
      </c>
      <c r="O80" s="9" t="s">
        <v>33</v>
      </c>
      <c r="P80" s="7" t="s">
        <v>1148</v>
      </c>
      <c r="Q80" s="8">
        <v>1.72E-2</v>
      </c>
      <c r="R80" s="9" t="s">
        <v>42</v>
      </c>
      <c r="S80" s="10" t="s">
        <v>1499</v>
      </c>
      <c r="T80" s="8">
        <v>1.4500000000000001E-2</v>
      </c>
      <c r="U80" s="9" t="s">
        <v>33</v>
      </c>
    </row>
    <row r="81" spans="1:21" ht="15.75" customHeight="1">
      <c r="A81" s="7" t="s">
        <v>30</v>
      </c>
      <c r="B81" s="8">
        <v>3.6999999999999998E-2</v>
      </c>
      <c r="C81" s="9" t="s">
        <v>37</v>
      </c>
      <c r="D81" s="10" t="s">
        <v>1500</v>
      </c>
      <c r="E81" s="8">
        <v>1.2699999999999999E-2</v>
      </c>
      <c r="F81" s="9" t="s">
        <v>37</v>
      </c>
      <c r="G81" s="7" t="s">
        <v>1501</v>
      </c>
      <c r="H81" s="8">
        <v>2.3800000000000002E-2</v>
      </c>
      <c r="I81" s="9" t="s">
        <v>42</v>
      </c>
      <c r="J81" s="10"/>
      <c r="K81" s="12"/>
      <c r="L81" s="9"/>
      <c r="M81" s="7" t="s">
        <v>1502</v>
      </c>
      <c r="N81" s="8">
        <v>6.25E-2</v>
      </c>
      <c r="O81" s="9" t="s">
        <v>33</v>
      </c>
      <c r="P81" s="7" t="s">
        <v>180</v>
      </c>
      <c r="Q81" s="8">
        <v>1.72E-2</v>
      </c>
      <c r="R81" s="9" t="s">
        <v>37</v>
      </c>
      <c r="S81" s="7" t="s">
        <v>1503</v>
      </c>
      <c r="T81" s="8">
        <v>1.4500000000000001E-2</v>
      </c>
      <c r="U81" s="9" t="s">
        <v>33</v>
      </c>
    </row>
    <row r="82" spans="1:21" ht="15.75" customHeight="1">
      <c r="A82" s="7" t="s">
        <v>1504</v>
      </c>
      <c r="B82" s="8">
        <v>3.6999999999999998E-2</v>
      </c>
      <c r="C82" s="9" t="s">
        <v>33</v>
      </c>
      <c r="D82" s="7" t="s">
        <v>1505</v>
      </c>
      <c r="E82" s="8">
        <v>1.2699999999999999E-2</v>
      </c>
      <c r="F82" s="9" t="s">
        <v>42</v>
      </c>
      <c r="G82" s="7" t="s">
        <v>1052</v>
      </c>
      <c r="H82" s="8">
        <v>4.7600000000000003E-2</v>
      </c>
      <c r="I82" s="9" t="s">
        <v>37</v>
      </c>
      <c r="J82" s="10"/>
      <c r="K82" s="12"/>
      <c r="L82" s="9"/>
      <c r="M82" s="10" t="s">
        <v>1506</v>
      </c>
      <c r="N82" s="8">
        <v>6.25E-2</v>
      </c>
      <c r="O82" s="9" t="s">
        <v>33</v>
      </c>
      <c r="P82" s="7" t="s">
        <v>1052</v>
      </c>
      <c r="Q82" s="8">
        <v>1.72E-2</v>
      </c>
      <c r="R82" s="9" t="s">
        <v>37</v>
      </c>
      <c r="S82" s="7" t="s">
        <v>30</v>
      </c>
      <c r="T82" s="8">
        <v>1.4500000000000001E-2</v>
      </c>
      <c r="U82" s="9" t="s">
        <v>37</v>
      </c>
    </row>
    <row r="83" spans="1:21" ht="15.75" customHeight="1">
      <c r="A83" s="7" t="s">
        <v>1507</v>
      </c>
      <c r="B83" s="8">
        <v>3.6999999999999998E-2</v>
      </c>
      <c r="C83" s="9" t="s">
        <v>33</v>
      </c>
      <c r="D83" s="7" t="s">
        <v>1508</v>
      </c>
      <c r="E83" s="8">
        <v>1.2699999999999999E-2</v>
      </c>
      <c r="F83" s="9" t="s">
        <v>37</v>
      </c>
      <c r="G83" s="7" t="s">
        <v>1509</v>
      </c>
      <c r="H83" s="8">
        <v>2.3800000000000002E-2</v>
      </c>
      <c r="I83" s="9" t="s">
        <v>37</v>
      </c>
      <c r="J83" s="10"/>
      <c r="K83" s="12"/>
      <c r="L83" s="9"/>
      <c r="M83" s="7" t="s">
        <v>1510</v>
      </c>
      <c r="N83" s="8">
        <v>6.25E-2</v>
      </c>
      <c r="O83" s="9" t="s">
        <v>33</v>
      </c>
      <c r="P83" s="7" t="s">
        <v>1511</v>
      </c>
      <c r="Q83" s="8">
        <v>1.72E-2</v>
      </c>
      <c r="R83" s="9" t="s">
        <v>33</v>
      </c>
      <c r="S83" s="7" t="s">
        <v>1512</v>
      </c>
      <c r="T83" s="8">
        <v>1.4500000000000001E-2</v>
      </c>
      <c r="U83" s="9" t="s">
        <v>33</v>
      </c>
    </row>
    <row r="84" spans="1:21" ht="15.75" customHeight="1">
      <c r="A84" s="10" t="s">
        <v>1513</v>
      </c>
      <c r="B84" s="8">
        <v>3.6999999999999998E-2</v>
      </c>
      <c r="C84" s="9" t="s">
        <v>37</v>
      </c>
      <c r="D84" s="7" t="s">
        <v>370</v>
      </c>
      <c r="E84" s="8">
        <v>1.2699999999999999E-2</v>
      </c>
      <c r="F84" s="9" t="s">
        <v>33</v>
      </c>
      <c r="G84" s="7" t="s">
        <v>1047</v>
      </c>
      <c r="H84" s="8">
        <v>2.3800000000000002E-2</v>
      </c>
      <c r="I84" s="9" t="s">
        <v>33</v>
      </c>
      <c r="J84" s="10"/>
      <c r="K84" s="12"/>
      <c r="L84" s="9"/>
      <c r="M84" s="10"/>
      <c r="N84" s="12"/>
      <c r="O84" s="9"/>
      <c r="P84" s="10" t="s">
        <v>1514</v>
      </c>
      <c r="Q84" s="8">
        <v>3.4500000000000003E-2</v>
      </c>
      <c r="R84" s="9" t="s">
        <v>37</v>
      </c>
      <c r="S84" s="7" t="s">
        <v>1047</v>
      </c>
      <c r="T84" s="8">
        <v>1.4500000000000001E-2</v>
      </c>
      <c r="U84" s="9" t="s">
        <v>33</v>
      </c>
    </row>
    <row r="85" spans="1:21" ht="15.75" customHeight="1">
      <c r="A85" s="10" t="s">
        <v>1515</v>
      </c>
      <c r="B85" s="8">
        <v>3.6999999999999998E-2</v>
      </c>
      <c r="C85" s="9" t="s">
        <v>33</v>
      </c>
      <c r="D85" s="7" t="s">
        <v>325</v>
      </c>
      <c r="E85" s="8">
        <v>1.2699999999999999E-2</v>
      </c>
      <c r="F85" s="9" t="s">
        <v>33</v>
      </c>
      <c r="G85" s="7" t="s">
        <v>1516</v>
      </c>
      <c r="H85" s="8">
        <v>2.3800000000000002E-2</v>
      </c>
      <c r="I85" s="9" t="s">
        <v>33</v>
      </c>
      <c r="J85" s="10"/>
      <c r="K85" s="12"/>
      <c r="L85" s="9"/>
      <c r="M85" s="10"/>
      <c r="N85" s="12"/>
      <c r="O85" s="9"/>
      <c r="P85" s="7" t="s">
        <v>1517</v>
      </c>
      <c r="Q85" s="8">
        <v>1.72E-2</v>
      </c>
      <c r="R85" s="9" t="s">
        <v>33</v>
      </c>
      <c r="S85" s="7" t="s">
        <v>1518</v>
      </c>
      <c r="T85" s="8">
        <v>1.4500000000000001E-2</v>
      </c>
      <c r="U85" s="9" t="s">
        <v>42</v>
      </c>
    </row>
    <row r="86" spans="1:21" ht="15.75" customHeight="1">
      <c r="A86" s="7" t="s">
        <v>1519</v>
      </c>
      <c r="B86" s="8">
        <v>3.6999999999999998E-2</v>
      </c>
      <c r="C86" s="9" t="s">
        <v>42</v>
      </c>
      <c r="D86" s="7" t="s">
        <v>1520</v>
      </c>
      <c r="E86" s="8">
        <v>1.2699999999999999E-2</v>
      </c>
      <c r="F86" s="9" t="s">
        <v>33</v>
      </c>
      <c r="G86" s="10"/>
      <c r="H86" s="12"/>
      <c r="I86" s="9"/>
      <c r="J86" s="10"/>
      <c r="K86" s="12"/>
      <c r="L86" s="9"/>
      <c r="M86" s="10"/>
      <c r="N86" s="12"/>
      <c r="O86" s="9"/>
      <c r="P86" s="7" t="s">
        <v>1052</v>
      </c>
      <c r="Q86" s="8">
        <v>1.72E-2</v>
      </c>
      <c r="R86" s="9" t="s">
        <v>37</v>
      </c>
      <c r="S86" s="10"/>
      <c r="T86" s="12"/>
      <c r="U86" s="9"/>
    </row>
    <row r="87" spans="1:21" ht="15.75" customHeight="1">
      <c r="A87" s="10"/>
      <c r="B87" s="12"/>
      <c r="C87" s="9"/>
      <c r="D87" s="7" t="s">
        <v>325</v>
      </c>
      <c r="E87" s="8">
        <v>1.2699999999999999E-2</v>
      </c>
      <c r="F87" s="9" t="s">
        <v>33</v>
      </c>
      <c r="G87" s="10"/>
      <c r="H87" s="12"/>
      <c r="I87" s="9"/>
      <c r="J87" s="10"/>
      <c r="K87" s="12"/>
      <c r="L87" s="9"/>
      <c r="M87" s="10"/>
      <c r="N87" s="12"/>
      <c r="O87" s="9"/>
      <c r="P87" s="7" t="s">
        <v>1521</v>
      </c>
      <c r="Q87" s="8">
        <v>1.72E-2</v>
      </c>
      <c r="R87" s="9" t="s">
        <v>37</v>
      </c>
      <c r="S87" s="10"/>
      <c r="T87" s="12"/>
      <c r="U87" s="9"/>
    </row>
    <row r="88" spans="1:21" ht="15.75" customHeight="1">
      <c r="A88" s="10"/>
      <c r="B88" s="12"/>
      <c r="C88" s="9"/>
      <c r="D88" s="7" t="s">
        <v>1522</v>
      </c>
      <c r="E88" s="8">
        <v>1.2699999999999999E-2</v>
      </c>
      <c r="F88" s="9" t="s">
        <v>37</v>
      </c>
      <c r="G88" s="10"/>
      <c r="H88" s="12"/>
      <c r="I88" s="9"/>
      <c r="J88" s="10"/>
      <c r="K88" s="12"/>
      <c r="L88" s="9"/>
      <c r="M88" s="10"/>
      <c r="N88" s="12"/>
      <c r="O88" s="9"/>
      <c r="P88" s="10" t="s">
        <v>1523</v>
      </c>
      <c r="Q88" s="8">
        <v>1.72E-2</v>
      </c>
      <c r="R88" s="9" t="s">
        <v>37</v>
      </c>
      <c r="S88" s="10"/>
      <c r="T88" s="12"/>
      <c r="U88" s="9"/>
    </row>
    <row r="89" spans="1:21" ht="15.75" customHeight="1">
      <c r="A89" s="10"/>
      <c r="B89" s="12"/>
      <c r="C89" s="9"/>
      <c r="D89" s="10"/>
      <c r="E89" s="12"/>
      <c r="F89" s="9"/>
      <c r="G89" s="10"/>
      <c r="H89" s="12"/>
      <c r="I89" s="9"/>
      <c r="J89" s="10"/>
      <c r="K89" s="12"/>
      <c r="L89" s="9"/>
      <c r="M89" s="10"/>
      <c r="N89" s="12"/>
      <c r="O89" s="9"/>
      <c r="P89" s="7" t="s">
        <v>71</v>
      </c>
      <c r="Q89" s="8">
        <v>1.72E-2</v>
      </c>
      <c r="R89" s="9" t="s">
        <v>27</v>
      </c>
      <c r="S89" s="10"/>
      <c r="T89" s="12"/>
      <c r="U89" s="9"/>
    </row>
    <row r="90" spans="1:21" ht="15.75" customHeight="1">
      <c r="A90" s="10"/>
      <c r="B90" s="12"/>
      <c r="C90" s="9"/>
      <c r="D90" s="10"/>
      <c r="E90" s="12"/>
      <c r="F90" s="9"/>
      <c r="G90" s="10"/>
      <c r="H90" s="12"/>
      <c r="I90" s="9"/>
      <c r="J90" s="10"/>
      <c r="K90" s="12"/>
      <c r="L90" s="9"/>
      <c r="M90" s="10"/>
      <c r="N90" s="12"/>
      <c r="O90" s="9"/>
      <c r="P90" s="7" t="s">
        <v>1524</v>
      </c>
      <c r="Q90" s="8">
        <v>1.72E-2</v>
      </c>
      <c r="R90" s="9" t="s">
        <v>27</v>
      </c>
      <c r="S90" s="10"/>
      <c r="T90" s="12"/>
      <c r="U90" s="9"/>
    </row>
    <row r="91" spans="1:21" ht="15.75" customHeight="1">
      <c r="A91" s="10"/>
      <c r="B91" s="12"/>
      <c r="C91" s="9"/>
      <c r="D91" s="10"/>
      <c r="E91" s="12"/>
      <c r="F91" s="9"/>
      <c r="G91" s="10"/>
      <c r="H91" s="12"/>
      <c r="I91" s="9"/>
      <c r="J91" s="10"/>
      <c r="K91" s="12"/>
      <c r="L91" s="9"/>
      <c r="M91" s="10"/>
      <c r="N91" s="12"/>
      <c r="O91" s="9"/>
      <c r="P91" s="10"/>
      <c r="Q91" s="12"/>
      <c r="R91" s="9"/>
      <c r="S91" s="10"/>
      <c r="T91" s="12"/>
      <c r="U91" s="9"/>
    </row>
    <row r="92" spans="1:21" ht="15.75" customHeight="1">
      <c r="A92" s="10"/>
      <c r="B92" s="12"/>
      <c r="C92" s="9"/>
      <c r="D92" s="10"/>
      <c r="E92" s="12"/>
      <c r="F92" s="9"/>
      <c r="G92" s="10"/>
      <c r="H92" s="12"/>
      <c r="I92" s="9"/>
      <c r="J92" s="10"/>
      <c r="K92" s="12"/>
      <c r="L92" s="9"/>
      <c r="M92" s="10"/>
      <c r="N92" s="12"/>
      <c r="O92" s="9"/>
      <c r="P92" s="10"/>
      <c r="Q92" s="12"/>
      <c r="R92" s="9"/>
      <c r="S92" s="10"/>
      <c r="T92" s="12"/>
      <c r="U92" s="9"/>
    </row>
    <row r="93" spans="1:21" ht="15.75" customHeight="1">
      <c r="A93" s="10"/>
      <c r="B93" s="12"/>
      <c r="C93" s="9"/>
      <c r="D93" s="10"/>
      <c r="E93" s="12"/>
      <c r="F93" s="9"/>
      <c r="G93" s="10"/>
      <c r="H93" s="12"/>
      <c r="I93" s="9"/>
      <c r="J93" s="10"/>
      <c r="K93" s="12"/>
      <c r="L93" s="9"/>
      <c r="M93" s="10"/>
      <c r="N93" s="12"/>
      <c r="O93" s="9"/>
      <c r="P93" s="10"/>
      <c r="Q93" s="12"/>
      <c r="R93" s="9"/>
      <c r="S93" s="10"/>
      <c r="T93" s="12"/>
      <c r="U93" s="9"/>
    </row>
    <row r="94" spans="1:21" ht="15.75" customHeight="1">
      <c r="A94" s="13"/>
      <c r="B94" s="14"/>
      <c r="C94" s="15"/>
      <c r="D94" s="13"/>
      <c r="E94" s="14"/>
      <c r="F94" s="15"/>
      <c r="G94" s="13"/>
      <c r="H94" s="14"/>
      <c r="I94" s="15"/>
      <c r="J94" s="13"/>
      <c r="K94" s="14"/>
      <c r="L94" s="15"/>
      <c r="M94" s="13"/>
      <c r="N94" s="14"/>
      <c r="O94" s="15"/>
      <c r="P94" s="13"/>
      <c r="Q94" s="14"/>
      <c r="R94" s="15"/>
      <c r="S94" s="13"/>
      <c r="T94" s="14"/>
      <c r="U94" s="15"/>
    </row>
    <row r="95" spans="1:21" ht="15.75" customHeight="1">
      <c r="A95" s="4" t="str">
        <f>IF(29&lt;=DAY(EOMONTH(DATE(2026,$B$1,1),0)),$B$1&amp;"월 29일","")</f>
        <v>4월 29일</v>
      </c>
      <c r="B95" s="5"/>
      <c r="C95" s="6"/>
      <c r="D95" s="4" t="str">
        <f>IF(30&lt;=DAY(EOMONTH(DATE(2026,$B$1,1),0)),$B$1&amp;"월 30일","")</f>
        <v>4월 30일</v>
      </c>
      <c r="E95" s="5"/>
      <c r="F95" s="6"/>
      <c r="G95" s="4" t="str">
        <f>IF(31&lt;=DAY(EOMONTH(DATE(2026,$B$1,1),0)),$B$1&amp;"월 31일","")</f>
        <v/>
      </c>
      <c r="H95" s="5"/>
      <c r="I95" s="6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spans="1:21" ht="15.75" customHeight="1">
      <c r="A96" s="7" t="s">
        <v>1052</v>
      </c>
      <c r="B96" s="8">
        <v>5.2600000000000001E-2</v>
      </c>
      <c r="C96" s="9" t="s">
        <v>37</v>
      </c>
      <c r="D96" s="10" t="s">
        <v>1525</v>
      </c>
      <c r="E96" s="8">
        <v>5.2600000000000001E-2</v>
      </c>
      <c r="F96" s="9" t="s">
        <v>33</v>
      </c>
      <c r="G96" s="10"/>
      <c r="H96" s="12"/>
      <c r="I96" s="9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ht="15.75" customHeight="1">
      <c r="A97" s="7" t="s">
        <v>1526</v>
      </c>
      <c r="B97" s="8">
        <v>2.63E-2</v>
      </c>
      <c r="C97" s="9" t="s">
        <v>37</v>
      </c>
      <c r="D97" s="7" t="s">
        <v>1527</v>
      </c>
      <c r="E97" s="8">
        <v>5.2600000000000001E-2</v>
      </c>
      <c r="F97" s="9" t="s">
        <v>33</v>
      </c>
      <c r="G97" s="10"/>
      <c r="H97" s="12"/>
      <c r="I97" s="9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ht="15.75" customHeight="1">
      <c r="A98" s="7" t="s">
        <v>1487</v>
      </c>
      <c r="B98" s="8">
        <v>2.63E-2</v>
      </c>
      <c r="C98" s="9" t="s">
        <v>33</v>
      </c>
      <c r="D98" s="7" t="s">
        <v>1528</v>
      </c>
      <c r="E98" s="8">
        <v>5.2600000000000001E-2</v>
      </c>
      <c r="F98" s="9" t="s">
        <v>33</v>
      </c>
      <c r="G98" s="10"/>
      <c r="H98" s="12"/>
      <c r="I98" s="9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15.75" customHeight="1">
      <c r="A99" s="7" t="s">
        <v>1529</v>
      </c>
      <c r="B99" s="8">
        <v>2.63E-2</v>
      </c>
      <c r="C99" s="9" t="s">
        <v>27</v>
      </c>
      <c r="D99" s="7" t="s">
        <v>1530</v>
      </c>
      <c r="E99" s="8">
        <v>5.2600000000000001E-2</v>
      </c>
      <c r="F99" s="9" t="s">
        <v>37</v>
      </c>
      <c r="G99" s="10"/>
      <c r="H99" s="12"/>
      <c r="I99" s="9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15.75" customHeight="1">
      <c r="A100" s="7" t="s">
        <v>859</v>
      </c>
      <c r="B100" s="8">
        <v>2.63E-2</v>
      </c>
      <c r="C100" s="9" t="s">
        <v>33</v>
      </c>
      <c r="D100" s="10" t="s">
        <v>1388</v>
      </c>
      <c r="E100" s="8">
        <v>5.2600000000000001E-2</v>
      </c>
      <c r="F100" s="9" t="s">
        <v>37</v>
      </c>
      <c r="G100" s="10"/>
      <c r="H100" s="12"/>
      <c r="I100" s="9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ht="15.75" customHeight="1">
      <c r="A101" s="7" t="s">
        <v>1440</v>
      </c>
      <c r="B101" s="8">
        <v>2.63E-2</v>
      </c>
      <c r="C101" s="9" t="s">
        <v>33</v>
      </c>
      <c r="D101" s="7" t="s">
        <v>1531</v>
      </c>
      <c r="E101" s="8">
        <v>5.2600000000000001E-2</v>
      </c>
      <c r="F101" s="9" t="s">
        <v>42</v>
      </c>
      <c r="G101" s="10"/>
      <c r="H101" s="12"/>
      <c r="I101" s="9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ht="15.75" customHeight="1">
      <c r="A102" s="7" t="s">
        <v>1532</v>
      </c>
      <c r="B102" s="8">
        <v>2.63E-2</v>
      </c>
      <c r="C102" s="9" t="s">
        <v>42</v>
      </c>
      <c r="D102" s="7" t="s">
        <v>1533</v>
      </c>
      <c r="E102" s="8">
        <v>5.2600000000000001E-2</v>
      </c>
      <c r="F102" s="9" t="s">
        <v>37</v>
      </c>
      <c r="G102" s="10"/>
      <c r="H102" s="12"/>
      <c r="I102" s="9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ht="15.75" customHeight="1">
      <c r="A103" s="7" t="s">
        <v>1534</v>
      </c>
      <c r="B103" s="8">
        <v>2.63E-2</v>
      </c>
      <c r="C103" s="9" t="s">
        <v>42</v>
      </c>
      <c r="D103" s="7" t="s">
        <v>30</v>
      </c>
      <c r="E103" s="8">
        <v>0.1053</v>
      </c>
      <c r="F103" s="9" t="s">
        <v>37</v>
      </c>
      <c r="G103" s="10"/>
      <c r="H103" s="12"/>
      <c r="I103" s="9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ht="15.75" customHeight="1">
      <c r="A104" s="7" t="s">
        <v>43</v>
      </c>
      <c r="B104" s="8">
        <v>2.63E-2</v>
      </c>
      <c r="C104" s="9" t="s">
        <v>37</v>
      </c>
      <c r="D104" s="10"/>
      <c r="E104" s="12"/>
      <c r="F104" s="9"/>
      <c r="G104" s="10"/>
      <c r="H104" s="12"/>
      <c r="I104" s="9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15.75" customHeight="1">
      <c r="A105" s="7" t="s">
        <v>1535</v>
      </c>
      <c r="B105" s="8">
        <v>2.63E-2</v>
      </c>
      <c r="C105" s="9" t="s">
        <v>42</v>
      </c>
      <c r="D105" s="10"/>
      <c r="E105" s="12"/>
      <c r="F105" s="9"/>
      <c r="G105" s="10"/>
      <c r="H105" s="12"/>
      <c r="I105" s="9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15.75" customHeight="1">
      <c r="A106" s="7" t="s">
        <v>1536</v>
      </c>
      <c r="B106" s="8">
        <v>2.63E-2</v>
      </c>
      <c r="C106" s="9" t="s">
        <v>42</v>
      </c>
      <c r="D106" s="10"/>
      <c r="E106" s="12"/>
      <c r="F106" s="9"/>
      <c r="G106" s="10"/>
      <c r="H106" s="12"/>
      <c r="I106" s="9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ht="15.75" customHeight="1">
      <c r="A107" s="7" t="s">
        <v>30</v>
      </c>
      <c r="B107" s="8">
        <v>5.2600000000000001E-2</v>
      </c>
      <c r="C107" s="9" t="s">
        <v>37</v>
      </c>
      <c r="D107" s="10"/>
      <c r="E107" s="12"/>
      <c r="F107" s="9"/>
      <c r="G107" s="10"/>
      <c r="H107" s="12"/>
      <c r="I107" s="9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15.75" customHeight="1">
      <c r="A108" s="10"/>
      <c r="B108" s="12"/>
      <c r="C108" s="9"/>
      <c r="D108" s="10"/>
      <c r="E108" s="12"/>
      <c r="F108" s="9"/>
      <c r="G108" s="10"/>
      <c r="H108" s="12"/>
      <c r="I108" s="9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ht="15.75" customHeight="1">
      <c r="A109" s="10"/>
      <c r="B109" s="12"/>
      <c r="C109" s="9"/>
      <c r="D109" s="10"/>
      <c r="E109" s="12"/>
      <c r="F109" s="9"/>
      <c r="G109" s="10"/>
      <c r="H109" s="12"/>
      <c r="I109" s="9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ht="15.75" customHeight="1">
      <c r="A110" s="10"/>
      <c r="B110" s="12"/>
      <c r="C110" s="9"/>
      <c r="D110" s="10"/>
      <c r="E110" s="12"/>
      <c r="F110" s="9"/>
      <c r="G110" s="10"/>
      <c r="H110" s="12"/>
      <c r="I110" s="9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ht="15.75" customHeight="1">
      <c r="A111" s="10"/>
      <c r="B111" s="12"/>
      <c r="C111" s="9"/>
      <c r="D111" s="10"/>
      <c r="E111" s="12"/>
      <c r="F111" s="9"/>
      <c r="G111" s="10"/>
      <c r="H111" s="12"/>
      <c r="I111" s="9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ht="15.75" customHeight="1">
      <c r="A112" s="10"/>
      <c r="B112" s="12"/>
      <c r="C112" s="9"/>
      <c r="D112" s="10"/>
      <c r="E112" s="12"/>
      <c r="F112" s="9"/>
      <c r="G112" s="10"/>
      <c r="H112" s="12"/>
      <c r="I112" s="9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15.75" customHeight="1">
      <c r="A113" s="10"/>
      <c r="B113" s="12"/>
      <c r="C113" s="9"/>
      <c r="D113" s="10"/>
      <c r="E113" s="12"/>
      <c r="F113" s="9"/>
      <c r="G113" s="10"/>
      <c r="H113" s="12"/>
      <c r="I113" s="9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ht="15.75" customHeight="1">
      <c r="A114" s="10"/>
      <c r="B114" s="12"/>
      <c r="C114" s="9"/>
      <c r="D114" s="10"/>
      <c r="E114" s="12"/>
      <c r="F114" s="9"/>
      <c r="G114" s="10"/>
      <c r="H114" s="12"/>
      <c r="I114" s="9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ht="15.75" customHeight="1">
      <c r="A115" s="13"/>
      <c r="B115" s="14"/>
      <c r="C115" s="15"/>
      <c r="D115" s="13"/>
      <c r="E115" s="14"/>
      <c r="F115" s="15"/>
      <c r="G115" s="13"/>
      <c r="H115" s="14"/>
      <c r="I115" s="15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</sheetData>
  <mergeCells count="1">
    <mergeCell ref="C1:U1"/>
  </mergeCells>
  <phoneticPr fontId="19" type="noConversion"/>
  <dataValidations count="3">
    <dataValidation type="list" sqref="B1">
      <formula1>"1,2,3,4,5,6,7,8,9,10,11,12"</formula1>
      <formula2>0</formula2>
    </dataValidation>
    <dataValidation type="list" allowBlank="1" sqref="C3 C18:C135 F3:F135 I3:I135 L3:L135 O3:O135 R3:R135 U3:U135">
      <formula1>"Trend,Media,About,Data,People"</formula1>
      <formula2>0</formula2>
    </dataValidation>
    <dataValidation type="list" allowBlank="1" showInputMessage="1" showErrorMessage="1" sqref="C4:C17">
      <formula1>"Trend,Media,About,Data,People"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zoomScaleNormal="100" workbookViewId="0">
      <selection activeCell="K26" sqref="K26"/>
    </sheetView>
  </sheetViews>
  <sheetFormatPr defaultColWidth="8.6640625" defaultRowHeight="14.4"/>
  <cols>
    <col min="1" max="1" width="1.5546875" style="150" customWidth="1"/>
    <col min="2" max="2" width="16" style="150" customWidth="1"/>
    <col min="3" max="3" width="12" style="150" customWidth="1"/>
    <col min="4" max="4" width="2.44140625" style="150" customWidth="1"/>
    <col min="5" max="5" width="20" style="150" customWidth="1"/>
    <col min="6" max="6" width="10" style="150" customWidth="1"/>
    <col min="7" max="8" width="2" style="150" customWidth="1"/>
    <col min="9" max="9" width="6.21875" style="150" customWidth="1"/>
    <col min="10" max="11" width="8.6640625" style="150" customWidth="1"/>
    <col min="12" max="12" width="66.5546875" style="150" customWidth="1"/>
  </cols>
  <sheetData>
    <row r="1" spans="2:12" ht="27.75" customHeight="1">
      <c r="B1" s="184" t="s">
        <v>1537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 spans="2:12" ht="6" customHeight="1"/>
    <row r="3" spans="2:12" ht="19.5" customHeight="1">
      <c r="B3" s="164" t="s">
        <v>6</v>
      </c>
      <c r="C3" s="165"/>
      <c r="E3" s="164" t="s">
        <v>7</v>
      </c>
      <c r="F3" s="165"/>
      <c r="I3" s="153" t="s">
        <v>971</v>
      </c>
      <c r="J3" s="191" t="s">
        <v>8</v>
      </c>
      <c r="K3" s="171"/>
      <c r="L3" s="165"/>
    </row>
    <row r="4" spans="2:12" ht="16.5" customHeight="1">
      <c r="B4" s="21" t="s">
        <v>9</v>
      </c>
      <c r="C4" s="22">
        <v>1835</v>
      </c>
      <c r="E4" s="21" t="s">
        <v>189</v>
      </c>
      <c r="F4" s="22" t="s">
        <v>1538</v>
      </c>
      <c r="I4" s="29">
        <v>1</v>
      </c>
      <c r="J4" s="151" t="s">
        <v>975</v>
      </c>
      <c r="K4" s="93"/>
      <c r="L4" s="94"/>
    </row>
    <row r="5" spans="2:12" ht="16.5" customHeight="1">
      <c r="B5" s="7" t="s">
        <v>10</v>
      </c>
      <c r="C5" s="24">
        <v>1105</v>
      </c>
      <c r="E5" s="7" t="s">
        <v>195</v>
      </c>
      <c r="F5" s="24" t="s">
        <v>1539</v>
      </c>
      <c r="I5" s="30">
        <v>2</v>
      </c>
      <c r="J5" s="152" t="s">
        <v>1540</v>
      </c>
      <c r="K5" s="95"/>
      <c r="L5" s="96"/>
    </row>
    <row r="6" spans="2:12" ht="16.5" customHeight="1">
      <c r="B6" s="21" t="s">
        <v>11</v>
      </c>
      <c r="C6" s="22">
        <v>1246</v>
      </c>
      <c r="E6" s="21" t="s">
        <v>198</v>
      </c>
      <c r="F6" s="22" t="s">
        <v>1541</v>
      </c>
      <c r="I6" s="29">
        <v>3</v>
      </c>
      <c r="J6" s="151" t="s">
        <v>1542</v>
      </c>
      <c r="K6" s="93"/>
      <c r="L6" s="94"/>
    </row>
    <row r="7" spans="2:12" ht="16.5" customHeight="1">
      <c r="B7" s="7" t="s">
        <v>12</v>
      </c>
      <c r="C7" s="24" t="s">
        <v>1543</v>
      </c>
      <c r="E7" s="10" t="s">
        <v>191</v>
      </c>
      <c r="F7" s="24" t="s">
        <v>1544</v>
      </c>
      <c r="I7" s="30">
        <v>4</v>
      </c>
      <c r="J7" s="152" t="s">
        <v>1545</v>
      </c>
      <c r="K7" s="95"/>
      <c r="L7" s="96"/>
    </row>
    <row r="8" spans="2:12" ht="16.5" customHeight="1">
      <c r="B8" s="25" t="s">
        <v>13</v>
      </c>
      <c r="C8" s="26" t="s">
        <v>1546</v>
      </c>
      <c r="E8" s="25" t="s">
        <v>193</v>
      </c>
      <c r="F8" s="26" t="s">
        <v>1547</v>
      </c>
      <c r="I8" s="29">
        <v>5</v>
      </c>
      <c r="J8" s="151" t="s">
        <v>1548</v>
      </c>
      <c r="K8" s="93"/>
      <c r="L8" s="94"/>
    </row>
    <row r="9" spans="2:12" ht="15" customHeight="1">
      <c r="I9" s="30">
        <v>6</v>
      </c>
      <c r="J9" s="152" t="s">
        <v>1549</v>
      </c>
      <c r="K9" s="95"/>
      <c r="L9" s="96"/>
    </row>
    <row r="10" spans="2:12" ht="19.5" customHeight="1">
      <c r="B10" s="164" t="s">
        <v>14</v>
      </c>
      <c r="C10" s="165"/>
      <c r="E10" s="164" t="s">
        <v>15</v>
      </c>
      <c r="F10" s="165"/>
      <c r="I10" s="29">
        <v>7</v>
      </c>
      <c r="J10" s="151" t="s">
        <v>1550</v>
      </c>
      <c r="K10" s="93"/>
      <c r="L10" s="94"/>
    </row>
    <row r="11" spans="2:12" ht="16.5" customHeight="1">
      <c r="B11" s="23" t="s">
        <v>1551</v>
      </c>
      <c r="C11" s="22">
        <v>1408</v>
      </c>
      <c r="E11" s="21" t="s">
        <v>16</v>
      </c>
      <c r="F11" s="22" t="s">
        <v>1035</v>
      </c>
      <c r="I11" s="30">
        <v>7</v>
      </c>
      <c r="J11" s="152" t="s">
        <v>1552</v>
      </c>
      <c r="K11" s="95"/>
      <c r="L11" s="96"/>
    </row>
    <row r="12" spans="2:12" ht="18" customHeight="1">
      <c r="B12" s="10" t="s">
        <v>1216</v>
      </c>
      <c r="C12" s="24">
        <v>1710</v>
      </c>
      <c r="E12" s="13" t="s">
        <v>17</v>
      </c>
      <c r="F12" s="28" t="s">
        <v>1553</v>
      </c>
      <c r="I12" s="29">
        <v>9</v>
      </c>
      <c r="J12" s="151" t="s">
        <v>1214</v>
      </c>
      <c r="K12" s="93"/>
      <c r="L12" s="94"/>
    </row>
    <row r="13" spans="2:12" ht="18" customHeight="1" thickBot="1">
      <c r="B13" s="23" t="s">
        <v>976</v>
      </c>
      <c r="C13" s="22">
        <v>1267</v>
      </c>
      <c r="I13" s="97">
        <v>9</v>
      </c>
      <c r="J13" s="118" t="s">
        <v>1215</v>
      </c>
      <c r="K13" s="98"/>
      <c r="L13" s="99"/>
    </row>
    <row r="14" spans="2:12" ht="19.5" customHeight="1">
      <c r="B14" s="10" t="s">
        <v>752</v>
      </c>
      <c r="C14" s="24">
        <v>2216</v>
      </c>
      <c r="E14" s="164" t="s">
        <v>1220</v>
      </c>
      <c r="F14" s="165"/>
    </row>
    <row r="15" spans="2:12" ht="26.25" customHeight="1" thickBot="1">
      <c r="B15" s="27" t="s">
        <v>446</v>
      </c>
      <c r="C15" s="26">
        <v>1835</v>
      </c>
      <c r="E15" s="23" t="s">
        <v>1551</v>
      </c>
      <c r="F15" s="22">
        <v>732</v>
      </c>
    </row>
    <row r="16" spans="2:12" ht="16.5" customHeight="1" thickBot="1">
      <c r="E16" s="10" t="s">
        <v>1216</v>
      </c>
      <c r="F16" s="24">
        <v>669</v>
      </c>
    </row>
    <row r="17" spans="2:6" ht="27" customHeight="1">
      <c r="B17" s="164" t="s">
        <v>20</v>
      </c>
      <c r="C17" s="165"/>
      <c r="E17" s="23" t="s">
        <v>976</v>
      </c>
      <c r="F17" s="22">
        <v>577</v>
      </c>
    </row>
    <row r="18" spans="2:6" ht="15.75" customHeight="1">
      <c r="B18" s="21" t="s">
        <v>30</v>
      </c>
      <c r="C18" s="22" t="s">
        <v>1554</v>
      </c>
      <c r="E18" s="10" t="s">
        <v>752</v>
      </c>
      <c r="F18" s="24">
        <v>1448</v>
      </c>
    </row>
    <row r="19" spans="2:6" ht="15.75" customHeight="1" thickBot="1">
      <c r="B19" s="7" t="s">
        <v>48</v>
      </c>
      <c r="C19" s="24" t="s">
        <v>815</v>
      </c>
      <c r="E19" s="27" t="s">
        <v>446</v>
      </c>
      <c r="F19" s="26">
        <v>1105</v>
      </c>
    </row>
    <row r="20" spans="2:6" ht="16.5" customHeight="1">
      <c r="B20" s="21" t="s">
        <v>1047</v>
      </c>
      <c r="C20" s="22" t="s">
        <v>494</v>
      </c>
    </row>
    <row r="21" spans="2:6" ht="16.5" customHeight="1">
      <c r="B21" s="7" t="s">
        <v>1052</v>
      </c>
      <c r="C21" s="24" t="s">
        <v>494</v>
      </c>
    </row>
    <row r="22" spans="2:6" ht="16.5" customHeight="1">
      <c r="B22" s="21" t="s">
        <v>1344</v>
      </c>
      <c r="C22" s="22" t="s">
        <v>1555</v>
      </c>
    </row>
    <row r="23" spans="2:6" ht="16.5" customHeight="1">
      <c r="B23" s="7" t="s">
        <v>1271</v>
      </c>
      <c r="C23" s="24" t="s">
        <v>1555</v>
      </c>
    </row>
    <row r="24" spans="2:6" ht="16.5" customHeight="1">
      <c r="B24" s="21" t="s">
        <v>1286</v>
      </c>
      <c r="C24" s="22" t="s">
        <v>1556</v>
      </c>
    </row>
    <row r="25" spans="2:6" ht="16.5" customHeight="1">
      <c r="B25" s="7" t="s">
        <v>43</v>
      </c>
      <c r="C25" s="24" t="s">
        <v>1557</v>
      </c>
    </row>
    <row r="26" spans="2:6" ht="16.5" customHeight="1">
      <c r="B26" s="21" t="s">
        <v>1087</v>
      </c>
      <c r="C26" s="22" t="s">
        <v>1558</v>
      </c>
    </row>
    <row r="27" spans="2:6" ht="16.5" customHeight="1">
      <c r="B27" s="53" t="s">
        <v>1281</v>
      </c>
      <c r="C27" s="28" t="s">
        <v>1558</v>
      </c>
    </row>
  </sheetData>
  <mergeCells count="8">
    <mergeCell ref="J3:L3"/>
    <mergeCell ref="E3:F3"/>
    <mergeCell ref="B1:L1"/>
    <mergeCell ref="E10:F10"/>
    <mergeCell ref="B3:C3"/>
    <mergeCell ref="B10:C10"/>
    <mergeCell ref="E14:F14"/>
    <mergeCell ref="B17:C17"/>
  </mergeCells>
  <phoneticPr fontId="19" type="noConversion"/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zoomScaleNormal="100" workbookViewId="0">
      <pane ySplit="1" topLeftCell="A275" activePane="bottomLeft" state="frozen"/>
      <selection pane="bottomLeft" activeCell="C294" sqref="C294"/>
    </sheetView>
  </sheetViews>
  <sheetFormatPr defaultColWidth="8.88671875" defaultRowHeight="17.399999999999999"/>
  <cols>
    <col min="1" max="1" width="24.33203125" style="74" customWidth="1"/>
    <col min="2" max="2" width="11.109375" style="74" customWidth="1"/>
    <col min="3" max="3" width="51.109375" style="74" customWidth="1"/>
    <col min="4" max="6" width="11.109375" style="74" customWidth="1"/>
    <col min="7" max="7" width="9.77734375" style="74" customWidth="1"/>
    <col min="8" max="10" width="8.88671875" style="74" customWidth="1"/>
    <col min="11" max="16384" width="8.88671875" style="74"/>
  </cols>
  <sheetData>
    <row r="1" spans="1:6" ht="19.5" customHeight="1">
      <c r="A1" s="100" t="s">
        <v>22</v>
      </c>
      <c r="B1" s="100" t="s">
        <v>23</v>
      </c>
      <c r="C1" s="100" t="s">
        <v>2</v>
      </c>
      <c r="D1" s="100" t="s">
        <v>24</v>
      </c>
      <c r="E1" s="100" t="s">
        <v>25</v>
      </c>
      <c r="F1" s="100" t="s">
        <v>4</v>
      </c>
    </row>
    <row r="2" spans="1:6" ht="15" customHeight="1">
      <c r="A2" s="101" t="s">
        <v>30</v>
      </c>
      <c r="B2" s="101" t="s">
        <v>1559</v>
      </c>
      <c r="C2" s="102" t="s">
        <v>48</v>
      </c>
      <c r="D2" s="101" t="s">
        <v>268</v>
      </c>
      <c r="E2" s="101">
        <v>2</v>
      </c>
      <c r="F2" s="103" t="s">
        <v>37</v>
      </c>
    </row>
    <row r="3" spans="1:6" ht="15" customHeight="1">
      <c r="A3" s="104" t="s">
        <v>30</v>
      </c>
      <c r="B3" s="104" t="s">
        <v>1560</v>
      </c>
      <c r="C3" s="105" t="s">
        <v>48</v>
      </c>
      <c r="D3" s="104" t="s">
        <v>1233</v>
      </c>
      <c r="E3" s="104">
        <v>2</v>
      </c>
      <c r="F3" s="106" t="s">
        <v>37</v>
      </c>
    </row>
    <row r="4" spans="1:6" ht="15" customHeight="1">
      <c r="A4" s="104" t="s">
        <v>30</v>
      </c>
      <c r="B4" s="104" t="s">
        <v>1561</v>
      </c>
      <c r="C4" s="105" t="s">
        <v>48</v>
      </c>
      <c r="D4" s="104" t="s">
        <v>1562</v>
      </c>
      <c r="E4" s="104">
        <v>1</v>
      </c>
      <c r="F4" s="106" t="s">
        <v>37</v>
      </c>
    </row>
    <row r="5" spans="1:6" ht="15" customHeight="1">
      <c r="A5" s="104" t="s">
        <v>30</v>
      </c>
      <c r="B5" s="104" t="s">
        <v>1563</v>
      </c>
      <c r="C5" s="105" t="s">
        <v>43</v>
      </c>
      <c r="D5" s="104" t="s">
        <v>241</v>
      </c>
      <c r="E5" s="104">
        <v>1</v>
      </c>
      <c r="F5" s="106" t="s">
        <v>37</v>
      </c>
    </row>
    <row r="6" spans="1:6" ht="15" customHeight="1">
      <c r="A6" s="104" t="s">
        <v>30</v>
      </c>
      <c r="B6" s="104" t="s">
        <v>1564</v>
      </c>
      <c r="C6" s="105" t="s">
        <v>43</v>
      </c>
      <c r="D6" s="104" t="s">
        <v>1565</v>
      </c>
      <c r="E6" s="104">
        <v>1</v>
      </c>
      <c r="F6" s="106" t="s">
        <v>37</v>
      </c>
    </row>
    <row r="7" spans="1:6" ht="15" customHeight="1">
      <c r="A7" s="104" t="s">
        <v>30</v>
      </c>
      <c r="B7" s="104" t="s">
        <v>1564</v>
      </c>
      <c r="C7" s="105" t="s">
        <v>871</v>
      </c>
      <c r="D7" s="104" t="s">
        <v>1566</v>
      </c>
      <c r="E7" s="104">
        <v>2</v>
      </c>
      <c r="F7" s="106" t="s">
        <v>37</v>
      </c>
    </row>
    <row r="8" spans="1:6" ht="15" customHeight="1">
      <c r="A8" s="104" t="s">
        <v>30</v>
      </c>
      <c r="B8" s="104" t="s">
        <v>1567</v>
      </c>
      <c r="C8" s="105" t="s">
        <v>30</v>
      </c>
      <c r="D8" s="104" t="s">
        <v>1568</v>
      </c>
      <c r="E8" s="104">
        <v>4</v>
      </c>
      <c r="F8" s="106" t="s">
        <v>37</v>
      </c>
    </row>
    <row r="9" spans="1:6" ht="15" customHeight="1">
      <c r="A9" s="104" t="s">
        <v>30</v>
      </c>
      <c r="B9" s="104" t="s">
        <v>1564</v>
      </c>
      <c r="C9" s="105" t="s">
        <v>1143</v>
      </c>
      <c r="D9" s="104" t="s">
        <v>1565</v>
      </c>
      <c r="E9" s="104">
        <v>1</v>
      </c>
      <c r="F9" s="106" t="s">
        <v>37</v>
      </c>
    </row>
    <row r="10" spans="1:6" ht="15" customHeight="1">
      <c r="A10" s="104" t="s">
        <v>30</v>
      </c>
      <c r="B10" s="104" t="s">
        <v>1564</v>
      </c>
      <c r="C10" s="105" t="s">
        <v>1312</v>
      </c>
      <c r="D10" s="104" t="s">
        <v>1565</v>
      </c>
      <c r="E10" s="104">
        <v>1</v>
      </c>
      <c r="F10" s="106" t="s">
        <v>37</v>
      </c>
    </row>
    <row r="11" spans="1:6" ht="15" customHeight="1">
      <c r="A11" s="104" t="s">
        <v>30</v>
      </c>
      <c r="B11" s="104" t="s">
        <v>1567</v>
      </c>
      <c r="C11" s="105" t="s">
        <v>30</v>
      </c>
      <c r="D11" s="104" t="s">
        <v>1569</v>
      </c>
      <c r="E11" s="104">
        <v>3</v>
      </c>
      <c r="F11" s="106" t="s">
        <v>37</v>
      </c>
    </row>
    <row r="12" spans="1:6" ht="15" customHeight="1">
      <c r="A12" s="104" t="s">
        <v>30</v>
      </c>
      <c r="B12" s="104" t="s">
        <v>1564</v>
      </c>
      <c r="C12" s="105" t="s">
        <v>1316</v>
      </c>
      <c r="D12" s="104" t="s">
        <v>1565</v>
      </c>
      <c r="E12" s="104">
        <v>1</v>
      </c>
      <c r="F12" s="106" t="s">
        <v>37</v>
      </c>
    </row>
    <row r="13" spans="1:6" ht="15" customHeight="1">
      <c r="A13" s="104" t="s">
        <v>30</v>
      </c>
      <c r="B13" s="104" t="s">
        <v>1570</v>
      </c>
      <c r="C13" s="105" t="s">
        <v>1320</v>
      </c>
      <c r="D13" s="104" t="s">
        <v>1571</v>
      </c>
      <c r="E13" s="104">
        <v>1</v>
      </c>
      <c r="F13" s="106" t="s">
        <v>37</v>
      </c>
    </row>
    <row r="14" spans="1:6" ht="15" customHeight="1">
      <c r="A14" s="104" t="s">
        <v>30</v>
      </c>
      <c r="B14" s="104" t="s">
        <v>1560</v>
      </c>
      <c r="C14" s="105" t="s">
        <v>1333</v>
      </c>
      <c r="D14" s="104" t="s">
        <v>1012</v>
      </c>
      <c r="E14" s="104">
        <v>1</v>
      </c>
      <c r="F14" s="107" t="s">
        <v>33</v>
      </c>
    </row>
    <row r="15" spans="1:6" ht="15" customHeight="1">
      <c r="A15" s="104" t="s">
        <v>30</v>
      </c>
      <c r="B15" s="104" t="s">
        <v>1564</v>
      </c>
      <c r="C15" s="105" t="s">
        <v>30</v>
      </c>
      <c r="D15" s="104" t="s">
        <v>1565</v>
      </c>
      <c r="E15" s="104">
        <v>1</v>
      </c>
      <c r="F15" s="106" t="s">
        <v>37</v>
      </c>
    </row>
    <row r="16" spans="1:6" ht="15" customHeight="1">
      <c r="A16" s="104" t="s">
        <v>30</v>
      </c>
      <c r="B16" s="104" t="s">
        <v>1570</v>
      </c>
      <c r="C16" s="105" t="s">
        <v>30</v>
      </c>
      <c r="D16" s="104" t="s">
        <v>1571</v>
      </c>
      <c r="E16" s="104">
        <v>1</v>
      </c>
      <c r="F16" s="106" t="s">
        <v>37</v>
      </c>
    </row>
    <row r="17" spans="1:6" ht="15" customHeight="1">
      <c r="A17" s="104" t="s">
        <v>30</v>
      </c>
      <c r="B17" s="104" t="s">
        <v>1572</v>
      </c>
      <c r="C17" s="105" t="s">
        <v>48</v>
      </c>
      <c r="D17" s="104" t="s">
        <v>813</v>
      </c>
      <c r="E17" s="104">
        <v>2</v>
      </c>
      <c r="F17" s="106" t="s">
        <v>37</v>
      </c>
    </row>
    <row r="18" spans="1:6" ht="15" customHeight="1">
      <c r="A18" s="104" t="s">
        <v>30</v>
      </c>
      <c r="B18" s="104" t="s">
        <v>1573</v>
      </c>
      <c r="C18" s="105" t="s">
        <v>1347</v>
      </c>
      <c r="D18" s="104" t="s">
        <v>804</v>
      </c>
      <c r="E18" s="104">
        <v>1</v>
      </c>
      <c r="F18" s="108" t="s">
        <v>27</v>
      </c>
    </row>
    <row r="19" spans="1:6" ht="15" customHeight="1">
      <c r="A19" s="104" t="s">
        <v>30</v>
      </c>
      <c r="B19" s="104" t="s">
        <v>1574</v>
      </c>
      <c r="C19" s="105" t="s">
        <v>1366</v>
      </c>
      <c r="D19" s="104" t="s">
        <v>521</v>
      </c>
      <c r="E19" s="104">
        <v>1</v>
      </c>
      <c r="F19" s="106" t="s">
        <v>37</v>
      </c>
    </row>
    <row r="20" spans="1:6" ht="15" customHeight="1">
      <c r="A20" s="104" t="s">
        <v>30</v>
      </c>
      <c r="B20" s="104" t="s">
        <v>1573</v>
      </c>
      <c r="C20" s="105" t="s">
        <v>30</v>
      </c>
      <c r="D20" s="104" t="s">
        <v>804</v>
      </c>
      <c r="E20" s="104">
        <v>1</v>
      </c>
      <c r="F20" s="106" t="s">
        <v>37</v>
      </c>
    </row>
    <row r="21" spans="1:6" ht="15" customHeight="1">
      <c r="A21" s="104" t="s">
        <v>30</v>
      </c>
      <c r="B21" s="104" t="s">
        <v>1575</v>
      </c>
      <c r="C21" s="105" t="s">
        <v>1367</v>
      </c>
      <c r="D21" s="104" t="s">
        <v>773</v>
      </c>
      <c r="E21" s="104">
        <v>1</v>
      </c>
      <c r="F21" s="107" t="s">
        <v>33</v>
      </c>
    </row>
    <row r="22" spans="1:6" ht="15" customHeight="1">
      <c r="A22" s="104" t="s">
        <v>30</v>
      </c>
      <c r="B22" s="104" t="s">
        <v>1574</v>
      </c>
      <c r="C22" s="105" t="s">
        <v>1372</v>
      </c>
      <c r="D22" s="104" t="s">
        <v>521</v>
      </c>
      <c r="E22" s="104">
        <v>1</v>
      </c>
      <c r="F22" s="106" t="s">
        <v>37</v>
      </c>
    </row>
    <row r="23" spans="1:6" ht="15" customHeight="1">
      <c r="A23" s="104" t="s">
        <v>30</v>
      </c>
      <c r="B23" s="104" t="s">
        <v>1575</v>
      </c>
      <c r="C23" s="105" t="s">
        <v>1374</v>
      </c>
      <c r="D23" s="104" t="s">
        <v>773</v>
      </c>
      <c r="E23" s="104">
        <v>1</v>
      </c>
      <c r="F23" s="106" t="s">
        <v>37</v>
      </c>
    </row>
    <row r="24" spans="1:6" ht="15" customHeight="1">
      <c r="A24" s="104" t="s">
        <v>30</v>
      </c>
      <c r="B24" s="104" t="s">
        <v>1576</v>
      </c>
      <c r="C24" s="105" t="s">
        <v>359</v>
      </c>
      <c r="D24" s="104" t="s">
        <v>247</v>
      </c>
      <c r="E24" s="104">
        <v>1</v>
      </c>
      <c r="F24" s="106" t="s">
        <v>37</v>
      </c>
    </row>
    <row r="25" spans="1:6" ht="15" customHeight="1">
      <c r="A25" s="104" t="s">
        <v>30</v>
      </c>
      <c r="B25" s="104" t="s">
        <v>1577</v>
      </c>
      <c r="C25" s="105" t="s">
        <v>1388</v>
      </c>
      <c r="D25" s="104" t="s">
        <v>1578</v>
      </c>
      <c r="E25" s="104">
        <v>1</v>
      </c>
      <c r="F25" s="106" t="s">
        <v>37</v>
      </c>
    </row>
    <row r="26" spans="1:6" ht="15" customHeight="1">
      <c r="A26" s="104" t="s">
        <v>30</v>
      </c>
      <c r="B26" s="104" t="s">
        <v>1574</v>
      </c>
      <c r="C26" s="105" t="s">
        <v>1391</v>
      </c>
      <c r="D26" s="104" t="s">
        <v>521</v>
      </c>
      <c r="E26" s="104">
        <v>1</v>
      </c>
      <c r="F26" s="106" t="s">
        <v>37</v>
      </c>
    </row>
    <row r="27" spans="1:6" ht="15" customHeight="1">
      <c r="A27" s="104" t="s">
        <v>30</v>
      </c>
      <c r="B27" s="104" t="s">
        <v>1576</v>
      </c>
      <c r="C27" s="105" t="s">
        <v>30</v>
      </c>
      <c r="D27" s="104" t="s">
        <v>247</v>
      </c>
      <c r="E27" s="104">
        <v>1</v>
      </c>
      <c r="F27" s="106" t="s">
        <v>37</v>
      </c>
    </row>
    <row r="28" spans="1:6" ht="15" customHeight="1">
      <c r="A28" s="104" t="s">
        <v>30</v>
      </c>
      <c r="B28" s="104" t="s">
        <v>1577</v>
      </c>
      <c r="C28" s="105" t="s">
        <v>629</v>
      </c>
      <c r="D28" s="104" t="s">
        <v>1578</v>
      </c>
      <c r="E28" s="104">
        <v>1</v>
      </c>
      <c r="F28" s="106" t="s">
        <v>37</v>
      </c>
    </row>
    <row r="29" spans="1:6" ht="15" customHeight="1">
      <c r="A29" s="104" t="s">
        <v>30</v>
      </c>
      <c r="B29" s="104" t="s">
        <v>1579</v>
      </c>
      <c r="C29" s="105" t="s">
        <v>1392</v>
      </c>
      <c r="D29" s="104" t="s">
        <v>770</v>
      </c>
      <c r="E29" s="104">
        <v>1</v>
      </c>
      <c r="F29" s="106" t="s">
        <v>37</v>
      </c>
    </row>
    <row r="30" spans="1:6" ht="15" customHeight="1">
      <c r="A30" s="104" t="s">
        <v>30</v>
      </c>
      <c r="B30" s="104" t="s">
        <v>1579</v>
      </c>
      <c r="C30" s="105" t="s">
        <v>48</v>
      </c>
      <c r="D30" s="104" t="s">
        <v>770</v>
      </c>
      <c r="E30" s="104">
        <v>1</v>
      </c>
      <c r="F30" s="106" t="s">
        <v>37</v>
      </c>
    </row>
    <row r="31" spans="1:6" ht="15" customHeight="1">
      <c r="A31" s="104" t="s">
        <v>30</v>
      </c>
      <c r="B31" s="104" t="s">
        <v>1572</v>
      </c>
      <c r="C31" s="105" t="s">
        <v>1401</v>
      </c>
      <c r="D31" s="104" t="s">
        <v>770</v>
      </c>
      <c r="E31" s="104">
        <v>1</v>
      </c>
      <c r="F31" s="106" t="s">
        <v>37</v>
      </c>
    </row>
    <row r="32" spans="1:6" ht="15" customHeight="1">
      <c r="A32" s="104" t="s">
        <v>30</v>
      </c>
      <c r="B32" s="104" t="s">
        <v>1579</v>
      </c>
      <c r="C32" s="105" t="s">
        <v>43</v>
      </c>
      <c r="D32" s="104" t="s">
        <v>813</v>
      </c>
      <c r="E32" s="104">
        <v>2</v>
      </c>
      <c r="F32" s="106" t="s">
        <v>37</v>
      </c>
    </row>
    <row r="33" spans="1:6" ht="15" customHeight="1">
      <c r="A33" s="104" t="s">
        <v>30</v>
      </c>
      <c r="B33" s="104" t="s">
        <v>1579</v>
      </c>
      <c r="C33" s="105" t="s">
        <v>30</v>
      </c>
      <c r="D33" s="104" t="s">
        <v>813</v>
      </c>
      <c r="E33" s="104">
        <v>2</v>
      </c>
      <c r="F33" s="106" t="s">
        <v>37</v>
      </c>
    </row>
    <row r="34" spans="1:6" ht="15" customHeight="1">
      <c r="A34" s="104" t="s">
        <v>30</v>
      </c>
      <c r="B34" s="104" t="s">
        <v>1412</v>
      </c>
      <c r="C34" s="105" t="s">
        <v>1419</v>
      </c>
      <c r="D34" s="104" t="s">
        <v>1233</v>
      </c>
      <c r="E34" s="104">
        <v>2</v>
      </c>
      <c r="F34" s="106" t="s">
        <v>37</v>
      </c>
    </row>
    <row r="35" spans="1:6" ht="15" customHeight="1">
      <c r="A35" s="104" t="s">
        <v>30</v>
      </c>
      <c r="B35" s="104" t="s">
        <v>1415</v>
      </c>
      <c r="C35" s="105" t="s">
        <v>1420</v>
      </c>
      <c r="D35" s="104" t="s">
        <v>500</v>
      </c>
      <c r="E35" s="104">
        <v>1</v>
      </c>
      <c r="F35" s="106" t="s">
        <v>37</v>
      </c>
    </row>
    <row r="36" spans="1:6" ht="15" customHeight="1">
      <c r="A36" s="104" t="s">
        <v>30</v>
      </c>
      <c r="B36" s="104" t="s">
        <v>1411</v>
      </c>
      <c r="C36" s="105" t="s">
        <v>629</v>
      </c>
      <c r="D36" s="104" t="s">
        <v>981</v>
      </c>
      <c r="E36" s="104">
        <v>1</v>
      </c>
      <c r="F36" s="106" t="s">
        <v>37</v>
      </c>
    </row>
    <row r="37" spans="1:6" ht="15" customHeight="1">
      <c r="A37" s="104" t="s">
        <v>30</v>
      </c>
      <c r="B37" s="104" t="s">
        <v>1413</v>
      </c>
      <c r="C37" s="105" t="s">
        <v>871</v>
      </c>
      <c r="D37" s="104" t="s">
        <v>1000</v>
      </c>
      <c r="E37" s="104">
        <v>1</v>
      </c>
      <c r="F37" s="106" t="s">
        <v>37</v>
      </c>
    </row>
    <row r="38" spans="1:6" ht="15" customHeight="1">
      <c r="A38" s="104" t="s">
        <v>30</v>
      </c>
      <c r="B38" s="104" t="s">
        <v>1416</v>
      </c>
      <c r="C38" s="105" t="s">
        <v>43</v>
      </c>
      <c r="D38" s="104" t="s">
        <v>237</v>
      </c>
      <c r="E38" s="104">
        <v>1</v>
      </c>
      <c r="F38" s="106" t="s">
        <v>37</v>
      </c>
    </row>
    <row r="39" spans="1:6" ht="15" customHeight="1">
      <c r="A39" s="104" t="s">
        <v>30</v>
      </c>
      <c r="B39" s="104" t="s">
        <v>1413</v>
      </c>
      <c r="C39" s="105" t="s">
        <v>30</v>
      </c>
      <c r="D39" s="104" t="s">
        <v>1000</v>
      </c>
      <c r="E39" s="104">
        <v>1</v>
      </c>
      <c r="F39" s="106" t="s">
        <v>37</v>
      </c>
    </row>
    <row r="40" spans="1:6" ht="15" customHeight="1">
      <c r="A40" s="104" t="s">
        <v>30</v>
      </c>
      <c r="B40" s="104" t="s">
        <v>1413</v>
      </c>
      <c r="C40" s="105" t="s">
        <v>30</v>
      </c>
      <c r="D40" s="104" t="s">
        <v>1000</v>
      </c>
      <c r="E40" s="104">
        <v>1</v>
      </c>
      <c r="F40" s="106" t="s">
        <v>37</v>
      </c>
    </row>
    <row r="41" spans="1:6" ht="15" customHeight="1">
      <c r="A41" s="104" t="s">
        <v>30</v>
      </c>
      <c r="B41" s="104" t="s">
        <v>1417</v>
      </c>
      <c r="C41" s="105" t="s">
        <v>629</v>
      </c>
      <c r="D41" s="104" t="s">
        <v>543</v>
      </c>
      <c r="E41" s="104">
        <v>2</v>
      </c>
      <c r="F41" s="106" t="s">
        <v>37</v>
      </c>
    </row>
    <row r="42" spans="1:6" ht="15" customHeight="1">
      <c r="A42" s="104" t="s">
        <v>30</v>
      </c>
      <c r="B42" s="104" t="s">
        <v>1416</v>
      </c>
      <c r="C42" s="105" t="s">
        <v>1460</v>
      </c>
      <c r="D42" s="104" t="s">
        <v>237</v>
      </c>
      <c r="E42" s="104">
        <v>1</v>
      </c>
      <c r="F42" s="108" t="s">
        <v>27</v>
      </c>
    </row>
    <row r="43" spans="1:6" ht="15" customHeight="1">
      <c r="A43" s="104" t="s">
        <v>30</v>
      </c>
      <c r="B43" s="104" t="s">
        <v>1417</v>
      </c>
      <c r="C43" s="105" t="s">
        <v>30</v>
      </c>
      <c r="D43" s="104" t="s">
        <v>534</v>
      </c>
      <c r="E43" s="104">
        <v>1</v>
      </c>
      <c r="F43" s="106" t="s">
        <v>37</v>
      </c>
    </row>
    <row r="44" spans="1:6" ht="15" customHeight="1">
      <c r="A44" s="104" t="s">
        <v>30</v>
      </c>
      <c r="B44" s="104" t="s">
        <v>1411</v>
      </c>
      <c r="C44" s="105" t="s">
        <v>1465</v>
      </c>
      <c r="D44" s="104" t="s">
        <v>981</v>
      </c>
      <c r="E44" s="104">
        <v>1</v>
      </c>
      <c r="F44" s="109" t="s">
        <v>42</v>
      </c>
    </row>
    <row r="45" spans="1:6" ht="15" customHeight="1">
      <c r="A45" s="104" t="s">
        <v>30</v>
      </c>
      <c r="B45" s="104" t="s">
        <v>1416</v>
      </c>
      <c r="C45" s="105" t="s">
        <v>30</v>
      </c>
      <c r="D45" s="104" t="s">
        <v>237</v>
      </c>
      <c r="E45" s="104">
        <v>1</v>
      </c>
      <c r="F45" s="106" t="s">
        <v>37</v>
      </c>
    </row>
    <row r="46" spans="1:6" ht="15" customHeight="1">
      <c r="A46" s="104" t="s">
        <v>30</v>
      </c>
      <c r="B46" s="104" t="s">
        <v>1411</v>
      </c>
      <c r="C46" s="105" t="s">
        <v>30</v>
      </c>
      <c r="D46" s="104" t="s">
        <v>981</v>
      </c>
      <c r="E46" s="104">
        <v>1</v>
      </c>
      <c r="F46" s="106" t="s">
        <v>37</v>
      </c>
    </row>
    <row r="47" spans="1:6" ht="15" customHeight="1">
      <c r="A47" s="104" t="s">
        <v>30</v>
      </c>
      <c r="B47" s="104" t="s">
        <v>1580</v>
      </c>
      <c r="C47" s="105" t="s">
        <v>48</v>
      </c>
      <c r="D47" s="104" t="s">
        <v>1581</v>
      </c>
      <c r="E47" s="104">
        <v>7</v>
      </c>
      <c r="F47" s="106" t="s">
        <v>37</v>
      </c>
    </row>
    <row r="48" spans="1:6" ht="15" customHeight="1">
      <c r="A48" s="104" t="s">
        <v>30</v>
      </c>
      <c r="B48" s="104" t="s">
        <v>1582</v>
      </c>
      <c r="C48" s="105" t="s">
        <v>48</v>
      </c>
      <c r="D48" s="104" t="s">
        <v>1583</v>
      </c>
      <c r="E48" s="104">
        <v>4</v>
      </c>
      <c r="F48" s="108" t="s">
        <v>27</v>
      </c>
    </row>
    <row r="49" spans="1:6" ht="15" customHeight="1">
      <c r="A49" s="104" t="s">
        <v>30</v>
      </c>
      <c r="B49" s="104" t="s">
        <v>1584</v>
      </c>
      <c r="C49" s="105" t="s">
        <v>871</v>
      </c>
      <c r="D49" s="104" t="s">
        <v>539</v>
      </c>
      <c r="E49" s="104">
        <v>1</v>
      </c>
      <c r="F49" s="106" t="s">
        <v>37</v>
      </c>
    </row>
    <row r="50" spans="1:6" ht="15" customHeight="1">
      <c r="A50" s="104" t="s">
        <v>30</v>
      </c>
      <c r="B50" s="104" t="s">
        <v>1582</v>
      </c>
      <c r="C50" s="105" t="s">
        <v>1489</v>
      </c>
      <c r="D50" s="104" t="s">
        <v>760</v>
      </c>
      <c r="E50" s="104">
        <v>1</v>
      </c>
      <c r="F50" s="107" t="s">
        <v>33</v>
      </c>
    </row>
    <row r="51" spans="1:6" ht="15" customHeight="1">
      <c r="A51" s="104" t="s">
        <v>30</v>
      </c>
      <c r="B51" s="104" t="s">
        <v>1585</v>
      </c>
      <c r="C51" s="105" t="s">
        <v>30</v>
      </c>
      <c r="D51" s="104" t="s">
        <v>809</v>
      </c>
      <c r="E51" s="104">
        <v>1</v>
      </c>
      <c r="F51" s="106" t="s">
        <v>37</v>
      </c>
    </row>
    <row r="52" spans="1:6" ht="15" customHeight="1">
      <c r="A52" s="104" t="s">
        <v>30</v>
      </c>
      <c r="B52" s="104" t="s">
        <v>1584</v>
      </c>
      <c r="C52" s="105" t="s">
        <v>43</v>
      </c>
      <c r="D52" s="104" t="s">
        <v>539</v>
      </c>
      <c r="E52" s="104">
        <v>1</v>
      </c>
      <c r="F52" s="106" t="s">
        <v>37</v>
      </c>
    </row>
    <row r="53" spans="1:6" ht="15" customHeight="1">
      <c r="A53" s="104" t="s">
        <v>30</v>
      </c>
      <c r="B53" s="104" t="s">
        <v>1582</v>
      </c>
      <c r="C53" s="105" t="s">
        <v>30</v>
      </c>
      <c r="D53" s="104" t="s">
        <v>759</v>
      </c>
      <c r="E53" s="104">
        <v>2</v>
      </c>
      <c r="F53" s="106" t="s">
        <v>37</v>
      </c>
    </row>
    <row r="54" spans="1:6" ht="15" customHeight="1">
      <c r="A54" s="104" t="s">
        <v>30</v>
      </c>
      <c r="B54" s="104" t="s">
        <v>1586</v>
      </c>
      <c r="C54" s="105" t="s">
        <v>30</v>
      </c>
      <c r="D54" s="104" t="s">
        <v>252</v>
      </c>
      <c r="E54" s="104">
        <v>1</v>
      </c>
      <c r="F54" s="106" t="s">
        <v>37</v>
      </c>
    </row>
    <row r="55" spans="1:6" ht="15" customHeight="1">
      <c r="A55" s="104" t="s">
        <v>30</v>
      </c>
      <c r="B55" s="104" t="s">
        <v>1587</v>
      </c>
      <c r="C55" s="105" t="s">
        <v>1506</v>
      </c>
      <c r="D55" s="104" t="s">
        <v>255</v>
      </c>
      <c r="E55" s="104">
        <v>1</v>
      </c>
      <c r="F55" s="107" t="s">
        <v>33</v>
      </c>
    </row>
    <row r="56" spans="1:6" ht="15" customHeight="1">
      <c r="A56" s="104" t="s">
        <v>30</v>
      </c>
      <c r="B56" s="104" t="s">
        <v>1582</v>
      </c>
      <c r="C56" s="105" t="s">
        <v>30</v>
      </c>
      <c r="D56" s="104" t="s">
        <v>760</v>
      </c>
      <c r="E56" s="104">
        <v>1</v>
      </c>
      <c r="F56" s="106" t="s">
        <v>37</v>
      </c>
    </row>
    <row r="57" spans="1:6" ht="15" customHeight="1">
      <c r="A57" s="104" t="s">
        <v>30</v>
      </c>
      <c r="B57" s="104" t="s">
        <v>1580</v>
      </c>
      <c r="C57" s="105" t="s">
        <v>1508</v>
      </c>
      <c r="D57" s="104" t="s">
        <v>808</v>
      </c>
      <c r="E57" s="104">
        <v>1</v>
      </c>
      <c r="F57" s="106" t="s">
        <v>37</v>
      </c>
    </row>
    <row r="58" spans="1:6" ht="15" customHeight="1">
      <c r="A58" s="104" t="s">
        <v>30</v>
      </c>
      <c r="B58" s="104" t="s">
        <v>1586</v>
      </c>
      <c r="C58" s="105" t="s">
        <v>1513</v>
      </c>
      <c r="D58" s="104" t="s">
        <v>252</v>
      </c>
      <c r="E58" s="104">
        <v>1</v>
      </c>
      <c r="F58" s="106" t="s">
        <v>37</v>
      </c>
    </row>
    <row r="59" spans="1:6" ht="15" customHeight="1">
      <c r="A59" s="104" t="s">
        <v>30</v>
      </c>
      <c r="B59" s="104" t="s">
        <v>1584</v>
      </c>
      <c r="C59" s="105" t="s">
        <v>1514</v>
      </c>
      <c r="D59" s="104" t="s">
        <v>509</v>
      </c>
      <c r="E59" s="104">
        <v>2</v>
      </c>
      <c r="F59" s="106" t="s">
        <v>37</v>
      </c>
    </row>
    <row r="60" spans="1:6" ht="15" customHeight="1">
      <c r="A60" s="104" t="s">
        <v>30</v>
      </c>
      <c r="B60" s="104" t="s">
        <v>1584</v>
      </c>
      <c r="C60" s="105" t="s">
        <v>71</v>
      </c>
      <c r="D60" s="104" t="s">
        <v>539</v>
      </c>
      <c r="E60" s="104">
        <v>1</v>
      </c>
      <c r="F60" s="108" t="s">
        <v>27</v>
      </c>
    </row>
    <row r="61" spans="1:6" ht="15" customHeight="1">
      <c r="A61" s="104" t="s">
        <v>30</v>
      </c>
      <c r="B61" s="104" t="s">
        <v>1584</v>
      </c>
      <c r="C61" s="105" t="s">
        <v>1524</v>
      </c>
      <c r="D61" s="104" t="s">
        <v>539</v>
      </c>
      <c r="E61" s="104">
        <v>1</v>
      </c>
      <c r="F61" s="108" t="s">
        <v>27</v>
      </c>
    </row>
    <row r="62" spans="1:6" ht="15" customHeight="1">
      <c r="A62" s="104" t="s">
        <v>30</v>
      </c>
      <c r="B62" s="104" t="s">
        <v>1588</v>
      </c>
      <c r="C62" s="105" t="s">
        <v>1526</v>
      </c>
      <c r="D62" s="104" t="s">
        <v>1589</v>
      </c>
      <c r="E62" s="104">
        <v>1</v>
      </c>
      <c r="F62" s="106" t="s">
        <v>37</v>
      </c>
    </row>
    <row r="63" spans="1:6" ht="15" customHeight="1">
      <c r="A63" s="104" t="s">
        <v>30</v>
      </c>
      <c r="B63" s="104" t="s">
        <v>1590</v>
      </c>
      <c r="C63" s="105" t="s">
        <v>1388</v>
      </c>
      <c r="D63" s="104" t="s">
        <v>515</v>
      </c>
      <c r="E63" s="104">
        <v>1</v>
      </c>
      <c r="F63" s="106" t="s">
        <v>37</v>
      </c>
    </row>
    <row r="64" spans="1:6" ht="15" customHeight="1">
      <c r="A64" s="104" t="s">
        <v>30</v>
      </c>
      <c r="B64" s="104" t="s">
        <v>1590</v>
      </c>
      <c r="C64" s="105" t="s">
        <v>30</v>
      </c>
      <c r="D64" s="104" t="s">
        <v>512</v>
      </c>
      <c r="E64" s="104">
        <v>2</v>
      </c>
      <c r="F64" s="106" t="s">
        <v>37</v>
      </c>
    </row>
    <row r="65" spans="1:6" ht="15" customHeight="1">
      <c r="A65" s="104" t="s">
        <v>30</v>
      </c>
      <c r="B65" s="104" t="s">
        <v>1588</v>
      </c>
      <c r="C65" s="105" t="s">
        <v>43</v>
      </c>
      <c r="D65" s="104" t="s">
        <v>1589</v>
      </c>
      <c r="E65" s="104">
        <v>1</v>
      </c>
      <c r="F65" s="106" t="s">
        <v>37</v>
      </c>
    </row>
    <row r="66" spans="1:6" ht="15" customHeight="1">
      <c r="A66" s="104" t="s">
        <v>30</v>
      </c>
      <c r="B66" s="104" t="s">
        <v>1588</v>
      </c>
      <c r="C66" s="105" t="s">
        <v>30</v>
      </c>
      <c r="D66" s="104" t="s">
        <v>515</v>
      </c>
      <c r="E66" s="104">
        <v>2</v>
      </c>
      <c r="F66" s="106" t="s">
        <v>37</v>
      </c>
    </row>
    <row r="67" spans="1:6" ht="15" customHeight="1">
      <c r="A67" s="101" t="s">
        <v>1047</v>
      </c>
      <c r="B67" s="101" t="s">
        <v>1560</v>
      </c>
      <c r="C67" s="102" t="s">
        <v>1047</v>
      </c>
      <c r="D67" s="101" t="s">
        <v>1233</v>
      </c>
      <c r="E67" s="101">
        <v>2</v>
      </c>
      <c r="F67" s="110" t="s">
        <v>42</v>
      </c>
    </row>
    <row r="68" spans="1:6" ht="15" customHeight="1">
      <c r="A68" s="104" t="s">
        <v>1047</v>
      </c>
      <c r="B68" s="104" t="s">
        <v>1561</v>
      </c>
      <c r="C68" s="105" t="s">
        <v>1281</v>
      </c>
      <c r="D68" s="104" t="s">
        <v>1562</v>
      </c>
      <c r="E68" s="104">
        <v>1</v>
      </c>
      <c r="F68" s="107" t="s">
        <v>33</v>
      </c>
    </row>
    <row r="69" spans="1:6" ht="15" customHeight="1">
      <c r="A69" s="104" t="s">
        <v>1047</v>
      </c>
      <c r="B69" s="104" t="s">
        <v>1561</v>
      </c>
      <c r="C69" s="105" t="s">
        <v>1285</v>
      </c>
      <c r="D69" s="104" t="s">
        <v>1562</v>
      </c>
      <c r="E69" s="104">
        <v>1</v>
      </c>
      <c r="F69" s="107" t="s">
        <v>33</v>
      </c>
    </row>
    <row r="70" spans="1:6" ht="15" customHeight="1">
      <c r="A70" s="104" t="s">
        <v>1047</v>
      </c>
      <c r="B70" s="104" t="s">
        <v>1560</v>
      </c>
      <c r="C70" s="105" t="s">
        <v>1281</v>
      </c>
      <c r="D70" s="104" t="s">
        <v>1012</v>
      </c>
      <c r="E70" s="104">
        <v>1</v>
      </c>
      <c r="F70" s="107" t="s">
        <v>33</v>
      </c>
    </row>
    <row r="71" spans="1:6" ht="15" customHeight="1">
      <c r="A71" s="104" t="s">
        <v>1047</v>
      </c>
      <c r="B71" s="104" t="s">
        <v>1561</v>
      </c>
      <c r="C71" s="105" t="s">
        <v>1047</v>
      </c>
      <c r="D71" s="104" t="s">
        <v>1562</v>
      </c>
      <c r="E71" s="104">
        <v>1</v>
      </c>
      <c r="F71" s="109" t="s">
        <v>42</v>
      </c>
    </row>
    <row r="72" spans="1:6" ht="15" customHeight="1">
      <c r="A72" s="104" t="s">
        <v>1047</v>
      </c>
      <c r="B72" s="104" t="s">
        <v>1570</v>
      </c>
      <c r="C72" s="105" t="s">
        <v>1281</v>
      </c>
      <c r="D72" s="104" t="s">
        <v>1571</v>
      </c>
      <c r="E72" s="104">
        <v>1</v>
      </c>
      <c r="F72" s="107" t="s">
        <v>33</v>
      </c>
    </row>
    <row r="73" spans="1:6" ht="15" customHeight="1">
      <c r="A73" s="104" t="s">
        <v>1047</v>
      </c>
      <c r="B73" s="104" t="s">
        <v>1570</v>
      </c>
      <c r="C73" s="105" t="s">
        <v>1337</v>
      </c>
      <c r="D73" s="104" t="s">
        <v>1571</v>
      </c>
      <c r="E73" s="104">
        <v>1</v>
      </c>
      <c r="F73" s="107" t="s">
        <v>33</v>
      </c>
    </row>
    <row r="74" spans="1:6" ht="15" customHeight="1">
      <c r="A74" s="104" t="s">
        <v>1047</v>
      </c>
      <c r="B74" s="104" t="s">
        <v>1570</v>
      </c>
      <c r="C74" s="105" t="s">
        <v>1338</v>
      </c>
      <c r="D74" s="104" t="s">
        <v>1571</v>
      </c>
      <c r="E74" s="104">
        <v>1</v>
      </c>
      <c r="F74" s="109" t="s">
        <v>42</v>
      </c>
    </row>
    <row r="75" spans="1:6" ht="15" customHeight="1">
      <c r="A75" s="104" t="s">
        <v>1047</v>
      </c>
      <c r="B75" s="104" t="s">
        <v>1575</v>
      </c>
      <c r="C75" s="105" t="s">
        <v>1281</v>
      </c>
      <c r="D75" s="104" t="s">
        <v>1591</v>
      </c>
      <c r="E75" s="104">
        <v>2</v>
      </c>
      <c r="F75" s="107" t="s">
        <v>33</v>
      </c>
    </row>
    <row r="76" spans="1:6" ht="15" customHeight="1">
      <c r="A76" s="104" t="s">
        <v>1047</v>
      </c>
      <c r="B76" s="104" t="s">
        <v>1575</v>
      </c>
      <c r="C76" s="105" t="s">
        <v>1047</v>
      </c>
      <c r="D76" s="104" t="s">
        <v>1591</v>
      </c>
      <c r="E76" s="104">
        <v>2</v>
      </c>
      <c r="F76" s="109" t="s">
        <v>42</v>
      </c>
    </row>
    <row r="77" spans="1:6" ht="15" customHeight="1">
      <c r="A77" s="104" t="s">
        <v>1047</v>
      </c>
      <c r="B77" s="104" t="s">
        <v>1574</v>
      </c>
      <c r="C77" s="105" t="s">
        <v>1350</v>
      </c>
      <c r="D77" s="104" t="s">
        <v>521</v>
      </c>
      <c r="E77" s="104">
        <v>1</v>
      </c>
      <c r="F77" s="107" t="s">
        <v>33</v>
      </c>
    </row>
    <row r="78" spans="1:6" ht="15" customHeight="1">
      <c r="A78" s="104" t="s">
        <v>1047</v>
      </c>
      <c r="B78" s="104" t="s">
        <v>1576</v>
      </c>
      <c r="C78" s="105" t="s">
        <v>1357</v>
      </c>
      <c r="D78" s="104" t="s">
        <v>247</v>
      </c>
      <c r="E78" s="104">
        <v>1</v>
      </c>
      <c r="F78" s="109" t="s">
        <v>42</v>
      </c>
    </row>
    <row r="79" spans="1:6" ht="15" customHeight="1">
      <c r="A79" s="104" t="s">
        <v>1047</v>
      </c>
      <c r="B79" s="104" t="s">
        <v>1577</v>
      </c>
      <c r="C79" s="105" t="s">
        <v>1047</v>
      </c>
      <c r="D79" s="104" t="s">
        <v>1578</v>
      </c>
      <c r="E79" s="104">
        <v>1</v>
      </c>
      <c r="F79" s="109" t="s">
        <v>42</v>
      </c>
    </row>
    <row r="80" spans="1:6" ht="15" customHeight="1">
      <c r="A80" s="104" t="s">
        <v>1047</v>
      </c>
      <c r="B80" s="104" t="s">
        <v>1579</v>
      </c>
      <c r="C80" s="105" t="s">
        <v>1281</v>
      </c>
      <c r="D80" s="104" t="s">
        <v>770</v>
      </c>
      <c r="E80" s="104">
        <v>1</v>
      </c>
      <c r="F80" s="107" t="s">
        <v>33</v>
      </c>
    </row>
    <row r="81" spans="1:6" ht="15" customHeight="1">
      <c r="A81" s="104" t="s">
        <v>1047</v>
      </c>
      <c r="B81" s="104" t="s">
        <v>1579</v>
      </c>
      <c r="C81" s="105" t="s">
        <v>1370</v>
      </c>
      <c r="D81" s="104" t="s">
        <v>770</v>
      </c>
      <c r="E81" s="104">
        <v>1</v>
      </c>
      <c r="F81" s="109" t="s">
        <v>42</v>
      </c>
    </row>
    <row r="82" spans="1:6" ht="15" customHeight="1">
      <c r="A82" s="104" t="s">
        <v>1047</v>
      </c>
      <c r="B82" s="104" t="s">
        <v>1575</v>
      </c>
      <c r="C82" s="105" t="s">
        <v>1350</v>
      </c>
      <c r="D82" s="104" t="s">
        <v>773</v>
      </c>
      <c r="E82" s="104">
        <v>1</v>
      </c>
      <c r="F82" s="107" t="s">
        <v>33</v>
      </c>
    </row>
    <row r="83" spans="1:6" ht="15" customHeight="1">
      <c r="A83" s="104" t="s">
        <v>1047</v>
      </c>
      <c r="B83" s="104" t="s">
        <v>1579</v>
      </c>
      <c r="C83" s="105" t="s">
        <v>1047</v>
      </c>
      <c r="D83" s="104" t="s">
        <v>770</v>
      </c>
      <c r="E83" s="104">
        <v>1</v>
      </c>
      <c r="F83" s="109" t="s">
        <v>42</v>
      </c>
    </row>
    <row r="84" spans="1:6" ht="15" customHeight="1">
      <c r="A84" s="104" t="s">
        <v>1047</v>
      </c>
      <c r="B84" s="104" t="s">
        <v>1414</v>
      </c>
      <c r="C84" s="105" t="s">
        <v>1047</v>
      </c>
      <c r="D84" s="104" t="s">
        <v>231</v>
      </c>
      <c r="E84" s="104">
        <v>1</v>
      </c>
      <c r="F84" s="109" t="s">
        <v>42</v>
      </c>
    </row>
    <row r="85" spans="1:6" ht="15" customHeight="1">
      <c r="A85" s="104" t="s">
        <v>1047</v>
      </c>
      <c r="B85" s="104" t="s">
        <v>1415</v>
      </c>
      <c r="C85" s="105" t="s">
        <v>1047</v>
      </c>
      <c r="D85" s="104" t="s">
        <v>500</v>
      </c>
      <c r="E85" s="104">
        <v>1</v>
      </c>
      <c r="F85" s="109" t="s">
        <v>42</v>
      </c>
    </row>
    <row r="86" spans="1:6" ht="15" customHeight="1">
      <c r="A86" s="104" t="s">
        <v>1047</v>
      </c>
      <c r="B86" s="104" t="s">
        <v>1417</v>
      </c>
      <c r="C86" s="105" t="s">
        <v>1047</v>
      </c>
      <c r="D86" s="104" t="s">
        <v>543</v>
      </c>
      <c r="E86" s="104">
        <v>2</v>
      </c>
      <c r="F86" s="109" t="s">
        <v>42</v>
      </c>
    </row>
    <row r="87" spans="1:6" ht="15" customHeight="1">
      <c r="A87" s="104" t="s">
        <v>1047</v>
      </c>
      <c r="B87" s="104" t="s">
        <v>1411</v>
      </c>
      <c r="C87" s="105" t="s">
        <v>1370</v>
      </c>
      <c r="D87" s="104" t="s">
        <v>981</v>
      </c>
      <c r="E87" s="104">
        <v>1</v>
      </c>
      <c r="F87" s="109" t="s">
        <v>42</v>
      </c>
    </row>
    <row r="88" spans="1:6" ht="15" customHeight="1">
      <c r="A88" s="104" t="s">
        <v>1047</v>
      </c>
      <c r="B88" s="104" t="s">
        <v>1412</v>
      </c>
      <c r="C88" s="105" t="s">
        <v>1357</v>
      </c>
      <c r="D88" s="104" t="s">
        <v>1012</v>
      </c>
      <c r="E88" s="104">
        <v>1</v>
      </c>
      <c r="F88" s="109" t="s">
        <v>42</v>
      </c>
    </row>
    <row r="89" spans="1:6" ht="15" customHeight="1">
      <c r="A89" s="104" t="s">
        <v>1047</v>
      </c>
      <c r="B89" s="104" t="s">
        <v>1411</v>
      </c>
      <c r="C89" s="105" t="s">
        <v>1047</v>
      </c>
      <c r="D89" s="104" t="s">
        <v>981</v>
      </c>
      <c r="E89" s="104">
        <v>1</v>
      </c>
      <c r="F89" s="109" t="s">
        <v>42</v>
      </c>
    </row>
    <row r="90" spans="1:6" ht="15" customHeight="1">
      <c r="A90" s="104" t="s">
        <v>1047</v>
      </c>
      <c r="B90" s="104" t="s">
        <v>1416</v>
      </c>
      <c r="C90" s="105" t="s">
        <v>1471</v>
      </c>
      <c r="D90" s="104" t="s">
        <v>237</v>
      </c>
      <c r="E90" s="104">
        <v>1</v>
      </c>
      <c r="F90" s="107" t="s">
        <v>33</v>
      </c>
    </row>
    <row r="91" spans="1:6" ht="15" customHeight="1">
      <c r="A91" s="104" t="s">
        <v>1047</v>
      </c>
      <c r="B91" s="104" t="s">
        <v>1587</v>
      </c>
      <c r="C91" s="105" t="s">
        <v>1357</v>
      </c>
      <c r="D91" s="104" t="s">
        <v>255</v>
      </c>
      <c r="E91" s="104">
        <v>1</v>
      </c>
      <c r="F91" s="109" t="s">
        <v>42</v>
      </c>
    </row>
    <row r="92" spans="1:6" ht="15" customHeight="1">
      <c r="A92" s="104" t="s">
        <v>1047</v>
      </c>
      <c r="B92" s="104" t="s">
        <v>1592</v>
      </c>
      <c r="C92" s="105" t="s">
        <v>1285</v>
      </c>
      <c r="D92" s="104" t="s">
        <v>247</v>
      </c>
      <c r="E92" s="104">
        <v>1</v>
      </c>
      <c r="F92" s="107" t="s">
        <v>33</v>
      </c>
    </row>
    <row r="93" spans="1:6" ht="15" customHeight="1">
      <c r="A93" s="104" t="s">
        <v>1047</v>
      </c>
      <c r="B93" s="104" t="s">
        <v>1586</v>
      </c>
      <c r="C93" s="105" t="s">
        <v>1357</v>
      </c>
      <c r="D93" s="104" t="s">
        <v>252</v>
      </c>
      <c r="E93" s="104">
        <v>1</v>
      </c>
      <c r="F93" s="109" t="s">
        <v>42</v>
      </c>
    </row>
    <row r="94" spans="1:6" ht="15" customHeight="1">
      <c r="A94" s="104" t="s">
        <v>1047</v>
      </c>
      <c r="B94" s="104" t="s">
        <v>1592</v>
      </c>
      <c r="C94" s="105" t="s">
        <v>1047</v>
      </c>
      <c r="D94" s="104" t="s">
        <v>247</v>
      </c>
      <c r="E94" s="104">
        <v>1</v>
      </c>
      <c r="F94" s="109" t="s">
        <v>42</v>
      </c>
    </row>
    <row r="95" spans="1:6" ht="15" customHeight="1">
      <c r="A95" s="104" t="s">
        <v>1047</v>
      </c>
      <c r="B95" s="104" t="s">
        <v>1592</v>
      </c>
      <c r="C95" s="105" t="s">
        <v>1047</v>
      </c>
      <c r="D95" s="104" t="s">
        <v>247</v>
      </c>
      <c r="E95" s="104">
        <v>1</v>
      </c>
      <c r="F95" s="109" t="s">
        <v>42</v>
      </c>
    </row>
    <row r="96" spans="1:6" ht="15" customHeight="1">
      <c r="A96" s="104" t="s">
        <v>1047</v>
      </c>
      <c r="B96" s="104" t="s">
        <v>1582</v>
      </c>
      <c r="C96" s="105" t="s">
        <v>1047</v>
      </c>
      <c r="D96" s="104" t="s">
        <v>760</v>
      </c>
      <c r="E96" s="104">
        <v>1</v>
      </c>
      <c r="F96" s="107" t="s">
        <v>33</v>
      </c>
    </row>
    <row r="97" spans="1:6" ht="15" customHeight="1">
      <c r="A97" s="104" t="s">
        <v>1047</v>
      </c>
      <c r="B97" s="104" t="s">
        <v>1590</v>
      </c>
      <c r="C97" s="105" t="s">
        <v>1531</v>
      </c>
      <c r="D97" s="104" t="s">
        <v>515</v>
      </c>
      <c r="E97" s="104">
        <v>1</v>
      </c>
      <c r="F97" s="109" t="s">
        <v>42</v>
      </c>
    </row>
    <row r="98" spans="1:6" ht="15" customHeight="1">
      <c r="A98" s="101" t="s">
        <v>1593</v>
      </c>
      <c r="B98" s="101" t="s">
        <v>1564</v>
      </c>
      <c r="C98" s="102" t="s">
        <v>1271</v>
      </c>
      <c r="D98" s="101" t="s">
        <v>1566</v>
      </c>
      <c r="E98" s="101">
        <v>2</v>
      </c>
      <c r="F98" s="111" t="s">
        <v>33</v>
      </c>
    </row>
    <row r="99" spans="1:6" ht="15" customHeight="1">
      <c r="A99" s="104" t="s">
        <v>1593</v>
      </c>
      <c r="B99" s="104" t="s">
        <v>1560</v>
      </c>
      <c r="C99" s="105" t="s">
        <v>1271</v>
      </c>
      <c r="D99" s="104" t="s">
        <v>1594</v>
      </c>
      <c r="E99" s="104">
        <v>3</v>
      </c>
      <c r="F99" s="107" t="s">
        <v>33</v>
      </c>
    </row>
    <row r="100" spans="1:6" ht="15" customHeight="1">
      <c r="A100" s="104" t="s">
        <v>1593</v>
      </c>
      <c r="B100" s="104" t="s">
        <v>1561</v>
      </c>
      <c r="C100" s="105" t="s">
        <v>1271</v>
      </c>
      <c r="D100" s="104" t="s">
        <v>1595</v>
      </c>
      <c r="E100" s="104">
        <v>2</v>
      </c>
      <c r="F100" s="107" t="s">
        <v>33</v>
      </c>
    </row>
    <row r="101" spans="1:6" ht="15" customHeight="1">
      <c r="A101" s="104" t="s">
        <v>1593</v>
      </c>
      <c r="B101" s="104" t="s">
        <v>1559</v>
      </c>
      <c r="C101" s="105" t="s">
        <v>1271</v>
      </c>
      <c r="D101" s="104" t="s">
        <v>268</v>
      </c>
      <c r="E101" s="104">
        <v>2</v>
      </c>
      <c r="F101" s="107" t="s">
        <v>33</v>
      </c>
    </row>
    <row r="102" spans="1:6" ht="15" customHeight="1">
      <c r="A102" s="104" t="s">
        <v>1593</v>
      </c>
      <c r="B102" s="104" t="s">
        <v>1567</v>
      </c>
      <c r="C102" s="105" t="s">
        <v>1291</v>
      </c>
      <c r="D102" s="104" t="s">
        <v>770</v>
      </c>
      <c r="E102" s="104">
        <v>1</v>
      </c>
      <c r="F102" s="107" t="s">
        <v>33</v>
      </c>
    </row>
    <row r="103" spans="1:6" ht="15" customHeight="1">
      <c r="A103" s="104" t="s">
        <v>1593</v>
      </c>
      <c r="B103" s="104" t="s">
        <v>1567</v>
      </c>
      <c r="C103" s="105" t="s">
        <v>1271</v>
      </c>
      <c r="D103" s="104" t="s">
        <v>770</v>
      </c>
      <c r="E103" s="104">
        <v>1</v>
      </c>
      <c r="F103" s="107" t="s">
        <v>33</v>
      </c>
    </row>
    <row r="104" spans="1:6" ht="15" customHeight="1">
      <c r="A104" s="104" t="s">
        <v>1593</v>
      </c>
      <c r="B104" s="104" t="s">
        <v>1560</v>
      </c>
      <c r="C104" s="105" t="s">
        <v>1301</v>
      </c>
      <c r="D104" s="104" t="s">
        <v>1012</v>
      </c>
      <c r="E104" s="104">
        <v>1</v>
      </c>
      <c r="F104" s="107" t="s">
        <v>33</v>
      </c>
    </row>
    <row r="105" spans="1:6" ht="15" customHeight="1">
      <c r="A105" s="104" t="s">
        <v>1593</v>
      </c>
      <c r="B105" s="104" t="s">
        <v>1564</v>
      </c>
      <c r="C105" s="105" t="s">
        <v>1327</v>
      </c>
      <c r="D105" s="104" t="s">
        <v>1565</v>
      </c>
      <c r="E105" s="104">
        <v>1</v>
      </c>
      <c r="F105" s="107" t="s">
        <v>33</v>
      </c>
    </row>
    <row r="106" spans="1:6" ht="15" customHeight="1">
      <c r="A106" s="104" t="s">
        <v>1593</v>
      </c>
      <c r="B106" s="104" t="s">
        <v>1570</v>
      </c>
      <c r="C106" s="105" t="s">
        <v>1271</v>
      </c>
      <c r="D106" s="104" t="s">
        <v>1571</v>
      </c>
      <c r="E106" s="104">
        <v>1</v>
      </c>
      <c r="F106" s="107" t="s">
        <v>33</v>
      </c>
    </row>
    <row r="107" spans="1:6" ht="15" customHeight="1">
      <c r="A107" s="104" t="s">
        <v>1593</v>
      </c>
      <c r="B107" s="104" t="s">
        <v>1575</v>
      </c>
      <c r="C107" s="105" t="s">
        <v>1271</v>
      </c>
      <c r="D107" s="104" t="s">
        <v>773</v>
      </c>
      <c r="E107" s="104">
        <v>1</v>
      </c>
      <c r="F107" s="107" t="s">
        <v>33</v>
      </c>
    </row>
    <row r="108" spans="1:6" ht="15" customHeight="1">
      <c r="A108" s="104" t="s">
        <v>1593</v>
      </c>
      <c r="B108" s="104" t="s">
        <v>1573</v>
      </c>
      <c r="C108" s="105" t="s">
        <v>1362</v>
      </c>
      <c r="D108" s="104" t="s">
        <v>804</v>
      </c>
      <c r="E108" s="104">
        <v>1</v>
      </c>
      <c r="F108" s="107" t="s">
        <v>33</v>
      </c>
    </row>
    <row r="109" spans="1:6" ht="15" customHeight="1">
      <c r="A109" s="104" t="s">
        <v>1593</v>
      </c>
      <c r="B109" s="104" t="s">
        <v>1574</v>
      </c>
      <c r="C109" s="105" t="s">
        <v>1271</v>
      </c>
      <c r="D109" s="104" t="s">
        <v>521</v>
      </c>
      <c r="E109" s="104">
        <v>1</v>
      </c>
      <c r="F109" s="107" t="s">
        <v>33</v>
      </c>
    </row>
    <row r="110" spans="1:6" ht="15" customHeight="1">
      <c r="A110" s="104" t="s">
        <v>1593</v>
      </c>
      <c r="B110" s="104" t="s">
        <v>1579</v>
      </c>
      <c r="C110" s="105" t="s">
        <v>1271</v>
      </c>
      <c r="D110" s="104" t="s">
        <v>770</v>
      </c>
      <c r="E110" s="104">
        <v>1</v>
      </c>
      <c r="F110" s="107" t="s">
        <v>33</v>
      </c>
    </row>
    <row r="111" spans="1:6" ht="15" customHeight="1">
      <c r="A111" s="101" t="s">
        <v>1087</v>
      </c>
      <c r="B111" s="101" t="s">
        <v>1567</v>
      </c>
      <c r="C111" s="102" t="s">
        <v>1274</v>
      </c>
      <c r="D111" s="101" t="s">
        <v>770</v>
      </c>
      <c r="E111" s="101">
        <v>1</v>
      </c>
      <c r="F111" s="111" t="s">
        <v>33</v>
      </c>
    </row>
    <row r="112" spans="1:6" ht="15" customHeight="1">
      <c r="A112" s="104" t="s">
        <v>1087</v>
      </c>
      <c r="B112" s="104" t="s">
        <v>1564</v>
      </c>
      <c r="C112" s="105" t="s">
        <v>1275</v>
      </c>
      <c r="D112" s="104" t="s">
        <v>1565</v>
      </c>
      <c r="E112" s="104">
        <v>1</v>
      </c>
      <c r="F112" s="107" t="s">
        <v>33</v>
      </c>
    </row>
    <row r="113" spans="1:6" ht="15" customHeight="1">
      <c r="A113" s="104" t="s">
        <v>1087</v>
      </c>
      <c r="B113" s="104" t="s">
        <v>1570</v>
      </c>
      <c r="C113" s="105" t="s">
        <v>1286</v>
      </c>
      <c r="D113" s="104" t="s">
        <v>1571</v>
      </c>
      <c r="E113" s="104">
        <v>1</v>
      </c>
      <c r="F113" s="107" t="s">
        <v>33</v>
      </c>
    </row>
    <row r="114" spans="1:6" ht="15" customHeight="1">
      <c r="A114" s="104" t="s">
        <v>1087</v>
      </c>
      <c r="B114" s="104" t="s">
        <v>1564</v>
      </c>
      <c r="C114" s="105" t="s">
        <v>1286</v>
      </c>
      <c r="D114" s="104" t="s">
        <v>1565</v>
      </c>
      <c r="E114" s="104">
        <v>1</v>
      </c>
      <c r="F114" s="107" t="s">
        <v>33</v>
      </c>
    </row>
    <row r="115" spans="1:6" ht="15" customHeight="1">
      <c r="A115" s="104" t="s">
        <v>1087</v>
      </c>
      <c r="B115" s="104" t="s">
        <v>1576</v>
      </c>
      <c r="C115" s="105" t="s">
        <v>1087</v>
      </c>
      <c r="D115" s="104" t="s">
        <v>247</v>
      </c>
      <c r="E115" s="104">
        <v>1</v>
      </c>
      <c r="F115" s="107" t="s">
        <v>33</v>
      </c>
    </row>
    <row r="116" spans="1:6" ht="15" customHeight="1">
      <c r="A116" s="104" t="s">
        <v>1087</v>
      </c>
      <c r="B116" s="104" t="s">
        <v>1573</v>
      </c>
      <c r="C116" s="105" t="s">
        <v>1286</v>
      </c>
      <c r="D116" s="104" t="s">
        <v>804</v>
      </c>
      <c r="E116" s="104">
        <v>1</v>
      </c>
      <c r="F116" s="107" t="s">
        <v>33</v>
      </c>
    </row>
    <row r="117" spans="1:6" ht="15" customHeight="1">
      <c r="A117" s="104" t="s">
        <v>1087</v>
      </c>
      <c r="B117" s="104" t="s">
        <v>1575</v>
      </c>
      <c r="C117" s="105" t="s">
        <v>1286</v>
      </c>
      <c r="D117" s="104" t="s">
        <v>773</v>
      </c>
      <c r="E117" s="104">
        <v>1</v>
      </c>
      <c r="F117" s="107" t="s">
        <v>33</v>
      </c>
    </row>
    <row r="118" spans="1:6" ht="15" customHeight="1">
      <c r="A118" s="104" t="s">
        <v>1087</v>
      </c>
      <c r="B118" s="104" t="s">
        <v>1573</v>
      </c>
      <c r="C118" s="105" t="s">
        <v>1087</v>
      </c>
      <c r="D118" s="104" t="s">
        <v>804</v>
      </c>
      <c r="E118" s="104">
        <v>1</v>
      </c>
      <c r="F118" s="107" t="s">
        <v>33</v>
      </c>
    </row>
    <row r="119" spans="1:6" ht="15" customHeight="1">
      <c r="A119" s="104" t="s">
        <v>1087</v>
      </c>
      <c r="B119" s="104" t="s">
        <v>1576</v>
      </c>
      <c r="C119" s="105" t="s">
        <v>1087</v>
      </c>
      <c r="D119" s="104" t="s">
        <v>247</v>
      </c>
      <c r="E119" s="104">
        <v>1</v>
      </c>
      <c r="F119" s="107" t="s">
        <v>33</v>
      </c>
    </row>
    <row r="120" spans="1:6" ht="15" customHeight="1">
      <c r="A120" s="104" t="s">
        <v>1087</v>
      </c>
      <c r="B120" s="104" t="s">
        <v>1577</v>
      </c>
      <c r="C120" s="105" t="s">
        <v>1286</v>
      </c>
      <c r="D120" s="104" t="s">
        <v>1578</v>
      </c>
      <c r="E120" s="104">
        <v>1</v>
      </c>
      <c r="F120" s="107" t="s">
        <v>33</v>
      </c>
    </row>
    <row r="121" spans="1:6" ht="15" customHeight="1">
      <c r="A121" s="104" t="s">
        <v>1087</v>
      </c>
      <c r="B121" s="104" t="s">
        <v>1414</v>
      </c>
      <c r="C121" s="105" t="s">
        <v>1286</v>
      </c>
      <c r="D121" s="104" t="s">
        <v>231</v>
      </c>
      <c r="E121" s="104">
        <v>1</v>
      </c>
      <c r="F121" s="107" t="s">
        <v>33</v>
      </c>
    </row>
    <row r="122" spans="1:6" ht="15" customHeight="1">
      <c r="A122" s="104" t="s">
        <v>1087</v>
      </c>
      <c r="B122" s="104" t="s">
        <v>1415</v>
      </c>
      <c r="C122" s="105" t="s">
        <v>1286</v>
      </c>
      <c r="D122" s="104" t="s">
        <v>500</v>
      </c>
      <c r="E122" s="104">
        <v>1</v>
      </c>
      <c r="F122" s="107" t="s">
        <v>33</v>
      </c>
    </row>
    <row r="123" spans="1:6" ht="15" customHeight="1">
      <c r="A123" s="104" t="s">
        <v>1087</v>
      </c>
      <c r="B123" s="104" t="s">
        <v>1412</v>
      </c>
      <c r="C123" s="105" t="s">
        <v>1087</v>
      </c>
      <c r="D123" s="104" t="s">
        <v>1012</v>
      </c>
      <c r="E123" s="104">
        <v>1</v>
      </c>
      <c r="F123" s="107" t="s">
        <v>33</v>
      </c>
    </row>
    <row r="124" spans="1:6" ht="15" customHeight="1">
      <c r="A124" s="104" t="s">
        <v>1087</v>
      </c>
      <c r="B124" s="104" t="s">
        <v>1412</v>
      </c>
      <c r="C124" s="105" t="s">
        <v>1454</v>
      </c>
      <c r="D124" s="104" t="s">
        <v>1012</v>
      </c>
      <c r="E124" s="104">
        <v>1</v>
      </c>
      <c r="F124" s="107" t="s">
        <v>33</v>
      </c>
    </row>
    <row r="125" spans="1:6" ht="15" customHeight="1">
      <c r="A125" s="104" t="s">
        <v>1087</v>
      </c>
      <c r="B125" s="104" t="s">
        <v>1413</v>
      </c>
      <c r="C125" s="105" t="s">
        <v>1087</v>
      </c>
      <c r="D125" s="104" t="s">
        <v>1000</v>
      </c>
      <c r="E125" s="104">
        <v>1</v>
      </c>
      <c r="F125" s="107" t="s">
        <v>33</v>
      </c>
    </row>
    <row r="126" spans="1:6" ht="15" customHeight="1">
      <c r="A126" s="104" t="s">
        <v>1087</v>
      </c>
      <c r="B126" s="104" t="s">
        <v>1412</v>
      </c>
      <c r="C126" s="105" t="s">
        <v>1286</v>
      </c>
      <c r="D126" s="104" t="s">
        <v>1012</v>
      </c>
      <c r="E126" s="104">
        <v>1</v>
      </c>
      <c r="F126" s="107" t="s">
        <v>33</v>
      </c>
    </row>
    <row r="127" spans="1:6" ht="15" customHeight="1">
      <c r="A127" s="104" t="s">
        <v>1087</v>
      </c>
      <c r="B127" s="104" t="s">
        <v>1411</v>
      </c>
      <c r="C127" s="105" t="s">
        <v>1087</v>
      </c>
      <c r="D127" s="104" t="s">
        <v>981</v>
      </c>
      <c r="E127" s="104">
        <v>1</v>
      </c>
      <c r="F127" s="107" t="s">
        <v>33</v>
      </c>
    </row>
    <row r="128" spans="1:6" ht="15" customHeight="1">
      <c r="A128" s="104" t="s">
        <v>1087</v>
      </c>
      <c r="B128" s="104" t="s">
        <v>1586</v>
      </c>
      <c r="C128" s="105" t="s">
        <v>1515</v>
      </c>
      <c r="D128" s="104" t="s">
        <v>252</v>
      </c>
      <c r="E128" s="104">
        <v>1</v>
      </c>
      <c r="F128" s="107" t="s">
        <v>33</v>
      </c>
    </row>
    <row r="129" spans="1:6" ht="15" customHeight="1">
      <c r="A129" s="101" t="s">
        <v>1256</v>
      </c>
      <c r="B129" s="101" t="s">
        <v>1576</v>
      </c>
      <c r="C129" s="102" t="s">
        <v>1052</v>
      </c>
      <c r="D129" s="101" t="s">
        <v>247</v>
      </c>
      <c r="E129" s="101">
        <v>1</v>
      </c>
      <c r="F129" s="103" t="s">
        <v>37</v>
      </c>
    </row>
    <row r="130" spans="1:6" ht="15" customHeight="1">
      <c r="A130" s="104" t="s">
        <v>1256</v>
      </c>
      <c r="B130" s="104" t="s">
        <v>1417</v>
      </c>
      <c r="C130" s="105" t="s">
        <v>1052</v>
      </c>
      <c r="D130" s="104" t="s">
        <v>534</v>
      </c>
      <c r="E130" s="104">
        <v>1</v>
      </c>
      <c r="F130" s="106" t="s">
        <v>37</v>
      </c>
    </row>
    <row r="131" spans="1:6" ht="15" customHeight="1">
      <c r="A131" s="104" t="s">
        <v>1256</v>
      </c>
      <c r="B131" s="104" t="s">
        <v>1411</v>
      </c>
      <c r="C131" s="105" t="s">
        <v>1052</v>
      </c>
      <c r="D131" s="104" t="s">
        <v>981</v>
      </c>
      <c r="E131" s="104">
        <v>1</v>
      </c>
      <c r="F131" s="106" t="s">
        <v>37</v>
      </c>
    </row>
    <row r="132" spans="1:6" ht="15" customHeight="1">
      <c r="A132" s="104" t="s">
        <v>1256</v>
      </c>
      <c r="B132" s="104" t="s">
        <v>1587</v>
      </c>
      <c r="C132" s="105" t="s">
        <v>1479</v>
      </c>
      <c r="D132" s="104" t="s">
        <v>255</v>
      </c>
      <c r="E132" s="104">
        <v>1</v>
      </c>
      <c r="F132" s="106" t="s">
        <v>37</v>
      </c>
    </row>
    <row r="133" spans="1:6" ht="15" customHeight="1">
      <c r="A133" s="104" t="s">
        <v>1256</v>
      </c>
      <c r="B133" s="104" t="s">
        <v>1582</v>
      </c>
      <c r="C133" s="105" t="s">
        <v>1052</v>
      </c>
      <c r="D133" s="104" t="s">
        <v>759</v>
      </c>
      <c r="E133" s="104">
        <v>2</v>
      </c>
      <c r="F133" s="106" t="s">
        <v>37</v>
      </c>
    </row>
    <row r="134" spans="1:6" ht="15" customHeight="1">
      <c r="A134" s="104" t="s">
        <v>1256</v>
      </c>
      <c r="B134" s="104" t="s">
        <v>1585</v>
      </c>
      <c r="C134" s="105" t="s">
        <v>1052</v>
      </c>
      <c r="D134" s="104" t="s">
        <v>809</v>
      </c>
      <c r="E134" s="104">
        <v>1</v>
      </c>
      <c r="F134" s="106" t="s">
        <v>37</v>
      </c>
    </row>
    <row r="135" spans="1:6" ht="15" customHeight="1">
      <c r="A135" s="104" t="s">
        <v>1256</v>
      </c>
      <c r="B135" s="104" t="s">
        <v>1587</v>
      </c>
      <c r="C135" s="105" t="s">
        <v>1052</v>
      </c>
      <c r="D135" s="104" t="s">
        <v>255</v>
      </c>
      <c r="E135" s="104">
        <v>1</v>
      </c>
      <c r="F135" s="106" t="s">
        <v>37</v>
      </c>
    </row>
    <row r="136" spans="1:6" ht="15" customHeight="1">
      <c r="A136" s="104" t="s">
        <v>1256</v>
      </c>
      <c r="B136" s="104" t="s">
        <v>1580</v>
      </c>
      <c r="C136" s="105" t="s">
        <v>1052</v>
      </c>
      <c r="D136" s="104" t="s">
        <v>1596</v>
      </c>
      <c r="E136" s="104">
        <v>2</v>
      </c>
      <c r="F136" s="106" t="s">
        <v>37</v>
      </c>
    </row>
    <row r="137" spans="1:6" ht="15" customHeight="1">
      <c r="A137" s="104" t="s">
        <v>1256</v>
      </c>
      <c r="B137" s="104" t="s">
        <v>1592</v>
      </c>
      <c r="C137" s="105" t="s">
        <v>1052</v>
      </c>
      <c r="D137" s="104" t="s">
        <v>773</v>
      </c>
      <c r="E137" s="104">
        <v>2</v>
      </c>
      <c r="F137" s="106" t="s">
        <v>37</v>
      </c>
    </row>
    <row r="138" spans="1:6" ht="15" customHeight="1">
      <c r="A138" s="104" t="s">
        <v>1256</v>
      </c>
      <c r="B138" s="104" t="s">
        <v>1584</v>
      </c>
      <c r="C138" s="105" t="s">
        <v>1052</v>
      </c>
      <c r="D138" s="104" t="s">
        <v>539</v>
      </c>
      <c r="E138" s="104">
        <v>1</v>
      </c>
      <c r="F138" s="106" t="s">
        <v>37</v>
      </c>
    </row>
    <row r="139" spans="1:6" ht="15" customHeight="1">
      <c r="A139" s="104" t="s">
        <v>1256</v>
      </c>
      <c r="B139" s="104" t="s">
        <v>1584</v>
      </c>
      <c r="C139" s="105" t="s">
        <v>1052</v>
      </c>
      <c r="D139" s="104" t="s">
        <v>539</v>
      </c>
      <c r="E139" s="104">
        <v>1</v>
      </c>
      <c r="F139" s="106" t="s">
        <v>37</v>
      </c>
    </row>
    <row r="140" spans="1:6" ht="15" customHeight="1">
      <c r="A140" s="104" t="s">
        <v>1256</v>
      </c>
      <c r="B140" s="104" t="s">
        <v>1584</v>
      </c>
      <c r="C140" s="105" t="s">
        <v>1521</v>
      </c>
      <c r="D140" s="104" t="s">
        <v>539</v>
      </c>
      <c r="E140" s="104">
        <v>1</v>
      </c>
      <c r="F140" s="106" t="s">
        <v>37</v>
      </c>
    </row>
    <row r="141" spans="1:6" ht="15" customHeight="1">
      <c r="A141" s="104" t="s">
        <v>1256</v>
      </c>
      <c r="B141" s="104" t="s">
        <v>1588</v>
      </c>
      <c r="C141" s="105" t="s">
        <v>1052</v>
      </c>
      <c r="D141" s="104" t="s">
        <v>515</v>
      </c>
      <c r="E141" s="104">
        <v>2</v>
      </c>
      <c r="F141" s="106" t="s">
        <v>37</v>
      </c>
    </row>
    <row r="142" spans="1:6" ht="15" customHeight="1">
      <c r="A142" s="104" t="s">
        <v>1256</v>
      </c>
      <c r="B142" s="104" t="s">
        <v>1590</v>
      </c>
      <c r="C142" s="105" t="s">
        <v>1530</v>
      </c>
      <c r="D142" s="104" t="s">
        <v>515</v>
      </c>
      <c r="E142" s="104">
        <v>1</v>
      </c>
      <c r="F142" s="106" t="s">
        <v>37</v>
      </c>
    </row>
    <row r="143" spans="1:6" ht="15" customHeight="1">
      <c r="A143" s="101" t="s">
        <v>1267</v>
      </c>
      <c r="B143" s="101" t="s">
        <v>1570</v>
      </c>
      <c r="C143" s="102" t="s">
        <v>1282</v>
      </c>
      <c r="D143" s="101" t="s">
        <v>1571</v>
      </c>
      <c r="E143" s="101">
        <v>1</v>
      </c>
      <c r="F143" s="103" t="s">
        <v>37</v>
      </c>
    </row>
    <row r="144" spans="1:6" ht="15" customHeight="1">
      <c r="A144" s="104" t="s">
        <v>1267</v>
      </c>
      <c r="B144" s="104" t="s">
        <v>1559</v>
      </c>
      <c r="C144" s="105" t="s">
        <v>1284</v>
      </c>
      <c r="D144" s="104" t="s">
        <v>532</v>
      </c>
      <c r="E144" s="104">
        <v>1</v>
      </c>
      <c r="F144" s="106" t="s">
        <v>37</v>
      </c>
    </row>
    <row r="145" spans="1:6" ht="15" customHeight="1">
      <c r="A145" s="104" t="s">
        <v>1267</v>
      </c>
      <c r="B145" s="104" t="s">
        <v>1570</v>
      </c>
      <c r="C145" s="105" t="s">
        <v>1290</v>
      </c>
      <c r="D145" s="104" t="s">
        <v>1571</v>
      </c>
      <c r="E145" s="104">
        <v>1</v>
      </c>
      <c r="F145" s="109" t="s">
        <v>42</v>
      </c>
    </row>
    <row r="146" spans="1:6" ht="15" customHeight="1">
      <c r="A146" s="104" t="s">
        <v>1267</v>
      </c>
      <c r="B146" s="104" t="s">
        <v>1559</v>
      </c>
      <c r="C146" s="105" t="s">
        <v>1307</v>
      </c>
      <c r="D146" s="104" t="s">
        <v>532</v>
      </c>
      <c r="E146" s="104">
        <v>1</v>
      </c>
      <c r="F146" s="106" t="s">
        <v>37</v>
      </c>
    </row>
    <row r="147" spans="1:6" ht="15" customHeight="1">
      <c r="A147" s="104" t="s">
        <v>1267</v>
      </c>
      <c r="B147" s="104" t="s">
        <v>1559</v>
      </c>
      <c r="C147" s="105" t="s">
        <v>1322</v>
      </c>
      <c r="D147" s="104" t="s">
        <v>532</v>
      </c>
      <c r="E147" s="104">
        <v>1</v>
      </c>
      <c r="F147" s="109" t="s">
        <v>42</v>
      </c>
    </row>
    <row r="148" spans="1:6" ht="15" customHeight="1">
      <c r="A148" s="104" t="s">
        <v>1267</v>
      </c>
      <c r="B148" s="104" t="s">
        <v>1572</v>
      </c>
      <c r="C148" s="105" t="s">
        <v>1346</v>
      </c>
      <c r="D148" s="104" t="s">
        <v>770</v>
      </c>
      <c r="E148" s="104">
        <v>1</v>
      </c>
      <c r="F148" s="109" t="s">
        <v>42</v>
      </c>
    </row>
    <row r="149" spans="1:6" ht="15" customHeight="1">
      <c r="A149" s="104" t="s">
        <v>1267</v>
      </c>
      <c r="B149" s="104" t="s">
        <v>1572</v>
      </c>
      <c r="C149" s="105" t="s">
        <v>1376</v>
      </c>
      <c r="D149" s="104" t="s">
        <v>770</v>
      </c>
      <c r="E149" s="104">
        <v>1</v>
      </c>
      <c r="F149" s="109" t="s">
        <v>42</v>
      </c>
    </row>
    <row r="150" spans="1:6" ht="15" customHeight="1">
      <c r="A150" s="104" t="s">
        <v>1267</v>
      </c>
      <c r="B150" s="104" t="s">
        <v>1572</v>
      </c>
      <c r="C150" s="105" t="s">
        <v>1284</v>
      </c>
      <c r="D150" s="104" t="s">
        <v>770</v>
      </c>
      <c r="E150" s="104">
        <v>1</v>
      </c>
      <c r="F150" s="109" t="s">
        <v>42</v>
      </c>
    </row>
    <row r="151" spans="1:6" ht="15" customHeight="1">
      <c r="A151" s="104" t="s">
        <v>1267</v>
      </c>
      <c r="B151" s="104" t="s">
        <v>1411</v>
      </c>
      <c r="C151" s="105" t="s">
        <v>1284</v>
      </c>
      <c r="D151" s="104" t="s">
        <v>981</v>
      </c>
      <c r="E151" s="104">
        <v>1</v>
      </c>
      <c r="F151" s="109" t="s">
        <v>42</v>
      </c>
    </row>
    <row r="152" spans="1:6" ht="15" customHeight="1">
      <c r="A152" s="104" t="s">
        <v>1267</v>
      </c>
      <c r="B152" s="104" t="s">
        <v>1412</v>
      </c>
      <c r="C152" s="105" t="s">
        <v>1431</v>
      </c>
      <c r="D152" s="104" t="s">
        <v>1012</v>
      </c>
      <c r="E152" s="104">
        <v>1</v>
      </c>
      <c r="F152" s="109" t="s">
        <v>42</v>
      </c>
    </row>
    <row r="153" spans="1:6" ht="15" customHeight="1">
      <c r="A153" s="104" t="s">
        <v>1267</v>
      </c>
      <c r="B153" s="104" t="s">
        <v>1416</v>
      </c>
      <c r="C153" s="105" t="s">
        <v>1434</v>
      </c>
      <c r="D153" s="104" t="s">
        <v>237</v>
      </c>
      <c r="E153" s="104">
        <v>1</v>
      </c>
      <c r="F153" s="109" t="s">
        <v>42</v>
      </c>
    </row>
    <row r="154" spans="1:6" ht="15" customHeight="1">
      <c r="A154" s="104" t="s">
        <v>1267</v>
      </c>
      <c r="B154" s="104" t="s">
        <v>1412</v>
      </c>
      <c r="C154" s="105" t="s">
        <v>1437</v>
      </c>
      <c r="D154" s="104" t="s">
        <v>1012</v>
      </c>
      <c r="E154" s="104">
        <v>1</v>
      </c>
      <c r="F154" s="109" t="s">
        <v>42</v>
      </c>
    </row>
    <row r="155" spans="1:6" ht="15" customHeight="1">
      <c r="A155" s="104" t="s">
        <v>1267</v>
      </c>
      <c r="B155" s="104" t="s">
        <v>1413</v>
      </c>
      <c r="C155" s="105" t="s">
        <v>1449</v>
      </c>
      <c r="D155" s="104" t="s">
        <v>1000</v>
      </c>
      <c r="E155" s="104">
        <v>1</v>
      </c>
      <c r="F155" s="106" t="s">
        <v>37</v>
      </c>
    </row>
    <row r="156" spans="1:6" ht="15" customHeight="1">
      <c r="A156" s="104" t="s">
        <v>1267</v>
      </c>
      <c r="B156" s="104" t="s">
        <v>1416</v>
      </c>
      <c r="C156" s="105" t="s">
        <v>1431</v>
      </c>
      <c r="D156" s="104" t="s">
        <v>237</v>
      </c>
      <c r="E156" s="104">
        <v>1</v>
      </c>
      <c r="F156" s="109" t="s">
        <v>42</v>
      </c>
    </row>
    <row r="157" spans="1:6" ht="15" customHeight="1">
      <c r="A157" s="104" t="s">
        <v>1267</v>
      </c>
      <c r="B157" s="104" t="s">
        <v>1592</v>
      </c>
      <c r="C157" s="105" t="s">
        <v>1509</v>
      </c>
      <c r="D157" s="104" t="s">
        <v>247</v>
      </c>
      <c r="E157" s="104">
        <v>1</v>
      </c>
      <c r="F157" s="106" t="s">
        <v>37</v>
      </c>
    </row>
    <row r="158" spans="1:6" ht="15" customHeight="1">
      <c r="A158" s="101" t="s">
        <v>1037</v>
      </c>
      <c r="B158" s="101" t="s">
        <v>1567</v>
      </c>
      <c r="C158" s="102" t="s">
        <v>1283</v>
      </c>
      <c r="D158" s="101" t="s">
        <v>770</v>
      </c>
      <c r="E158" s="101">
        <v>1</v>
      </c>
      <c r="F158" s="110" t="s">
        <v>42</v>
      </c>
    </row>
    <row r="159" spans="1:6" ht="15" customHeight="1">
      <c r="A159" s="104" t="s">
        <v>1037</v>
      </c>
      <c r="B159" s="104" t="s">
        <v>1567</v>
      </c>
      <c r="C159" s="105" t="s">
        <v>1287</v>
      </c>
      <c r="D159" s="104" t="s">
        <v>770</v>
      </c>
      <c r="E159" s="104">
        <v>1</v>
      </c>
      <c r="F159" s="109" t="s">
        <v>42</v>
      </c>
    </row>
    <row r="160" spans="1:6" ht="15" customHeight="1">
      <c r="A160" s="104" t="s">
        <v>1037</v>
      </c>
      <c r="B160" s="104" t="s">
        <v>1570</v>
      </c>
      <c r="C160" s="105" t="s">
        <v>1310</v>
      </c>
      <c r="D160" s="104" t="s">
        <v>1571</v>
      </c>
      <c r="E160" s="104">
        <v>1</v>
      </c>
      <c r="F160" s="109" t="s">
        <v>42</v>
      </c>
    </row>
    <row r="161" spans="1:6" ht="15" customHeight="1">
      <c r="A161" s="104" t="s">
        <v>1037</v>
      </c>
      <c r="B161" s="104" t="s">
        <v>1559</v>
      </c>
      <c r="C161" s="105" t="s">
        <v>1313</v>
      </c>
      <c r="D161" s="104" t="s">
        <v>532</v>
      </c>
      <c r="E161" s="104">
        <v>1</v>
      </c>
      <c r="F161" s="109" t="s">
        <v>42</v>
      </c>
    </row>
    <row r="162" spans="1:6" ht="15" customHeight="1">
      <c r="A162" s="104" t="s">
        <v>1037</v>
      </c>
      <c r="B162" s="104" t="s">
        <v>1559</v>
      </c>
      <c r="C162" s="105" t="s">
        <v>1317</v>
      </c>
      <c r="D162" s="104" t="s">
        <v>532</v>
      </c>
      <c r="E162" s="104">
        <v>1</v>
      </c>
      <c r="F162" s="109" t="s">
        <v>42</v>
      </c>
    </row>
    <row r="163" spans="1:6" ht="15" customHeight="1">
      <c r="A163" s="104" t="s">
        <v>1037</v>
      </c>
      <c r="B163" s="104" t="s">
        <v>1574</v>
      </c>
      <c r="C163" s="105" t="s">
        <v>1377</v>
      </c>
      <c r="D163" s="104" t="s">
        <v>521</v>
      </c>
      <c r="E163" s="104">
        <v>1</v>
      </c>
      <c r="F163" s="109" t="s">
        <v>42</v>
      </c>
    </row>
    <row r="164" spans="1:6" ht="15" customHeight="1">
      <c r="A164" s="104" t="s">
        <v>1037</v>
      </c>
      <c r="B164" s="104" t="s">
        <v>1579</v>
      </c>
      <c r="C164" s="105" t="s">
        <v>1380</v>
      </c>
      <c r="D164" s="104" t="s">
        <v>770</v>
      </c>
      <c r="E164" s="104">
        <v>1</v>
      </c>
      <c r="F164" s="109" t="s">
        <v>42</v>
      </c>
    </row>
    <row r="165" spans="1:6" ht="15" customHeight="1">
      <c r="A165" s="104" t="s">
        <v>1037</v>
      </c>
      <c r="B165" s="104" t="s">
        <v>1572</v>
      </c>
      <c r="C165" s="105" t="s">
        <v>1390</v>
      </c>
      <c r="D165" s="104" t="s">
        <v>770</v>
      </c>
      <c r="E165" s="104">
        <v>1</v>
      </c>
      <c r="F165" s="106" t="s">
        <v>37</v>
      </c>
    </row>
    <row r="166" spans="1:6" ht="15" customHeight="1">
      <c r="A166" s="104" t="s">
        <v>1037</v>
      </c>
      <c r="B166" s="104" t="s">
        <v>1572</v>
      </c>
      <c r="C166" s="105" t="s">
        <v>1393</v>
      </c>
      <c r="D166" s="104" t="s">
        <v>770</v>
      </c>
      <c r="E166" s="104">
        <v>1</v>
      </c>
      <c r="F166" s="109" t="s">
        <v>42</v>
      </c>
    </row>
    <row r="167" spans="1:6" ht="15" customHeight="1">
      <c r="A167" s="104" t="s">
        <v>1037</v>
      </c>
      <c r="B167" s="104" t="s">
        <v>1572</v>
      </c>
      <c r="C167" s="105" t="s">
        <v>1406</v>
      </c>
      <c r="D167" s="104" t="s">
        <v>770</v>
      </c>
      <c r="E167" s="104">
        <v>1</v>
      </c>
      <c r="F167" s="109" t="s">
        <v>42</v>
      </c>
    </row>
    <row r="168" spans="1:6" ht="15" customHeight="1">
      <c r="A168" s="104" t="s">
        <v>1037</v>
      </c>
      <c r="B168" s="104" t="s">
        <v>1577</v>
      </c>
      <c r="C168" s="105" t="s">
        <v>1410</v>
      </c>
      <c r="D168" s="104" t="s">
        <v>1578</v>
      </c>
      <c r="E168" s="104">
        <v>1</v>
      </c>
      <c r="F168" s="109" t="s">
        <v>42</v>
      </c>
    </row>
    <row r="169" spans="1:6" ht="15" customHeight="1">
      <c r="A169" s="104" t="s">
        <v>1037</v>
      </c>
      <c r="B169" s="104" t="s">
        <v>1411</v>
      </c>
      <c r="C169" s="105" t="s">
        <v>1472</v>
      </c>
      <c r="D169" s="104" t="s">
        <v>981</v>
      </c>
      <c r="E169" s="104">
        <v>1</v>
      </c>
      <c r="F169" s="106" t="s">
        <v>37</v>
      </c>
    </row>
    <row r="170" spans="1:6" ht="15" customHeight="1">
      <c r="A170" s="104" t="s">
        <v>1037</v>
      </c>
      <c r="B170" s="104" t="s">
        <v>1592</v>
      </c>
      <c r="C170" s="105" t="s">
        <v>1501</v>
      </c>
      <c r="D170" s="104" t="s">
        <v>247</v>
      </c>
      <c r="E170" s="104">
        <v>1</v>
      </c>
      <c r="F170" s="109" t="s">
        <v>42</v>
      </c>
    </row>
    <row r="171" spans="1:6" ht="15" customHeight="1">
      <c r="A171" s="104" t="s">
        <v>1037</v>
      </c>
      <c r="B171" s="104" t="s">
        <v>1588</v>
      </c>
      <c r="C171" s="105" t="s">
        <v>1532</v>
      </c>
      <c r="D171" s="104" t="s">
        <v>1589</v>
      </c>
      <c r="E171" s="104">
        <v>1</v>
      </c>
      <c r="F171" s="109" t="s">
        <v>42</v>
      </c>
    </row>
    <row r="172" spans="1:6" ht="15" customHeight="1">
      <c r="A172" s="104" t="s">
        <v>1037</v>
      </c>
      <c r="B172" s="104" t="s">
        <v>1588</v>
      </c>
      <c r="C172" s="105" t="s">
        <v>1536</v>
      </c>
      <c r="D172" s="104" t="s">
        <v>1589</v>
      </c>
      <c r="E172" s="104">
        <v>1</v>
      </c>
      <c r="F172" s="109" t="s">
        <v>42</v>
      </c>
    </row>
    <row r="173" spans="1:6" ht="15" customHeight="1">
      <c r="A173" s="101" t="s">
        <v>1038</v>
      </c>
      <c r="B173" s="101" t="s">
        <v>1559</v>
      </c>
      <c r="C173" s="102" t="s">
        <v>1288</v>
      </c>
      <c r="D173" s="101" t="s">
        <v>532</v>
      </c>
      <c r="E173" s="101">
        <v>1</v>
      </c>
      <c r="F173" s="111" t="s">
        <v>33</v>
      </c>
    </row>
    <row r="174" spans="1:6" ht="15" customHeight="1">
      <c r="A174" s="104" t="s">
        <v>1038</v>
      </c>
      <c r="B174" s="104" t="s">
        <v>1560</v>
      </c>
      <c r="C174" s="105" t="s">
        <v>1296</v>
      </c>
      <c r="D174" s="104" t="s">
        <v>1012</v>
      </c>
      <c r="E174" s="104">
        <v>1</v>
      </c>
      <c r="F174" s="107" t="s">
        <v>33</v>
      </c>
    </row>
    <row r="175" spans="1:6" ht="15" customHeight="1">
      <c r="A175" s="104" t="s">
        <v>1038</v>
      </c>
      <c r="B175" s="104" t="s">
        <v>1567</v>
      </c>
      <c r="C175" s="105" t="s">
        <v>1326</v>
      </c>
      <c r="D175" s="104" t="s">
        <v>770</v>
      </c>
      <c r="E175" s="104">
        <v>1</v>
      </c>
      <c r="F175" s="107" t="s">
        <v>33</v>
      </c>
    </row>
    <row r="176" spans="1:6" ht="15" customHeight="1">
      <c r="A176" s="104" t="s">
        <v>1038</v>
      </c>
      <c r="B176" s="104" t="s">
        <v>1576</v>
      </c>
      <c r="C176" s="105" t="s">
        <v>1353</v>
      </c>
      <c r="D176" s="104" t="s">
        <v>247</v>
      </c>
      <c r="E176" s="104">
        <v>1</v>
      </c>
      <c r="F176" s="107" t="s">
        <v>33</v>
      </c>
    </row>
    <row r="177" spans="1:6" ht="15" customHeight="1">
      <c r="A177" s="104" t="s">
        <v>1038</v>
      </c>
      <c r="B177" s="104" t="s">
        <v>1572</v>
      </c>
      <c r="C177" s="105" t="s">
        <v>1079</v>
      </c>
      <c r="D177" s="104" t="s">
        <v>770</v>
      </c>
      <c r="E177" s="104">
        <v>1</v>
      </c>
      <c r="F177" s="107" t="s">
        <v>33</v>
      </c>
    </row>
    <row r="178" spans="1:6" ht="15" customHeight="1">
      <c r="A178" s="104" t="s">
        <v>1038</v>
      </c>
      <c r="B178" s="104" t="s">
        <v>1579</v>
      </c>
      <c r="C178" s="105" t="s">
        <v>1400</v>
      </c>
      <c r="D178" s="104" t="s">
        <v>770</v>
      </c>
      <c r="E178" s="104">
        <v>1</v>
      </c>
      <c r="F178" s="107" t="s">
        <v>33</v>
      </c>
    </row>
    <row r="179" spans="1:6" ht="15" customHeight="1">
      <c r="A179" s="104" t="s">
        <v>1038</v>
      </c>
      <c r="B179" s="104" t="s">
        <v>1577</v>
      </c>
      <c r="C179" s="105" t="s">
        <v>155</v>
      </c>
      <c r="D179" s="104" t="s">
        <v>1578</v>
      </c>
      <c r="E179" s="104">
        <v>1</v>
      </c>
      <c r="F179" s="107" t="s">
        <v>33</v>
      </c>
    </row>
    <row r="180" spans="1:6" ht="15" customHeight="1">
      <c r="A180" s="104" t="s">
        <v>1038</v>
      </c>
      <c r="B180" s="104" t="s">
        <v>1577</v>
      </c>
      <c r="C180" s="105" t="s">
        <v>370</v>
      </c>
      <c r="D180" s="104" t="s">
        <v>1578</v>
      </c>
      <c r="E180" s="104">
        <v>1</v>
      </c>
      <c r="F180" s="107" t="s">
        <v>33</v>
      </c>
    </row>
    <row r="181" spans="1:6" ht="15" customHeight="1">
      <c r="A181" s="104" t="s">
        <v>1038</v>
      </c>
      <c r="B181" s="104" t="s">
        <v>1417</v>
      </c>
      <c r="C181" s="105" t="s">
        <v>1435</v>
      </c>
      <c r="D181" s="104" t="s">
        <v>534</v>
      </c>
      <c r="E181" s="104">
        <v>1</v>
      </c>
      <c r="F181" s="107" t="s">
        <v>33</v>
      </c>
    </row>
    <row r="182" spans="1:6" ht="15" customHeight="1">
      <c r="A182" s="104" t="s">
        <v>1038</v>
      </c>
      <c r="B182" s="104" t="s">
        <v>1586</v>
      </c>
      <c r="C182" s="105" t="s">
        <v>1490</v>
      </c>
      <c r="D182" s="104" t="s">
        <v>252</v>
      </c>
      <c r="E182" s="104">
        <v>1</v>
      </c>
      <c r="F182" s="107" t="s">
        <v>33</v>
      </c>
    </row>
    <row r="183" spans="1:6" ht="15" customHeight="1">
      <c r="A183" s="104" t="s">
        <v>1038</v>
      </c>
      <c r="B183" s="104" t="s">
        <v>1580</v>
      </c>
      <c r="C183" s="105" t="s">
        <v>1079</v>
      </c>
      <c r="D183" s="104" t="s">
        <v>808</v>
      </c>
      <c r="E183" s="104">
        <v>1</v>
      </c>
      <c r="F183" s="107" t="s">
        <v>33</v>
      </c>
    </row>
    <row r="184" spans="1:6" ht="15" customHeight="1">
      <c r="A184" s="104" t="s">
        <v>1038</v>
      </c>
      <c r="B184" s="104" t="s">
        <v>1592</v>
      </c>
      <c r="C184" s="105" t="s">
        <v>1493</v>
      </c>
      <c r="D184" s="104" t="s">
        <v>247</v>
      </c>
      <c r="E184" s="104">
        <v>1</v>
      </c>
      <c r="F184" s="107" t="s">
        <v>33</v>
      </c>
    </row>
    <row r="185" spans="1:6" ht="15" customHeight="1">
      <c r="A185" s="104" t="s">
        <v>1038</v>
      </c>
      <c r="B185" s="104" t="s">
        <v>1585</v>
      </c>
      <c r="C185" s="105" t="s">
        <v>1497</v>
      </c>
      <c r="D185" s="104" t="s">
        <v>809</v>
      </c>
      <c r="E185" s="104">
        <v>1</v>
      </c>
      <c r="F185" s="107" t="s">
        <v>33</v>
      </c>
    </row>
    <row r="186" spans="1:6" ht="15" customHeight="1">
      <c r="A186" s="104" t="s">
        <v>1038</v>
      </c>
      <c r="B186" s="104" t="s">
        <v>1580</v>
      </c>
      <c r="C186" s="105" t="s">
        <v>370</v>
      </c>
      <c r="D186" s="104" t="s">
        <v>808</v>
      </c>
      <c r="E186" s="104">
        <v>1</v>
      </c>
      <c r="F186" s="107" t="s">
        <v>33</v>
      </c>
    </row>
    <row r="187" spans="1:6" ht="15" customHeight="1">
      <c r="A187" s="104" t="s">
        <v>1038</v>
      </c>
      <c r="B187" s="104" t="s">
        <v>1588</v>
      </c>
      <c r="C187" s="105" t="s">
        <v>859</v>
      </c>
      <c r="D187" s="104" t="s">
        <v>1589</v>
      </c>
      <c r="E187" s="104">
        <v>1</v>
      </c>
      <c r="F187" s="107" t="s">
        <v>33</v>
      </c>
    </row>
    <row r="188" spans="1:6" ht="15" customHeight="1">
      <c r="A188" s="101" t="s">
        <v>1262</v>
      </c>
      <c r="B188" s="101" t="s">
        <v>1559</v>
      </c>
      <c r="C188" s="102" t="s">
        <v>1295</v>
      </c>
      <c r="D188" s="101" t="s">
        <v>532</v>
      </c>
      <c r="E188" s="101">
        <v>1</v>
      </c>
      <c r="F188" s="111" t="s">
        <v>33</v>
      </c>
    </row>
    <row r="189" spans="1:6" ht="15" customHeight="1">
      <c r="A189" s="104" t="s">
        <v>1262</v>
      </c>
      <c r="B189" s="104" t="s">
        <v>1560</v>
      </c>
      <c r="C189" s="105" t="s">
        <v>1305</v>
      </c>
      <c r="D189" s="104" t="s">
        <v>1012</v>
      </c>
      <c r="E189" s="104">
        <v>1</v>
      </c>
      <c r="F189" s="107" t="s">
        <v>33</v>
      </c>
    </row>
    <row r="190" spans="1:6" ht="15" customHeight="1">
      <c r="A190" s="104" t="s">
        <v>1262</v>
      </c>
      <c r="B190" s="104" t="s">
        <v>1570</v>
      </c>
      <c r="C190" s="105" t="s">
        <v>1306</v>
      </c>
      <c r="D190" s="104" t="s">
        <v>1571</v>
      </c>
      <c r="E190" s="104">
        <v>1</v>
      </c>
      <c r="F190" s="107" t="s">
        <v>33</v>
      </c>
    </row>
    <row r="191" spans="1:6" ht="15" customHeight="1">
      <c r="A191" s="104" t="s">
        <v>1262</v>
      </c>
      <c r="B191" s="104" t="s">
        <v>1560</v>
      </c>
      <c r="C191" s="105" t="s">
        <v>1314</v>
      </c>
      <c r="D191" s="104" t="s">
        <v>1012</v>
      </c>
      <c r="E191" s="104">
        <v>1</v>
      </c>
      <c r="F191" s="107" t="s">
        <v>33</v>
      </c>
    </row>
    <row r="192" spans="1:6" ht="15" customHeight="1">
      <c r="A192" s="104" t="s">
        <v>1262</v>
      </c>
      <c r="B192" s="104" t="s">
        <v>1576</v>
      </c>
      <c r="C192" s="105" t="s">
        <v>325</v>
      </c>
      <c r="D192" s="104" t="s">
        <v>247</v>
      </c>
      <c r="E192" s="104">
        <v>1</v>
      </c>
      <c r="F192" s="107" t="s">
        <v>33</v>
      </c>
    </row>
    <row r="193" spans="1:6" ht="15" customHeight="1">
      <c r="A193" s="104" t="s">
        <v>1262</v>
      </c>
      <c r="B193" s="104" t="s">
        <v>1577</v>
      </c>
      <c r="C193" s="105" t="s">
        <v>1360</v>
      </c>
      <c r="D193" s="104" t="s">
        <v>1578</v>
      </c>
      <c r="E193" s="104">
        <v>1</v>
      </c>
      <c r="F193" s="107" t="s">
        <v>33</v>
      </c>
    </row>
    <row r="194" spans="1:6" ht="15" customHeight="1">
      <c r="A194" s="104" t="s">
        <v>1262</v>
      </c>
      <c r="B194" s="104" t="s">
        <v>1572</v>
      </c>
      <c r="C194" s="105" t="s">
        <v>1176</v>
      </c>
      <c r="D194" s="104" t="s">
        <v>770</v>
      </c>
      <c r="E194" s="104">
        <v>1</v>
      </c>
      <c r="F194" s="107" t="s">
        <v>33</v>
      </c>
    </row>
    <row r="195" spans="1:6" ht="15" customHeight="1">
      <c r="A195" s="104" t="s">
        <v>1262</v>
      </c>
      <c r="B195" s="104" t="s">
        <v>1417</v>
      </c>
      <c r="C195" s="105" t="s">
        <v>1440</v>
      </c>
      <c r="D195" s="104" t="s">
        <v>534</v>
      </c>
      <c r="E195" s="104">
        <v>1</v>
      </c>
      <c r="F195" s="107" t="s">
        <v>33</v>
      </c>
    </row>
    <row r="196" spans="1:6" ht="15" customHeight="1">
      <c r="A196" s="104" t="s">
        <v>1262</v>
      </c>
      <c r="B196" s="104" t="s">
        <v>1416</v>
      </c>
      <c r="C196" s="105" t="s">
        <v>1461</v>
      </c>
      <c r="D196" s="104" t="s">
        <v>237</v>
      </c>
      <c r="E196" s="104">
        <v>1</v>
      </c>
      <c r="F196" s="107" t="s">
        <v>33</v>
      </c>
    </row>
    <row r="197" spans="1:6" ht="15" customHeight="1">
      <c r="A197" s="104" t="s">
        <v>1262</v>
      </c>
      <c r="B197" s="104" t="s">
        <v>1580</v>
      </c>
      <c r="C197" s="105" t="s">
        <v>325</v>
      </c>
      <c r="D197" s="104" t="s">
        <v>808</v>
      </c>
      <c r="E197" s="104">
        <v>1</v>
      </c>
      <c r="F197" s="107" t="s">
        <v>33</v>
      </c>
    </row>
    <row r="198" spans="1:6" ht="15" customHeight="1">
      <c r="A198" s="104" t="s">
        <v>1262</v>
      </c>
      <c r="B198" s="104" t="s">
        <v>1580</v>
      </c>
      <c r="C198" s="105" t="s">
        <v>325</v>
      </c>
      <c r="D198" s="104" t="s">
        <v>808</v>
      </c>
      <c r="E198" s="104">
        <v>1</v>
      </c>
      <c r="F198" s="107" t="s">
        <v>33</v>
      </c>
    </row>
    <row r="199" spans="1:6" ht="15" customHeight="1">
      <c r="A199" s="104" t="s">
        <v>1262</v>
      </c>
      <c r="B199" s="104" t="s">
        <v>1580</v>
      </c>
      <c r="C199" s="105" t="s">
        <v>1520</v>
      </c>
      <c r="D199" s="104" t="s">
        <v>808</v>
      </c>
      <c r="E199" s="104">
        <v>1</v>
      </c>
      <c r="F199" s="107" t="s">
        <v>33</v>
      </c>
    </row>
    <row r="200" spans="1:6" ht="15" customHeight="1">
      <c r="A200" s="104" t="s">
        <v>1262</v>
      </c>
      <c r="B200" s="104" t="s">
        <v>1580</v>
      </c>
      <c r="C200" s="105" t="s">
        <v>325</v>
      </c>
      <c r="D200" s="104" t="s">
        <v>808</v>
      </c>
      <c r="E200" s="104">
        <v>1</v>
      </c>
      <c r="F200" s="107" t="s">
        <v>33</v>
      </c>
    </row>
    <row r="201" spans="1:6" ht="15" customHeight="1">
      <c r="A201" s="104" t="s">
        <v>1262</v>
      </c>
      <c r="B201" s="104" t="s">
        <v>1588</v>
      </c>
      <c r="C201" s="105" t="s">
        <v>1440</v>
      </c>
      <c r="D201" s="104" t="s">
        <v>1589</v>
      </c>
      <c r="E201" s="104">
        <v>1</v>
      </c>
      <c r="F201" s="107" t="s">
        <v>33</v>
      </c>
    </row>
    <row r="202" spans="1:6" ht="15" customHeight="1">
      <c r="A202" s="101" t="s">
        <v>1034</v>
      </c>
      <c r="B202" s="101" t="s">
        <v>1561</v>
      </c>
      <c r="C202" s="102" t="s">
        <v>1297</v>
      </c>
      <c r="D202" s="101" t="s">
        <v>1562</v>
      </c>
      <c r="E202" s="101">
        <v>1</v>
      </c>
      <c r="F202" s="110" t="s">
        <v>42</v>
      </c>
    </row>
    <row r="203" spans="1:6" ht="15" customHeight="1">
      <c r="A203" s="104" t="s">
        <v>1034</v>
      </c>
      <c r="B203" s="104" t="s">
        <v>1561</v>
      </c>
      <c r="C203" s="105" t="s">
        <v>128</v>
      </c>
      <c r="D203" s="104" t="s">
        <v>1562</v>
      </c>
      <c r="E203" s="104">
        <v>1</v>
      </c>
      <c r="F203" s="109" t="s">
        <v>42</v>
      </c>
    </row>
    <row r="204" spans="1:6" ht="15" customHeight="1">
      <c r="A204" s="104" t="s">
        <v>1034</v>
      </c>
      <c r="B204" s="104" t="s">
        <v>1564</v>
      </c>
      <c r="C204" s="105" t="s">
        <v>1331</v>
      </c>
      <c r="D204" s="104" t="s">
        <v>1565</v>
      </c>
      <c r="E204" s="104">
        <v>1</v>
      </c>
      <c r="F204" s="109" t="s">
        <v>42</v>
      </c>
    </row>
    <row r="205" spans="1:6" ht="15" customHeight="1">
      <c r="A205" s="104" t="s">
        <v>1034</v>
      </c>
      <c r="B205" s="104" t="s">
        <v>1570</v>
      </c>
      <c r="C205" s="105" t="s">
        <v>1339</v>
      </c>
      <c r="D205" s="104" t="s">
        <v>1571</v>
      </c>
      <c r="E205" s="104">
        <v>1</v>
      </c>
      <c r="F205" s="109" t="s">
        <v>42</v>
      </c>
    </row>
    <row r="206" spans="1:6" ht="15" customHeight="1">
      <c r="A206" s="104" t="s">
        <v>1034</v>
      </c>
      <c r="B206" s="104" t="s">
        <v>1577</v>
      </c>
      <c r="C206" s="105" t="s">
        <v>128</v>
      </c>
      <c r="D206" s="104" t="s">
        <v>1597</v>
      </c>
      <c r="E206" s="104">
        <v>2</v>
      </c>
      <c r="F206" s="109" t="s">
        <v>42</v>
      </c>
    </row>
    <row r="207" spans="1:6" ht="15" customHeight="1">
      <c r="A207" s="104" t="s">
        <v>1034</v>
      </c>
      <c r="B207" s="104" t="s">
        <v>1576</v>
      </c>
      <c r="C207" s="105" t="s">
        <v>1395</v>
      </c>
      <c r="D207" s="104" t="s">
        <v>247</v>
      </c>
      <c r="E207" s="104">
        <v>1</v>
      </c>
      <c r="F207" s="109" t="s">
        <v>42</v>
      </c>
    </row>
    <row r="208" spans="1:6" ht="15" customHeight="1">
      <c r="A208" s="104" t="s">
        <v>1034</v>
      </c>
      <c r="B208" s="104" t="s">
        <v>1579</v>
      </c>
      <c r="C208" s="105" t="s">
        <v>1407</v>
      </c>
      <c r="D208" s="104" t="s">
        <v>770</v>
      </c>
      <c r="E208" s="104">
        <v>1</v>
      </c>
      <c r="F208" s="109" t="s">
        <v>42</v>
      </c>
    </row>
    <row r="209" spans="1:6" ht="15" customHeight="1">
      <c r="A209" s="104" t="s">
        <v>1034</v>
      </c>
      <c r="B209" s="104" t="s">
        <v>1414</v>
      </c>
      <c r="C209" s="105" t="s">
        <v>128</v>
      </c>
      <c r="D209" s="104" t="s">
        <v>231</v>
      </c>
      <c r="E209" s="104">
        <v>1</v>
      </c>
      <c r="F209" s="109" t="s">
        <v>42</v>
      </c>
    </row>
    <row r="210" spans="1:6" ht="15" customHeight="1">
      <c r="A210" s="104" t="s">
        <v>1034</v>
      </c>
      <c r="B210" s="104" t="s">
        <v>1412</v>
      </c>
      <c r="C210" s="105" t="s">
        <v>1466</v>
      </c>
      <c r="D210" s="104" t="s">
        <v>1012</v>
      </c>
      <c r="E210" s="104">
        <v>1</v>
      </c>
      <c r="F210" s="109" t="s">
        <v>42</v>
      </c>
    </row>
    <row r="211" spans="1:6" ht="15" customHeight="1">
      <c r="A211" s="104" t="s">
        <v>1034</v>
      </c>
      <c r="B211" s="104" t="s">
        <v>1412</v>
      </c>
      <c r="C211" s="105" t="s">
        <v>1468</v>
      </c>
      <c r="D211" s="104" t="s">
        <v>1012</v>
      </c>
      <c r="E211" s="104">
        <v>1</v>
      </c>
      <c r="F211" s="109" t="s">
        <v>42</v>
      </c>
    </row>
    <row r="212" spans="1:6" ht="15" customHeight="1">
      <c r="A212" s="104" t="s">
        <v>1034</v>
      </c>
      <c r="B212" s="104" t="s">
        <v>1580</v>
      </c>
      <c r="C212" s="105" t="s">
        <v>1482</v>
      </c>
      <c r="D212" s="104" t="s">
        <v>808</v>
      </c>
      <c r="E212" s="104">
        <v>1</v>
      </c>
      <c r="F212" s="109" t="s">
        <v>42</v>
      </c>
    </row>
    <row r="213" spans="1:6" ht="15" customHeight="1">
      <c r="A213" s="104" t="s">
        <v>1034</v>
      </c>
      <c r="B213" s="104" t="s">
        <v>1585</v>
      </c>
      <c r="C213" s="105" t="s">
        <v>128</v>
      </c>
      <c r="D213" s="104" t="s">
        <v>809</v>
      </c>
      <c r="E213" s="104">
        <v>1</v>
      </c>
      <c r="F213" s="109" t="s">
        <v>42</v>
      </c>
    </row>
    <row r="214" spans="1:6" ht="15" customHeight="1">
      <c r="A214" s="104" t="s">
        <v>1034</v>
      </c>
      <c r="B214" s="104" t="s">
        <v>1582</v>
      </c>
      <c r="C214" s="105" t="s">
        <v>1518</v>
      </c>
      <c r="D214" s="104" t="s">
        <v>760</v>
      </c>
      <c r="E214" s="104">
        <v>1</v>
      </c>
      <c r="F214" s="109" t="s">
        <v>42</v>
      </c>
    </row>
    <row r="215" spans="1:6" ht="15" customHeight="1">
      <c r="A215" s="101" t="s">
        <v>1266</v>
      </c>
      <c r="B215" s="101" t="s">
        <v>1567</v>
      </c>
      <c r="C215" s="102" t="s">
        <v>1298</v>
      </c>
      <c r="D215" s="101" t="s">
        <v>770</v>
      </c>
      <c r="E215" s="101">
        <v>1</v>
      </c>
      <c r="F215" s="111" t="s">
        <v>33</v>
      </c>
    </row>
    <row r="216" spans="1:6" ht="15" customHeight="1">
      <c r="A216" s="104" t="s">
        <v>1266</v>
      </c>
      <c r="B216" s="104" t="s">
        <v>1567</v>
      </c>
      <c r="C216" s="105" t="s">
        <v>1303</v>
      </c>
      <c r="D216" s="104" t="s">
        <v>770</v>
      </c>
      <c r="E216" s="104">
        <v>1</v>
      </c>
      <c r="F216" s="107" t="s">
        <v>33</v>
      </c>
    </row>
    <row r="217" spans="1:6" ht="15" customHeight="1">
      <c r="A217" s="104" t="s">
        <v>1266</v>
      </c>
      <c r="B217" s="104" t="s">
        <v>1560</v>
      </c>
      <c r="C217" s="105" t="s">
        <v>1308</v>
      </c>
      <c r="D217" s="104" t="s">
        <v>1012</v>
      </c>
      <c r="E217" s="104">
        <v>1</v>
      </c>
      <c r="F217" s="107" t="s">
        <v>33</v>
      </c>
    </row>
    <row r="218" spans="1:6" ht="15" customHeight="1">
      <c r="A218" s="104" t="s">
        <v>1266</v>
      </c>
      <c r="B218" s="104" t="s">
        <v>1576</v>
      </c>
      <c r="C218" s="105" t="s">
        <v>1368</v>
      </c>
      <c r="D218" s="104" t="s">
        <v>247</v>
      </c>
      <c r="E218" s="104">
        <v>1</v>
      </c>
      <c r="F218" s="107" t="s">
        <v>33</v>
      </c>
    </row>
    <row r="219" spans="1:6" ht="15" customHeight="1">
      <c r="A219" s="104" t="s">
        <v>1266</v>
      </c>
      <c r="B219" s="104" t="s">
        <v>1577</v>
      </c>
      <c r="C219" s="105" t="s">
        <v>1404</v>
      </c>
      <c r="D219" s="104" t="s">
        <v>1578</v>
      </c>
      <c r="E219" s="104">
        <v>1</v>
      </c>
      <c r="F219" s="107" t="s">
        <v>33</v>
      </c>
    </row>
    <row r="220" spans="1:6" ht="15" customHeight="1">
      <c r="A220" s="104" t="s">
        <v>1266</v>
      </c>
      <c r="B220" s="104" t="s">
        <v>1413</v>
      </c>
      <c r="C220" s="105" t="s">
        <v>1266</v>
      </c>
      <c r="D220" s="104" t="s">
        <v>999</v>
      </c>
      <c r="E220" s="104">
        <v>2</v>
      </c>
      <c r="F220" s="107" t="s">
        <v>33</v>
      </c>
    </row>
    <row r="221" spans="1:6" ht="15" customHeight="1">
      <c r="A221" s="104" t="s">
        <v>1266</v>
      </c>
      <c r="B221" s="104" t="s">
        <v>1414</v>
      </c>
      <c r="C221" s="105" t="s">
        <v>1442</v>
      </c>
      <c r="D221" s="104" t="s">
        <v>231</v>
      </c>
      <c r="E221" s="104">
        <v>1</v>
      </c>
      <c r="F221" s="107" t="s">
        <v>33</v>
      </c>
    </row>
    <row r="222" spans="1:6" ht="15" customHeight="1">
      <c r="A222" s="104" t="s">
        <v>1266</v>
      </c>
      <c r="B222" s="104" t="s">
        <v>1417</v>
      </c>
      <c r="C222" s="105" t="s">
        <v>1457</v>
      </c>
      <c r="D222" s="104" t="s">
        <v>534</v>
      </c>
      <c r="E222" s="104">
        <v>1</v>
      </c>
      <c r="F222" s="107" t="s">
        <v>33</v>
      </c>
    </row>
    <row r="223" spans="1:6" ht="15" customHeight="1">
      <c r="A223" s="104" t="s">
        <v>1266</v>
      </c>
      <c r="B223" s="104" t="s">
        <v>1416</v>
      </c>
      <c r="C223" s="105" t="s">
        <v>1266</v>
      </c>
      <c r="D223" s="104" t="s">
        <v>237</v>
      </c>
      <c r="E223" s="104">
        <v>1</v>
      </c>
      <c r="F223" s="107" t="s">
        <v>33</v>
      </c>
    </row>
    <row r="224" spans="1:6" ht="15" customHeight="1">
      <c r="A224" s="104" t="s">
        <v>1266</v>
      </c>
      <c r="B224" s="104" t="s">
        <v>1417</v>
      </c>
      <c r="C224" s="105" t="s">
        <v>1266</v>
      </c>
      <c r="D224" s="104" t="s">
        <v>534</v>
      </c>
      <c r="E224" s="104">
        <v>1</v>
      </c>
      <c r="F224" s="107" t="s">
        <v>33</v>
      </c>
    </row>
    <row r="225" spans="1:6" ht="15" customHeight="1">
      <c r="A225" s="104" t="s">
        <v>1266</v>
      </c>
      <c r="B225" s="104" t="s">
        <v>1411</v>
      </c>
      <c r="C225" s="105" t="s">
        <v>1458</v>
      </c>
      <c r="D225" s="104" t="s">
        <v>981</v>
      </c>
      <c r="E225" s="104">
        <v>1</v>
      </c>
      <c r="F225" s="107" t="s">
        <v>33</v>
      </c>
    </row>
    <row r="226" spans="1:6" ht="15" customHeight="1">
      <c r="A226" s="104" t="s">
        <v>1266</v>
      </c>
      <c r="B226" s="104" t="s">
        <v>1592</v>
      </c>
      <c r="C226" s="105" t="s">
        <v>1487</v>
      </c>
      <c r="D226" s="104" t="s">
        <v>247</v>
      </c>
      <c r="E226" s="104">
        <v>1</v>
      </c>
      <c r="F226" s="107" t="s">
        <v>33</v>
      </c>
    </row>
    <row r="227" spans="1:6" ht="15" customHeight="1">
      <c r="A227" s="104" t="s">
        <v>1266</v>
      </c>
      <c r="B227" s="104" t="s">
        <v>1588</v>
      </c>
      <c r="C227" s="105" t="s">
        <v>1487</v>
      </c>
      <c r="D227" s="104" t="s">
        <v>1589</v>
      </c>
      <c r="E227" s="104">
        <v>1</v>
      </c>
      <c r="F227" s="107" t="s">
        <v>33</v>
      </c>
    </row>
    <row r="228" spans="1:6" ht="15" customHeight="1">
      <c r="A228" s="101" t="s">
        <v>1265</v>
      </c>
      <c r="B228" s="101" t="s">
        <v>1564</v>
      </c>
      <c r="C228" s="102" t="s">
        <v>166</v>
      </c>
      <c r="D228" s="101" t="s">
        <v>1565</v>
      </c>
      <c r="E228" s="101">
        <v>1</v>
      </c>
      <c r="F228" s="111" t="s">
        <v>33</v>
      </c>
    </row>
    <row r="229" spans="1:6" ht="15" customHeight="1">
      <c r="A229" s="104" t="s">
        <v>1265</v>
      </c>
      <c r="B229" s="104" t="s">
        <v>1570</v>
      </c>
      <c r="C229" s="105" t="s">
        <v>611</v>
      </c>
      <c r="D229" s="104" t="s">
        <v>1571</v>
      </c>
      <c r="E229" s="104">
        <v>1</v>
      </c>
      <c r="F229" s="107" t="s">
        <v>33</v>
      </c>
    </row>
    <row r="230" spans="1:6" ht="15" customHeight="1">
      <c r="A230" s="104" t="s">
        <v>1265</v>
      </c>
      <c r="B230" s="104" t="s">
        <v>1564</v>
      </c>
      <c r="C230" s="105" t="s">
        <v>611</v>
      </c>
      <c r="D230" s="104" t="s">
        <v>1565</v>
      </c>
      <c r="E230" s="104">
        <v>1</v>
      </c>
      <c r="F230" s="107" t="s">
        <v>33</v>
      </c>
    </row>
    <row r="231" spans="1:6" ht="15" customHeight="1">
      <c r="A231" s="104" t="s">
        <v>1265</v>
      </c>
      <c r="B231" s="104" t="s">
        <v>1574</v>
      </c>
      <c r="C231" s="105" t="s">
        <v>611</v>
      </c>
      <c r="D231" s="104" t="s">
        <v>521</v>
      </c>
      <c r="E231" s="104">
        <v>1</v>
      </c>
      <c r="F231" s="107" t="s">
        <v>33</v>
      </c>
    </row>
    <row r="232" spans="1:6" ht="15" customHeight="1">
      <c r="A232" s="104" t="s">
        <v>1265</v>
      </c>
      <c r="B232" s="104" t="s">
        <v>1572</v>
      </c>
      <c r="C232" s="105" t="s">
        <v>611</v>
      </c>
      <c r="D232" s="104" t="s">
        <v>770</v>
      </c>
      <c r="E232" s="104">
        <v>1</v>
      </c>
      <c r="F232" s="107" t="s">
        <v>33</v>
      </c>
    </row>
    <row r="233" spans="1:6" ht="15" customHeight="1">
      <c r="A233" s="104" t="s">
        <v>1265</v>
      </c>
      <c r="B233" s="104" t="s">
        <v>1572</v>
      </c>
      <c r="C233" s="105" t="s">
        <v>1397</v>
      </c>
      <c r="D233" s="104" t="s">
        <v>770</v>
      </c>
      <c r="E233" s="104">
        <v>1</v>
      </c>
      <c r="F233" s="107" t="s">
        <v>33</v>
      </c>
    </row>
    <row r="234" spans="1:6" ht="15" customHeight="1">
      <c r="A234" s="104" t="s">
        <v>1265</v>
      </c>
      <c r="B234" s="104" t="s">
        <v>1416</v>
      </c>
      <c r="C234" s="105" t="s">
        <v>1456</v>
      </c>
      <c r="D234" s="104" t="s">
        <v>237</v>
      </c>
      <c r="E234" s="104">
        <v>1</v>
      </c>
      <c r="F234" s="107" t="s">
        <v>33</v>
      </c>
    </row>
    <row r="235" spans="1:6" ht="15" customHeight="1">
      <c r="A235" s="104" t="s">
        <v>1265</v>
      </c>
      <c r="B235" s="104" t="s">
        <v>1587</v>
      </c>
      <c r="C235" s="105" t="s">
        <v>1498</v>
      </c>
      <c r="D235" s="104" t="s">
        <v>255</v>
      </c>
      <c r="E235" s="104">
        <v>1</v>
      </c>
      <c r="F235" s="107" t="s">
        <v>33</v>
      </c>
    </row>
    <row r="236" spans="1:6" ht="15" customHeight="1">
      <c r="A236" s="104" t="s">
        <v>1265</v>
      </c>
      <c r="B236" s="104" t="s">
        <v>1584</v>
      </c>
      <c r="C236" s="105" t="s">
        <v>1511</v>
      </c>
      <c r="D236" s="104" t="s">
        <v>539</v>
      </c>
      <c r="E236" s="104">
        <v>1</v>
      </c>
      <c r="F236" s="107" t="s">
        <v>33</v>
      </c>
    </row>
    <row r="237" spans="1:6" ht="15" customHeight="1">
      <c r="A237" s="104" t="s">
        <v>1265</v>
      </c>
      <c r="B237" s="104" t="s">
        <v>1590</v>
      </c>
      <c r="C237" s="105" t="s">
        <v>1528</v>
      </c>
      <c r="D237" s="104" t="s">
        <v>515</v>
      </c>
      <c r="E237" s="104">
        <v>1</v>
      </c>
      <c r="F237" s="107" t="s">
        <v>33</v>
      </c>
    </row>
    <row r="238" spans="1:6" ht="15" customHeight="1">
      <c r="A238" s="101" t="s">
        <v>1039</v>
      </c>
      <c r="B238" s="101" t="s">
        <v>1559</v>
      </c>
      <c r="C238" s="102" t="s">
        <v>1300</v>
      </c>
      <c r="D238" s="101" t="s">
        <v>532</v>
      </c>
      <c r="E238" s="101">
        <v>1</v>
      </c>
      <c r="F238" s="112" t="s">
        <v>35</v>
      </c>
    </row>
    <row r="239" spans="1:6" ht="15" customHeight="1">
      <c r="A239" s="104" t="s">
        <v>1039</v>
      </c>
      <c r="B239" s="104" t="s">
        <v>1579</v>
      </c>
      <c r="C239" s="105" t="s">
        <v>1355</v>
      </c>
      <c r="D239" s="104" t="s">
        <v>770</v>
      </c>
      <c r="E239" s="104">
        <v>1</v>
      </c>
      <c r="F239" s="113" t="s">
        <v>35</v>
      </c>
    </row>
    <row r="240" spans="1:6" ht="15" customHeight="1">
      <c r="A240" s="104" t="s">
        <v>1039</v>
      </c>
      <c r="B240" s="104" t="s">
        <v>1579</v>
      </c>
      <c r="C240" s="105" t="s">
        <v>1409</v>
      </c>
      <c r="D240" s="104" t="s">
        <v>813</v>
      </c>
      <c r="E240" s="104">
        <v>2</v>
      </c>
      <c r="F240" s="113" t="s">
        <v>35</v>
      </c>
    </row>
    <row r="241" spans="1:6" ht="15" customHeight="1">
      <c r="A241" s="104" t="s">
        <v>1039</v>
      </c>
      <c r="B241" s="104" t="s">
        <v>1416</v>
      </c>
      <c r="C241" s="105" t="s">
        <v>1429</v>
      </c>
      <c r="D241" s="104" t="s">
        <v>237</v>
      </c>
      <c r="E241" s="104">
        <v>1</v>
      </c>
      <c r="F241" s="113" t="s">
        <v>35</v>
      </c>
    </row>
    <row r="242" spans="1:6" ht="15" customHeight="1">
      <c r="A242" s="104" t="s">
        <v>1039</v>
      </c>
      <c r="B242" s="104" t="s">
        <v>1416</v>
      </c>
      <c r="C242" s="105" t="s">
        <v>1443</v>
      </c>
      <c r="D242" s="104" t="s">
        <v>237</v>
      </c>
      <c r="E242" s="104">
        <v>1</v>
      </c>
      <c r="F242" s="113" t="s">
        <v>35</v>
      </c>
    </row>
    <row r="243" spans="1:6" ht="15" customHeight="1">
      <c r="A243" s="104" t="s">
        <v>1039</v>
      </c>
      <c r="B243" s="104" t="s">
        <v>1417</v>
      </c>
      <c r="C243" s="105" t="s">
        <v>1452</v>
      </c>
      <c r="D243" s="104" t="s">
        <v>534</v>
      </c>
      <c r="E243" s="104">
        <v>1</v>
      </c>
      <c r="F243" s="113" t="s">
        <v>35</v>
      </c>
    </row>
    <row r="244" spans="1:6" ht="15" customHeight="1">
      <c r="A244" s="104" t="s">
        <v>1039</v>
      </c>
      <c r="B244" s="104" t="s">
        <v>1417</v>
      </c>
      <c r="C244" s="105" t="s">
        <v>1462</v>
      </c>
      <c r="D244" s="104" t="s">
        <v>534</v>
      </c>
      <c r="E244" s="104">
        <v>1</v>
      </c>
      <c r="F244" s="113" t="s">
        <v>35</v>
      </c>
    </row>
    <row r="245" spans="1:6" ht="15" customHeight="1">
      <c r="A245" s="104" t="s">
        <v>1039</v>
      </c>
      <c r="B245" s="104" t="s">
        <v>1411</v>
      </c>
      <c r="C245" s="105" t="s">
        <v>1300</v>
      </c>
      <c r="D245" s="104" t="s">
        <v>981</v>
      </c>
      <c r="E245" s="104">
        <v>1</v>
      </c>
      <c r="F245" s="113" t="s">
        <v>35</v>
      </c>
    </row>
    <row r="246" spans="1:6" ht="15" customHeight="1">
      <c r="A246" s="104" t="s">
        <v>1039</v>
      </c>
      <c r="B246" s="104" t="s">
        <v>1417</v>
      </c>
      <c r="C246" s="105" t="s">
        <v>1464</v>
      </c>
      <c r="D246" s="104" t="s">
        <v>534</v>
      </c>
      <c r="E246" s="104">
        <v>1</v>
      </c>
      <c r="F246" s="113" t="s">
        <v>35</v>
      </c>
    </row>
    <row r="247" spans="1:6" ht="15" customHeight="1">
      <c r="A247" s="101" t="s">
        <v>1598</v>
      </c>
      <c r="B247" s="101" t="s">
        <v>1563</v>
      </c>
      <c r="C247" s="102" t="s">
        <v>1272</v>
      </c>
      <c r="D247" s="101" t="s">
        <v>241</v>
      </c>
      <c r="E247" s="101">
        <v>1</v>
      </c>
      <c r="F247" s="103" t="s">
        <v>37</v>
      </c>
    </row>
    <row r="248" spans="1:6" ht="15" customHeight="1">
      <c r="A248" s="104" t="s">
        <v>1598</v>
      </c>
      <c r="B248" s="104" t="s">
        <v>1560</v>
      </c>
      <c r="C248" s="105" t="s">
        <v>1318</v>
      </c>
      <c r="D248" s="104" t="s">
        <v>1012</v>
      </c>
      <c r="E248" s="104">
        <v>1</v>
      </c>
      <c r="F248" s="106" t="s">
        <v>37</v>
      </c>
    </row>
    <row r="249" spans="1:6" ht="15" customHeight="1">
      <c r="A249" s="104" t="s">
        <v>1598</v>
      </c>
      <c r="B249" s="104" t="s">
        <v>1560</v>
      </c>
      <c r="C249" s="105" t="s">
        <v>1323</v>
      </c>
      <c r="D249" s="104" t="s">
        <v>1012</v>
      </c>
      <c r="E249" s="104">
        <v>1</v>
      </c>
      <c r="F249" s="106" t="s">
        <v>37</v>
      </c>
    </row>
    <row r="250" spans="1:6" ht="15" customHeight="1">
      <c r="A250" s="104" t="s">
        <v>1598</v>
      </c>
      <c r="B250" s="104" t="s">
        <v>1559</v>
      </c>
      <c r="C250" s="105" t="s">
        <v>1328</v>
      </c>
      <c r="D250" s="104" t="s">
        <v>532</v>
      </c>
      <c r="E250" s="104">
        <v>1</v>
      </c>
      <c r="F250" s="106" t="s">
        <v>37</v>
      </c>
    </row>
    <row r="251" spans="1:6" ht="15" customHeight="1">
      <c r="A251" s="104" t="s">
        <v>1598</v>
      </c>
      <c r="B251" s="104" t="s">
        <v>1560</v>
      </c>
      <c r="C251" s="105" t="s">
        <v>1329</v>
      </c>
      <c r="D251" s="104" t="s">
        <v>1233</v>
      </c>
      <c r="E251" s="104">
        <v>2</v>
      </c>
      <c r="F251" s="106" t="s">
        <v>37</v>
      </c>
    </row>
    <row r="252" spans="1:6" ht="15" customHeight="1">
      <c r="A252" s="101" t="s">
        <v>62</v>
      </c>
      <c r="B252" s="101" t="s">
        <v>1573</v>
      </c>
      <c r="C252" s="102" t="s">
        <v>1373</v>
      </c>
      <c r="D252" s="101" t="s">
        <v>804</v>
      </c>
      <c r="E252" s="101">
        <v>1</v>
      </c>
      <c r="F252" s="103" t="s">
        <v>37</v>
      </c>
    </row>
    <row r="253" spans="1:6" ht="15" customHeight="1">
      <c r="A253" s="104" t="s">
        <v>62</v>
      </c>
      <c r="B253" s="104" t="s">
        <v>1412</v>
      </c>
      <c r="C253" s="105" t="s">
        <v>62</v>
      </c>
      <c r="D253" s="104" t="s">
        <v>1233</v>
      </c>
      <c r="E253" s="104">
        <v>2</v>
      </c>
      <c r="F253" s="109" t="s">
        <v>42</v>
      </c>
    </row>
    <row r="254" spans="1:6" ht="15" customHeight="1">
      <c r="A254" s="104" t="s">
        <v>62</v>
      </c>
      <c r="B254" s="104" t="s">
        <v>1415</v>
      </c>
      <c r="C254" s="105" t="s">
        <v>62</v>
      </c>
      <c r="D254" s="104" t="s">
        <v>500</v>
      </c>
      <c r="E254" s="104">
        <v>1</v>
      </c>
      <c r="F254" s="109" t="s">
        <v>42</v>
      </c>
    </row>
    <row r="255" spans="1:6" ht="15" customHeight="1">
      <c r="A255" s="104" t="s">
        <v>62</v>
      </c>
      <c r="B255" s="104" t="s">
        <v>1580</v>
      </c>
      <c r="C255" s="105" t="s">
        <v>1496</v>
      </c>
      <c r="D255" s="104" t="s">
        <v>1596</v>
      </c>
      <c r="E255" s="104">
        <v>2</v>
      </c>
      <c r="F255" s="106" t="s">
        <v>37</v>
      </c>
    </row>
    <row r="256" spans="1:6" ht="15" customHeight="1">
      <c r="A256" s="101" t="s">
        <v>1259</v>
      </c>
      <c r="B256" s="101" t="s">
        <v>1577</v>
      </c>
      <c r="C256" s="102" t="s">
        <v>1396</v>
      </c>
      <c r="D256" s="101" t="s">
        <v>1578</v>
      </c>
      <c r="E256" s="101">
        <v>1</v>
      </c>
      <c r="F256" s="110" t="s">
        <v>42</v>
      </c>
    </row>
    <row r="257" spans="1:6" ht="15" customHeight="1">
      <c r="A257" s="104" t="s">
        <v>1259</v>
      </c>
      <c r="B257" s="104" t="s">
        <v>1414</v>
      </c>
      <c r="C257" s="105" t="s">
        <v>1455</v>
      </c>
      <c r="D257" s="104" t="s">
        <v>231</v>
      </c>
      <c r="E257" s="104">
        <v>1</v>
      </c>
      <c r="F257" s="107" t="s">
        <v>33</v>
      </c>
    </row>
    <row r="258" spans="1:6" ht="15" customHeight="1">
      <c r="A258" s="104" t="s">
        <v>1259</v>
      </c>
      <c r="B258" s="104" t="s">
        <v>1592</v>
      </c>
      <c r="C258" s="105" t="s">
        <v>1477</v>
      </c>
      <c r="D258" s="104" t="s">
        <v>247</v>
      </c>
      <c r="E258" s="104">
        <v>1</v>
      </c>
      <c r="F258" s="109" t="s">
        <v>42</v>
      </c>
    </row>
    <row r="259" spans="1:6" ht="15" customHeight="1">
      <c r="A259" s="104" t="s">
        <v>1259</v>
      </c>
      <c r="B259" s="104" t="s">
        <v>1580</v>
      </c>
      <c r="C259" s="105" t="s">
        <v>1500</v>
      </c>
      <c r="D259" s="104" t="s">
        <v>808</v>
      </c>
      <c r="E259" s="104">
        <v>1</v>
      </c>
      <c r="F259" s="106" t="s">
        <v>37</v>
      </c>
    </row>
    <row r="260" spans="1:6" ht="15" customHeight="1">
      <c r="A260" s="104" t="s">
        <v>1259</v>
      </c>
      <c r="B260" s="104" t="s">
        <v>1580</v>
      </c>
      <c r="C260" s="105" t="s">
        <v>1505</v>
      </c>
      <c r="D260" s="104" t="s">
        <v>808</v>
      </c>
      <c r="E260" s="104">
        <v>1</v>
      </c>
      <c r="F260" s="109" t="s">
        <v>42</v>
      </c>
    </row>
    <row r="261" spans="1:6" ht="15" customHeight="1">
      <c r="A261" s="101" t="s">
        <v>1599</v>
      </c>
      <c r="B261" s="101" t="s">
        <v>1572</v>
      </c>
      <c r="C261" s="102" t="s">
        <v>1361</v>
      </c>
      <c r="D261" s="101" t="s">
        <v>770</v>
      </c>
      <c r="E261" s="101">
        <v>1</v>
      </c>
      <c r="F261" s="111" t="s">
        <v>33</v>
      </c>
    </row>
    <row r="262" spans="1:6" ht="15" customHeight="1">
      <c r="A262" s="101" t="s">
        <v>281</v>
      </c>
      <c r="B262" s="101" t="s">
        <v>1567</v>
      </c>
      <c r="C262" s="102" t="s">
        <v>1270</v>
      </c>
      <c r="D262" s="101" t="s">
        <v>770</v>
      </c>
      <c r="E262" s="101">
        <v>1</v>
      </c>
      <c r="F262" s="111" t="s">
        <v>33</v>
      </c>
    </row>
    <row r="263" spans="1:6" ht="15" customHeight="1">
      <c r="A263" s="104" t="s">
        <v>281</v>
      </c>
      <c r="B263" s="104" t="s">
        <v>1570</v>
      </c>
      <c r="C263" s="105" t="s">
        <v>1273</v>
      </c>
      <c r="D263" s="104" t="s">
        <v>1571</v>
      </c>
      <c r="E263" s="104">
        <v>1</v>
      </c>
      <c r="F263" s="106" t="s">
        <v>37</v>
      </c>
    </row>
    <row r="264" spans="1:6" ht="15" customHeight="1">
      <c r="A264" s="104" t="s">
        <v>281</v>
      </c>
      <c r="B264" s="104" t="s">
        <v>1563</v>
      </c>
      <c r="C264" s="105" t="s">
        <v>1276</v>
      </c>
      <c r="D264" s="104" t="s">
        <v>241</v>
      </c>
      <c r="E264" s="104">
        <v>1</v>
      </c>
      <c r="F264" s="107" t="s">
        <v>33</v>
      </c>
    </row>
    <row r="265" spans="1:6" ht="15" customHeight="1">
      <c r="A265" s="104" t="s">
        <v>281</v>
      </c>
      <c r="B265" s="104" t="s">
        <v>1570</v>
      </c>
      <c r="C265" s="105" t="s">
        <v>1277</v>
      </c>
      <c r="D265" s="104" t="s">
        <v>1571</v>
      </c>
      <c r="E265" s="104">
        <v>1</v>
      </c>
      <c r="F265" s="107" t="s">
        <v>33</v>
      </c>
    </row>
    <row r="266" spans="1:6" ht="15" customHeight="1">
      <c r="A266" s="104" t="s">
        <v>281</v>
      </c>
      <c r="B266" s="104" t="s">
        <v>1567</v>
      </c>
      <c r="C266" s="105" t="s">
        <v>1278</v>
      </c>
      <c r="D266" s="104" t="s">
        <v>770</v>
      </c>
      <c r="E266" s="104">
        <v>1</v>
      </c>
      <c r="F266" s="108" t="s">
        <v>27</v>
      </c>
    </row>
    <row r="267" spans="1:6" ht="15" customHeight="1">
      <c r="A267" s="104" t="s">
        <v>281</v>
      </c>
      <c r="B267" s="104" t="s">
        <v>1564</v>
      </c>
      <c r="C267" s="105" t="s">
        <v>1279</v>
      </c>
      <c r="D267" s="104" t="s">
        <v>1565</v>
      </c>
      <c r="E267" s="104">
        <v>1</v>
      </c>
      <c r="F267" s="106" t="s">
        <v>37</v>
      </c>
    </row>
    <row r="268" spans="1:6" ht="15" customHeight="1">
      <c r="A268" s="104" t="s">
        <v>281</v>
      </c>
      <c r="B268" s="104" t="s">
        <v>1559</v>
      </c>
      <c r="C268" s="105" t="s">
        <v>1280</v>
      </c>
      <c r="D268" s="104" t="s">
        <v>532</v>
      </c>
      <c r="E268" s="104">
        <v>1</v>
      </c>
      <c r="F268" s="107" t="s">
        <v>33</v>
      </c>
    </row>
    <row r="269" spans="1:6" ht="15" customHeight="1">
      <c r="A269" s="104" t="s">
        <v>281</v>
      </c>
      <c r="B269" s="104" t="s">
        <v>1560</v>
      </c>
      <c r="C269" s="105" t="s">
        <v>1096</v>
      </c>
      <c r="D269" s="104" t="s">
        <v>1012</v>
      </c>
      <c r="E269" s="104">
        <v>1</v>
      </c>
      <c r="F269" s="107" t="s">
        <v>33</v>
      </c>
    </row>
    <row r="270" spans="1:6" ht="15" customHeight="1">
      <c r="A270" s="104" t="s">
        <v>281</v>
      </c>
      <c r="B270" s="104" t="s">
        <v>1561</v>
      </c>
      <c r="C270" s="105" t="s">
        <v>1289</v>
      </c>
      <c r="D270" s="104" t="s">
        <v>1562</v>
      </c>
      <c r="E270" s="104">
        <v>1</v>
      </c>
      <c r="F270" s="107" t="s">
        <v>33</v>
      </c>
    </row>
    <row r="271" spans="1:6" ht="15" customHeight="1">
      <c r="A271" s="104" t="s">
        <v>281</v>
      </c>
      <c r="B271" s="104" t="s">
        <v>1559</v>
      </c>
      <c r="C271" s="105" t="s">
        <v>1292</v>
      </c>
      <c r="D271" s="104" t="s">
        <v>532</v>
      </c>
      <c r="E271" s="104">
        <v>1</v>
      </c>
      <c r="F271" s="106" t="s">
        <v>37</v>
      </c>
    </row>
    <row r="272" spans="1:6" ht="15" customHeight="1">
      <c r="A272" s="104" t="s">
        <v>281</v>
      </c>
      <c r="B272" s="104" t="s">
        <v>1560</v>
      </c>
      <c r="C272" s="105" t="s">
        <v>1293</v>
      </c>
      <c r="D272" s="104" t="s">
        <v>1012</v>
      </c>
      <c r="E272" s="104">
        <v>1</v>
      </c>
      <c r="F272" s="107" t="s">
        <v>33</v>
      </c>
    </row>
    <row r="273" spans="1:6" ht="15" customHeight="1">
      <c r="A273" s="104" t="s">
        <v>281</v>
      </c>
      <c r="B273" s="104" t="s">
        <v>1570</v>
      </c>
      <c r="C273" s="105" t="s">
        <v>1077</v>
      </c>
      <c r="D273" s="104" t="s">
        <v>1571</v>
      </c>
      <c r="E273" s="104">
        <v>1</v>
      </c>
      <c r="F273" s="107" t="s">
        <v>33</v>
      </c>
    </row>
    <row r="274" spans="1:6" ht="15" customHeight="1">
      <c r="A274" s="104" t="s">
        <v>281</v>
      </c>
      <c r="B274" s="104" t="s">
        <v>1564</v>
      </c>
      <c r="C274" s="105" t="s">
        <v>1294</v>
      </c>
      <c r="D274" s="104" t="s">
        <v>1565</v>
      </c>
      <c r="E274" s="104">
        <v>1</v>
      </c>
      <c r="F274" s="107" t="s">
        <v>33</v>
      </c>
    </row>
    <row r="275" spans="1:6" ht="15" customHeight="1">
      <c r="A275" s="104" t="s">
        <v>281</v>
      </c>
      <c r="B275" s="104" t="s">
        <v>1564</v>
      </c>
      <c r="C275" s="105" t="s">
        <v>1299</v>
      </c>
      <c r="D275" s="104" t="s">
        <v>1565</v>
      </c>
      <c r="E275" s="104">
        <v>1</v>
      </c>
      <c r="F275" s="107" t="s">
        <v>33</v>
      </c>
    </row>
    <row r="276" spans="1:6" ht="15" customHeight="1">
      <c r="A276" s="104" t="s">
        <v>281</v>
      </c>
      <c r="B276" s="104" t="s">
        <v>1561</v>
      </c>
      <c r="C276" s="105" t="s">
        <v>1302</v>
      </c>
      <c r="D276" s="104" t="s">
        <v>1562</v>
      </c>
      <c r="E276" s="104">
        <v>1</v>
      </c>
      <c r="F276" s="109" t="s">
        <v>42</v>
      </c>
    </row>
    <row r="277" spans="1:6" ht="15" customHeight="1">
      <c r="A277" s="104" t="s">
        <v>281</v>
      </c>
      <c r="B277" s="104" t="s">
        <v>1559</v>
      </c>
      <c r="C277" s="105" t="s">
        <v>1304</v>
      </c>
      <c r="D277" s="104" t="s">
        <v>532</v>
      </c>
      <c r="E277" s="104">
        <v>1</v>
      </c>
      <c r="F277" s="109" t="s">
        <v>42</v>
      </c>
    </row>
    <row r="278" spans="1:6" ht="15" customHeight="1">
      <c r="A278" s="104" t="s">
        <v>281</v>
      </c>
      <c r="B278" s="104" t="s">
        <v>1561</v>
      </c>
      <c r="C278" s="105" t="s">
        <v>177</v>
      </c>
      <c r="D278" s="104" t="s">
        <v>1562</v>
      </c>
      <c r="E278" s="104">
        <v>1</v>
      </c>
      <c r="F278" s="106" t="s">
        <v>37</v>
      </c>
    </row>
    <row r="279" spans="1:6" ht="15" customHeight="1">
      <c r="A279" s="104" t="s">
        <v>281</v>
      </c>
      <c r="B279" s="104" t="s">
        <v>1561</v>
      </c>
      <c r="C279" s="105" t="s">
        <v>1309</v>
      </c>
      <c r="D279" s="104" t="s">
        <v>1562</v>
      </c>
      <c r="E279" s="104">
        <v>1</v>
      </c>
      <c r="F279" s="109" t="s">
        <v>42</v>
      </c>
    </row>
    <row r="280" spans="1:6" ht="15" customHeight="1">
      <c r="A280" s="104" t="s">
        <v>281</v>
      </c>
      <c r="B280" s="104" t="s">
        <v>1567</v>
      </c>
      <c r="C280" s="105" t="s">
        <v>1311</v>
      </c>
      <c r="D280" s="104" t="s">
        <v>770</v>
      </c>
      <c r="E280" s="104">
        <v>1</v>
      </c>
      <c r="F280" s="106" t="s">
        <v>37</v>
      </c>
    </row>
    <row r="281" spans="1:6" ht="15" customHeight="1">
      <c r="A281" s="104" t="s">
        <v>281</v>
      </c>
      <c r="B281" s="104" t="s">
        <v>1570</v>
      </c>
      <c r="C281" s="105" t="s">
        <v>1315</v>
      </c>
      <c r="D281" s="104" t="s">
        <v>1571</v>
      </c>
      <c r="E281" s="104">
        <v>1</v>
      </c>
      <c r="F281" s="107" t="s">
        <v>33</v>
      </c>
    </row>
    <row r="282" spans="1:6" ht="15" customHeight="1">
      <c r="A282" s="104" t="s">
        <v>281</v>
      </c>
      <c r="B282" s="104" t="s">
        <v>1561</v>
      </c>
      <c r="C282" s="105" t="s">
        <v>1319</v>
      </c>
      <c r="D282" s="104" t="s">
        <v>1562</v>
      </c>
      <c r="E282" s="104">
        <v>1</v>
      </c>
      <c r="F282" s="107" t="s">
        <v>33</v>
      </c>
    </row>
    <row r="283" spans="1:6" ht="15" customHeight="1">
      <c r="A283" s="104" t="s">
        <v>281</v>
      </c>
      <c r="B283" s="104" t="s">
        <v>1567</v>
      </c>
      <c r="C283" s="105" t="s">
        <v>1321</v>
      </c>
      <c r="D283" s="104" t="s">
        <v>770</v>
      </c>
      <c r="E283" s="104">
        <v>1</v>
      </c>
      <c r="F283" s="107" t="s">
        <v>33</v>
      </c>
    </row>
    <row r="284" spans="1:6" ht="15" customHeight="1">
      <c r="A284" s="104" t="s">
        <v>281</v>
      </c>
      <c r="B284" s="104" t="s">
        <v>1561</v>
      </c>
      <c r="C284" s="105" t="s">
        <v>1324</v>
      </c>
      <c r="D284" s="104" t="s">
        <v>1562</v>
      </c>
      <c r="E284" s="104">
        <v>1</v>
      </c>
      <c r="F284" s="107" t="s">
        <v>33</v>
      </c>
    </row>
    <row r="285" spans="1:6" ht="15" customHeight="1">
      <c r="A285" s="104" t="s">
        <v>281</v>
      </c>
      <c r="B285" s="104" t="s">
        <v>1570</v>
      </c>
      <c r="C285" s="105" t="s">
        <v>1325</v>
      </c>
      <c r="D285" s="104" t="s">
        <v>1571</v>
      </c>
      <c r="E285" s="104">
        <v>1</v>
      </c>
      <c r="F285" s="107" t="s">
        <v>33</v>
      </c>
    </row>
    <row r="286" spans="1:6" ht="15" customHeight="1">
      <c r="A286" s="104" t="s">
        <v>281</v>
      </c>
      <c r="B286" s="104" t="s">
        <v>1570</v>
      </c>
      <c r="C286" s="105" t="s">
        <v>1330</v>
      </c>
      <c r="D286" s="104" t="s">
        <v>1571</v>
      </c>
      <c r="E286" s="104">
        <v>1</v>
      </c>
      <c r="F286" s="108" t="s">
        <v>27</v>
      </c>
    </row>
    <row r="287" spans="1:6" ht="15" customHeight="1">
      <c r="A287" s="104" t="s">
        <v>281</v>
      </c>
      <c r="B287" s="104" t="s">
        <v>1559</v>
      </c>
      <c r="C287" s="105" t="s">
        <v>1332</v>
      </c>
      <c r="D287" s="104" t="s">
        <v>532</v>
      </c>
      <c r="E287" s="104">
        <v>1</v>
      </c>
      <c r="F287" s="106" t="s">
        <v>37</v>
      </c>
    </row>
    <row r="288" spans="1:6" ht="15" customHeight="1">
      <c r="A288" s="104" t="s">
        <v>281</v>
      </c>
      <c r="B288" s="104" t="s">
        <v>1570</v>
      </c>
      <c r="C288" s="105" t="s">
        <v>1334</v>
      </c>
      <c r="D288" s="104" t="s">
        <v>1571</v>
      </c>
      <c r="E288" s="104">
        <v>1</v>
      </c>
      <c r="F288" s="106" t="s">
        <v>37</v>
      </c>
    </row>
    <row r="289" spans="1:6" ht="15" customHeight="1">
      <c r="A289" s="104" t="s">
        <v>281</v>
      </c>
      <c r="B289" s="104" t="s">
        <v>1564</v>
      </c>
      <c r="C289" s="105" t="s">
        <v>1335</v>
      </c>
      <c r="D289" s="104" t="s">
        <v>1566</v>
      </c>
      <c r="E289" s="104">
        <v>2</v>
      </c>
      <c r="F289" s="107" t="s">
        <v>33</v>
      </c>
    </row>
    <row r="290" spans="1:6" ht="15" customHeight="1">
      <c r="A290" s="104" t="s">
        <v>281</v>
      </c>
      <c r="B290" s="104" t="s">
        <v>1560</v>
      </c>
      <c r="C290" s="105" t="s">
        <v>1336</v>
      </c>
      <c r="D290" s="104" t="s">
        <v>1012</v>
      </c>
      <c r="E290" s="104">
        <v>1</v>
      </c>
      <c r="F290" s="107" t="s">
        <v>33</v>
      </c>
    </row>
    <row r="291" spans="1:6" ht="15" customHeight="1">
      <c r="A291" s="104" t="s">
        <v>281</v>
      </c>
      <c r="B291" s="104" t="s">
        <v>1570</v>
      </c>
      <c r="C291" s="105" t="s">
        <v>1340</v>
      </c>
      <c r="D291" s="104" t="s">
        <v>1571</v>
      </c>
      <c r="E291" s="104">
        <v>1</v>
      </c>
      <c r="F291" s="106" t="s">
        <v>37</v>
      </c>
    </row>
    <row r="292" spans="1:6" ht="15" customHeight="1">
      <c r="A292" s="104" t="s">
        <v>281</v>
      </c>
      <c r="B292" s="104" t="s">
        <v>1579</v>
      </c>
      <c r="C292" s="105" t="s">
        <v>1341</v>
      </c>
      <c r="D292" s="104" t="s">
        <v>813</v>
      </c>
      <c r="E292" s="104">
        <v>2</v>
      </c>
      <c r="F292" s="109" t="s">
        <v>42</v>
      </c>
    </row>
    <row r="293" spans="1:6" ht="15" customHeight="1">
      <c r="A293" s="104" t="s">
        <v>281</v>
      </c>
      <c r="B293" s="104" t="s">
        <v>1574</v>
      </c>
      <c r="C293" s="105" t="s">
        <v>1342</v>
      </c>
      <c r="D293" s="104" t="s">
        <v>521</v>
      </c>
      <c r="E293" s="104">
        <v>1</v>
      </c>
      <c r="F293" s="107" t="s">
        <v>33</v>
      </c>
    </row>
    <row r="294" spans="1:6" ht="15" customHeight="1">
      <c r="A294" s="104" t="s">
        <v>281</v>
      </c>
      <c r="B294" s="104" t="s">
        <v>1573</v>
      </c>
      <c r="C294" s="105" t="s">
        <v>1302</v>
      </c>
      <c r="D294" s="104" t="s">
        <v>1600</v>
      </c>
      <c r="E294" s="104">
        <v>2</v>
      </c>
      <c r="F294" s="109" t="s">
        <v>42</v>
      </c>
    </row>
    <row r="295" spans="1:6" ht="15" customHeight="1">
      <c r="A295" s="104" t="s">
        <v>281</v>
      </c>
      <c r="B295" s="104" t="s">
        <v>1576</v>
      </c>
      <c r="C295" s="105" t="s">
        <v>1343</v>
      </c>
      <c r="D295" s="104" t="s">
        <v>247</v>
      </c>
      <c r="E295" s="104">
        <v>1</v>
      </c>
      <c r="F295" s="113" t="s">
        <v>35</v>
      </c>
    </row>
    <row r="296" spans="1:6" ht="15" customHeight="1">
      <c r="A296" s="104" t="s">
        <v>281</v>
      </c>
      <c r="B296" s="104" t="s">
        <v>1577</v>
      </c>
      <c r="C296" s="105" t="s">
        <v>1344</v>
      </c>
      <c r="D296" s="104" t="s">
        <v>1601</v>
      </c>
      <c r="E296" s="104">
        <v>9</v>
      </c>
      <c r="F296" s="109" t="s">
        <v>42</v>
      </c>
    </row>
    <row r="297" spans="1:6" ht="15" customHeight="1">
      <c r="A297" s="104" t="s">
        <v>281</v>
      </c>
      <c r="B297" s="104" t="s">
        <v>1579</v>
      </c>
      <c r="C297" s="105" t="s">
        <v>1345</v>
      </c>
      <c r="D297" s="104" t="s">
        <v>813</v>
      </c>
      <c r="E297" s="104">
        <v>2</v>
      </c>
      <c r="F297" s="109" t="s">
        <v>42</v>
      </c>
    </row>
    <row r="298" spans="1:6" ht="15" customHeight="1">
      <c r="A298" s="104" t="s">
        <v>281</v>
      </c>
      <c r="B298" s="104" t="s">
        <v>1579</v>
      </c>
      <c r="C298" s="105" t="s">
        <v>1348</v>
      </c>
      <c r="D298" s="104" t="s">
        <v>770</v>
      </c>
      <c r="E298" s="104">
        <v>1</v>
      </c>
      <c r="F298" s="107" t="s">
        <v>33</v>
      </c>
    </row>
    <row r="299" spans="1:6" ht="15" customHeight="1">
      <c r="A299" s="104" t="s">
        <v>281</v>
      </c>
      <c r="B299" s="104" t="s">
        <v>1572</v>
      </c>
      <c r="C299" s="105" t="s">
        <v>1349</v>
      </c>
      <c r="D299" s="104" t="s">
        <v>770</v>
      </c>
      <c r="E299" s="104">
        <v>1</v>
      </c>
      <c r="F299" s="107" t="s">
        <v>33</v>
      </c>
    </row>
    <row r="300" spans="1:6" ht="15" customHeight="1">
      <c r="A300" s="104" t="s">
        <v>281</v>
      </c>
      <c r="B300" s="104" t="s">
        <v>1573</v>
      </c>
      <c r="C300" s="105" t="s">
        <v>1351</v>
      </c>
      <c r="D300" s="104" t="s">
        <v>804</v>
      </c>
      <c r="E300" s="104">
        <v>1</v>
      </c>
      <c r="F300" s="107" t="s">
        <v>33</v>
      </c>
    </row>
    <row r="301" spans="1:6" ht="15" customHeight="1">
      <c r="A301" s="104" t="s">
        <v>281</v>
      </c>
      <c r="B301" s="104" t="s">
        <v>1575</v>
      </c>
      <c r="C301" s="105" t="s">
        <v>1352</v>
      </c>
      <c r="D301" s="104" t="s">
        <v>773</v>
      </c>
      <c r="E301" s="104">
        <v>1</v>
      </c>
      <c r="F301" s="109" t="s">
        <v>42</v>
      </c>
    </row>
    <row r="302" spans="1:6" ht="15" customHeight="1">
      <c r="A302" s="104" t="s">
        <v>281</v>
      </c>
      <c r="B302" s="104" t="s">
        <v>1577</v>
      </c>
      <c r="C302" s="105" t="s">
        <v>1354</v>
      </c>
      <c r="D302" s="104" t="s">
        <v>1578</v>
      </c>
      <c r="E302" s="104">
        <v>1</v>
      </c>
      <c r="F302" s="106" t="s">
        <v>37</v>
      </c>
    </row>
    <row r="303" spans="1:6" ht="15" customHeight="1">
      <c r="A303" s="104" t="s">
        <v>281</v>
      </c>
      <c r="B303" s="104" t="s">
        <v>1572</v>
      </c>
      <c r="C303" s="105" t="s">
        <v>1356</v>
      </c>
      <c r="D303" s="104" t="s">
        <v>770</v>
      </c>
      <c r="E303" s="104">
        <v>1</v>
      </c>
      <c r="F303" s="106" t="s">
        <v>37</v>
      </c>
    </row>
    <row r="304" spans="1:6" ht="15" customHeight="1">
      <c r="A304" s="104" t="s">
        <v>281</v>
      </c>
      <c r="B304" s="104" t="s">
        <v>1574</v>
      </c>
      <c r="C304" s="105" t="s">
        <v>1344</v>
      </c>
      <c r="D304" s="104" t="s">
        <v>521</v>
      </c>
      <c r="E304" s="104">
        <v>1</v>
      </c>
      <c r="F304" s="109" t="s">
        <v>42</v>
      </c>
    </row>
    <row r="305" spans="1:6" ht="15" customHeight="1">
      <c r="A305" s="104" t="s">
        <v>281</v>
      </c>
      <c r="B305" s="104" t="s">
        <v>1579</v>
      </c>
      <c r="C305" s="105" t="s">
        <v>1358</v>
      </c>
      <c r="D305" s="104" t="s">
        <v>770</v>
      </c>
      <c r="E305" s="104">
        <v>1</v>
      </c>
      <c r="F305" s="107" t="s">
        <v>33</v>
      </c>
    </row>
    <row r="306" spans="1:6" ht="15" customHeight="1">
      <c r="A306" s="104" t="s">
        <v>281</v>
      </c>
      <c r="B306" s="104" t="s">
        <v>1574</v>
      </c>
      <c r="C306" s="105" t="s">
        <v>1359</v>
      </c>
      <c r="D306" s="104" t="s">
        <v>521</v>
      </c>
      <c r="E306" s="104">
        <v>1</v>
      </c>
      <c r="F306" s="109" t="s">
        <v>42</v>
      </c>
    </row>
    <row r="307" spans="1:6" ht="15" customHeight="1">
      <c r="A307" s="104" t="s">
        <v>281</v>
      </c>
      <c r="B307" s="104" t="s">
        <v>1574</v>
      </c>
      <c r="C307" s="105" t="s">
        <v>1131</v>
      </c>
      <c r="D307" s="104" t="s">
        <v>521</v>
      </c>
      <c r="E307" s="104">
        <v>1</v>
      </c>
      <c r="F307" s="109" t="s">
        <v>42</v>
      </c>
    </row>
    <row r="308" spans="1:6" ht="15" customHeight="1">
      <c r="A308" s="104" t="s">
        <v>281</v>
      </c>
      <c r="B308" s="104" t="s">
        <v>1575</v>
      </c>
      <c r="C308" s="105" t="s">
        <v>1363</v>
      </c>
      <c r="D308" s="104" t="s">
        <v>773</v>
      </c>
      <c r="E308" s="104">
        <v>1</v>
      </c>
      <c r="F308" s="107" t="s">
        <v>33</v>
      </c>
    </row>
    <row r="309" spans="1:6" ht="15" customHeight="1">
      <c r="A309" s="104" t="s">
        <v>281</v>
      </c>
      <c r="B309" s="104" t="s">
        <v>1577</v>
      </c>
      <c r="C309" s="105" t="s">
        <v>1364</v>
      </c>
      <c r="D309" s="104" t="s">
        <v>1578</v>
      </c>
      <c r="E309" s="104">
        <v>1</v>
      </c>
      <c r="F309" s="109" t="s">
        <v>42</v>
      </c>
    </row>
    <row r="310" spans="1:6" ht="15" customHeight="1">
      <c r="A310" s="104" t="s">
        <v>281</v>
      </c>
      <c r="B310" s="104" t="s">
        <v>1579</v>
      </c>
      <c r="C310" s="105" t="s">
        <v>1365</v>
      </c>
      <c r="D310" s="104" t="s">
        <v>770</v>
      </c>
      <c r="E310" s="104">
        <v>1</v>
      </c>
      <c r="F310" s="113" t="s">
        <v>35</v>
      </c>
    </row>
    <row r="311" spans="1:6" ht="15" customHeight="1">
      <c r="A311" s="104" t="s">
        <v>281</v>
      </c>
      <c r="B311" s="104" t="s">
        <v>1577</v>
      </c>
      <c r="C311" s="105" t="s">
        <v>1369</v>
      </c>
      <c r="D311" s="104" t="s">
        <v>1578</v>
      </c>
      <c r="E311" s="104">
        <v>1</v>
      </c>
      <c r="F311" s="109" t="s">
        <v>42</v>
      </c>
    </row>
    <row r="312" spans="1:6" ht="15" customHeight="1">
      <c r="A312" s="104" t="s">
        <v>281</v>
      </c>
      <c r="B312" s="104" t="s">
        <v>1572</v>
      </c>
      <c r="C312" s="105" t="s">
        <v>1371</v>
      </c>
      <c r="D312" s="104" t="s">
        <v>770</v>
      </c>
      <c r="E312" s="104">
        <v>1</v>
      </c>
      <c r="F312" s="107" t="s">
        <v>33</v>
      </c>
    </row>
    <row r="313" spans="1:6" ht="15" customHeight="1">
      <c r="A313" s="104" t="s">
        <v>281</v>
      </c>
      <c r="B313" s="104" t="s">
        <v>1577</v>
      </c>
      <c r="C313" s="105" t="s">
        <v>1359</v>
      </c>
      <c r="D313" s="104" t="s">
        <v>1578</v>
      </c>
      <c r="E313" s="104">
        <v>1</v>
      </c>
      <c r="F313" s="109" t="s">
        <v>42</v>
      </c>
    </row>
    <row r="314" spans="1:6" ht="15" customHeight="1">
      <c r="A314" s="104" t="s">
        <v>281</v>
      </c>
      <c r="B314" s="104" t="s">
        <v>1579</v>
      </c>
      <c r="C314" s="105" t="s">
        <v>1375</v>
      </c>
      <c r="D314" s="104" t="s">
        <v>770</v>
      </c>
      <c r="E314" s="104">
        <v>1</v>
      </c>
      <c r="F314" s="107" t="s">
        <v>33</v>
      </c>
    </row>
    <row r="315" spans="1:6" ht="15" customHeight="1">
      <c r="A315" s="104" t="s">
        <v>281</v>
      </c>
      <c r="B315" s="104" t="s">
        <v>1573</v>
      </c>
      <c r="C315" s="105" t="s">
        <v>1378</v>
      </c>
      <c r="D315" s="104" t="s">
        <v>804</v>
      </c>
      <c r="E315" s="104">
        <v>1</v>
      </c>
      <c r="F315" s="107" t="s">
        <v>33</v>
      </c>
    </row>
    <row r="316" spans="1:6" ht="15" customHeight="1">
      <c r="A316" s="104" t="s">
        <v>281</v>
      </c>
      <c r="B316" s="104" t="s">
        <v>1577</v>
      </c>
      <c r="C316" s="105" t="s">
        <v>1379</v>
      </c>
      <c r="D316" s="104" t="s">
        <v>1578</v>
      </c>
      <c r="E316" s="104">
        <v>1</v>
      </c>
      <c r="F316" s="109" t="s">
        <v>42</v>
      </c>
    </row>
    <row r="317" spans="1:6" ht="15" customHeight="1">
      <c r="A317" s="104" t="s">
        <v>281</v>
      </c>
      <c r="B317" s="104" t="s">
        <v>1575</v>
      </c>
      <c r="C317" s="105" t="s">
        <v>1381</v>
      </c>
      <c r="D317" s="104" t="s">
        <v>773</v>
      </c>
      <c r="E317" s="104">
        <v>1</v>
      </c>
      <c r="F317" s="107" t="s">
        <v>33</v>
      </c>
    </row>
    <row r="318" spans="1:6" ht="15" customHeight="1">
      <c r="A318" s="104" t="s">
        <v>281</v>
      </c>
      <c r="B318" s="104" t="s">
        <v>1576</v>
      </c>
      <c r="C318" s="105" t="s">
        <v>1382</v>
      </c>
      <c r="D318" s="104" t="s">
        <v>247</v>
      </c>
      <c r="E318" s="104">
        <v>1</v>
      </c>
      <c r="F318" s="106" t="s">
        <v>37</v>
      </c>
    </row>
    <row r="319" spans="1:6" ht="15" customHeight="1">
      <c r="A319" s="104" t="s">
        <v>281</v>
      </c>
      <c r="B319" s="104" t="s">
        <v>1577</v>
      </c>
      <c r="C319" s="105" t="s">
        <v>1383</v>
      </c>
      <c r="D319" s="104" t="s">
        <v>1578</v>
      </c>
      <c r="E319" s="104">
        <v>1</v>
      </c>
      <c r="F319" s="109" t="s">
        <v>42</v>
      </c>
    </row>
    <row r="320" spans="1:6" ht="15" customHeight="1">
      <c r="A320" s="104" t="s">
        <v>281</v>
      </c>
      <c r="B320" s="104" t="s">
        <v>1572</v>
      </c>
      <c r="C320" s="105" t="s">
        <v>1384</v>
      </c>
      <c r="D320" s="104" t="s">
        <v>770</v>
      </c>
      <c r="E320" s="104">
        <v>1</v>
      </c>
      <c r="F320" s="107" t="s">
        <v>33</v>
      </c>
    </row>
    <row r="321" spans="1:6" ht="15" customHeight="1">
      <c r="A321" s="104" t="s">
        <v>281</v>
      </c>
      <c r="B321" s="104" t="s">
        <v>1574</v>
      </c>
      <c r="C321" s="105" t="s">
        <v>1385</v>
      </c>
      <c r="D321" s="104" t="s">
        <v>521</v>
      </c>
      <c r="E321" s="104">
        <v>1</v>
      </c>
      <c r="F321" s="106" t="s">
        <v>37</v>
      </c>
    </row>
    <row r="322" spans="1:6" ht="15" customHeight="1">
      <c r="A322" s="104" t="s">
        <v>281</v>
      </c>
      <c r="B322" s="104" t="s">
        <v>1575</v>
      </c>
      <c r="C322" s="105" t="s">
        <v>1386</v>
      </c>
      <c r="D322" s="104" t="s">
        <v>773</v>
      </c>
      <c r="E322" s="104">
        <v>1</v>
      </c>
      <c r="F322" s="106" t="s">
        <v>37</v>
      </c>
    </row>
    <row r="323" spans="1:6" ht="15" customHeight="1">
      <c r="A323" s="104" t="s">
        <v>281</v>
      </c>
      <c r="B323" s="104" t="s">
        <v>1576</v>
      </c>
      <c r="C323" s="105" t="s">
        <v>1387</v>
      </c>
      <c r="D323" s="104" t="s">
        <v>247</v>
      </c>
      <c r="E323" s="104">
        <v>1</v>
      </c>
      <c r="F323" s="109" t="s">
        <v>42</v>
      </c>
    </row>
    <row r="324" spans="1:6" ht="15" customHeight="1">
      <c r="A324" s="104" t="s">
        <v>281</v>
      </c>
      <c r="B324" s="104" t="s">
        <v>1579</v>
      </c>
      <c r="C324" s="105" t="s">
        <v>1389</v>
      </c>
      <c r="D324" s="104" t="s">
        <v>770</v>
      </c>
      <c r="E324" s="104">
        <v>1</v>
      </c>
      <c r="F324" s="107" t="s">
        <v>33</v>
      </c>
    </row>
    <row r="325" spans="1:6" ht="15" customHeight="1">
      <c r="A325" s="104" t="s">
        <v>281</v>
      </c>
      <c r="B325" s="104" t="s">
        <v>1574</v>
      </c>
      <c r="C325" s="105" t="s">
        <v>1394</v>
      </c>
      <c r="D325" s="104" t="s">
        <v>521</v>
      </c>
      <c r="E325" s="104">
        <v>1</v>
      </c>
      <c r="F325" s="106" t="s">
        <v>37</v>
      </c>
    </row>
    <row r="326" spans="1:6" ht="15" customHeight="1">
      <c r="A326" s="104" t="s">
        <v>281</v>
      </c>
      <c r="B326" s="104" t="s">
        <v>1577</v>
      </c>
      <c r="C326" s="105" t="s">
        <v>73</v>
      </c>
      <c r="D326" s="104" t="s">
        <v>1578</v>
      </c>
      <c r="E326" s="104">
        <v>1</v>
      </c>
      <c r="F326" s="109" t="s">
        <v>42</v>
      </c>
    </row>
    <row r="327" spans="1:6" ht="15" customHeight="1">
      <c r="A327" s="104" t="s">
        <v>281</v>
      </c>
      <c r="B327" s="104" t="s">
        <v>1579</v>
      </c>
      <c r="C327" s="105" t="s">
        <v>1398</v>
      </c>
      <c r="D327" s="104" t="s">
        <v>770</v>
      </c>
      <c r="E327" s="104">
        <v>1</v>
      </c>
      <c r="F327" s="107" t="s">
        <v>33</v>
      </c>
    </row>
    <row r="328" spans="1:6" ht="15" customHeight="1">
      <c r="A328" s="104" t="s">
        <v>281</v>
      </c>
      <c r="B328" s="104" t="s">
        <v>1572</v>
      </c>
      <c r="C328" s="105" t="s">
        <v>1399</v>
      </c>
      <c r="D328" s="104" t="s">
        <v>770</v>
      </c>
      <c r="E328" s="104">
        <v>1</v>
      </c>
      <c r="F328" s="106" t="s">
        <v>37</v>
      </c>
    </row>
    <row r="329" spans="1:6" ht="15" customHeight="1">
      <c r="A329" s="104" t="s">
        <v>281</v>
      </c>
      <c r="B329" s="104" t="s">
        <v>1572</v>
      </c>
      <c r="C329" s="105" t="s">
        <v>582</v>
      </c>
      <c r="D329" s="104" t="s">
        <v>770</v>
      </c>
      <c r="E329" s="104">
        <v>1</v>
      </c>
      <c r="F329" s="107" t="s">
        <v>33</v>
      </c>
    </row>
    <row r="330" spans="1:6" ht="15" customHeight="1">
      <c r="A330" s="104" t="s">
        <v>281</v>
      </c>
      <c r="B330" s="104" t="s">
        <v>1577</v>
      </c>
      <c r="C330" s="105" t="s">
        <v>1148</v>
      </c>
      <c r="D330" s="104" t="s">
        <v>1578</v>
      </c>
      <c r="E330" s="104">
        <v>1</v>
      </c>
      <c r="F330" s="109" t="s">
        <v>42</v>
      </c>
    </row>
    <row r="331" spans="1:6" ht="15" customHeight="1">
      <c r="A331" s="104" t="s">
        <v>281</v>
      </c>
      <c r="B331" s="104" t="s">
        <v>1579</v>
      </c>
      <c r="C331" s="105" t="s">
        <v>1402</v>
      </c>
      <c r="D331" s="104" t="s">
        <v>770</v>
      </c>
      <c r="E331" s="104">
        <v>1</v>
      </c>
      <c r="F331" s="107" t="s">
        <v>33</v>
      </c>
    </row>
    <row r="332" spans="1:6" ht="15" customHeight="1">
      <c r="A332" s="104" t="s">
        <v>281</v>
      </c>
      <c r="B332" s="104" t="s">
        <v>1572</v>
      </c>
      <c r="C332" s="105" t="s">
        <v>1403</v>
      </c>
      <c r="D332" s="104" t="s">
        <v>770</v>
      </c>
      <c r="E332" s="104">
        <v>1</v>
      </c>
      <c r="F332" s="106" t="s">
        <v>37</v>
      </c>
    </row>
    <row r="333" spans="1:6" ht="15" customHeight="1">
      <c r="A333" s="104" t="s">
        <v>281</v>
      </c>
      <c r="B333" s="104" t="s">
        <v>1577</v>
      </c>
      <c r="C333" s="105" t="s">
        <v>593</v>
      </c>
      <c r="D333" s="104" t="s">
        <v>1578</v>
      </c>
      <c r="E333" s="104">
        <v>1</v>
      </c>
      <c r="F333" s="109" t="s">
        <v>42</v>
      </c>
    </row>
    <row r="334" spans="1:6" ht="15" customHeight="1">
      <c r="A334" s="104" t="s">
        <v>281</v>
      </c>
      <c r="B334" s="104" t="s">
        <v>1579</v>
      </c>
      <c r="C334" s="105" t="s">
        <v>1405</v>
      </c>
      <c r="D334" s="104" t="s">
        <v>770</v>
      </c>
      <c r="E334" s="104">
        <v>1</v>
      </c>
      <c r="F334" s="107" t="s">
        <v>33</v>
      </c>
    </row>
    <row r="335" spans="1:6" ht="15" customHeight="1">
      <c r="A335" s="104" t="s">
        <v>281</v>
      </c>
      <c r="B335" s="104" t="s">
        <v>1577</v>
      </c>
      <c r="C335" s="105" t="s">
        <v>1408</v>
      </c>
      <c r="D335" s="104" t="s">
        <v>1578</v>
      </c>
      <c r="E335" s="104">
        <v>1</v>
      </c>
      <c r="F335" s="107" t="s">
        <v>33</v>
      </c>
    </row>
    <row r="336" spans="1:6" ht="15" customHeight="1">
      <c r="A336" s="104" t="s">
        <v>281</v>
      </c>
      <c r="B336" s="104" t="s">
        <v>1411</v>
      </c>
      <c r="C336" s="105" t="s">
        <v>1418</v>
      </c>
      <c r="D336" s="104" t="s">
        <v>981</v>
      </c>
      <c r="E336" s="104">
        <v>1</v>
      </c>
      <c r="F336" s="106" t="s">
        <v>37</v>
      </c>
    </row>
    <row r="337" spans="1:6" ht="15" customHeight="1">
      <c r="A337" s="104" t="s">
        <v>281</v>
      </c>
      <c r="B337" s="104" t="s">
        <v>1416</v>
      </c>
      <c r="C337" s="105" t="s">
        <v>1421</v>
      </c>
      <c r="D337" s="104" t="s">
        <v>237</v>
      </c>
      <c r="E337" s="104">
        <v>1</v>
      </c>
      <c r="F337" s="107" t="s">
        <v>33</v>
      </c>
    </row>
    <row r="338" spans="1:6" ht="15" customHeight="1">
      <c r="A338" s="104" t="s">
        <v>281</v>
      </c>
      <c r="B338" s="104" t="s">
        <v>1417</v>
      </c>
      <c r="C338" s="105" t="s">
        <v>1422</v>
      </c>
      <c r="D338" s="104" t="s">
        <v>534</v>
      </c>
      <c r="E338" s="104">
        <v>1</v>
      </c>
      <c r="F338" s="107" t="s">
        <v>33</v>
      </c>
    </row>
    <row r="339" spans="1:6" ht="15" customHeight="1">
      <c r="A339" s="104" t="s">
        <v>281</v>
      </c>
      <c r="B339" s="104" t="s">
        <v>1412</v>
      </c>
      <c r="C339" s="105" t="s">
        <v>1423</v>
      </c>
      <c r="D339" s="104" t="s">
        <v>1233</v>
      </c>
      <c r="E339" s="104">
        <v>2</v>
      </c>
      <c r="F339" s="107" t="s">
        <v>33</v>
      </c>
    </row>
    <row r="340" spans="1:6" ht="15" customHeight="1">
      <c r="A340" s="104" t="s">
        <v>281</v>
      </c>
      <c r="B340" s="104" t="s">
        <v>1413</v>
      </c>
      <c r="C340" s="105" t="s">
        <v>1424</v>
      </c>
      <c r="D340" s="104" t="s">
        <v>1000</v>
      </c>
      <c r="E340" s="104">
        <v>1</v>
      </c>
      <c r="F340" s="106" t="s">
        <v>37</v>
      </c>
    </row>
    <row r="341" spans="1:6" ht="15" customHeight="1">
      <c r="A341" s="104" t="s">
        <v>281</v>
      </c>
      <c r="B341" s="104" t="s">
        <v>1414</v>
      </c>
      <c r="C341" s="105" t="s">
        <v>1425</v>
      </c>
      <c r="D341" s="104" t="s">
        <v>231</v>
      </c>
      <c r="E341" s="104">
        <v>1</v>
      </c>
      <c r="F341" s="107" t="s">
        <v>33</v>
      </c>
    </row>
    <row r="342" spans="1:6" ht="15" customHeight="1">
      <c r="A342" s="104" t="s">
        <v>281</v>
      </c>
      <c r="B342" s="104" t="s">
        <v>1415</v>
      </c>
      <c r="C342" s="105" t="s">
        <v>1426</v>
      </c>
      <c r="D342" s="104" t="s">
        <v>500</v>
      </c>
      <c r="E342" s="104">
        <v>1</v>
      </c>
      <c r="F342" s="107" t="s">
        <v>33</v>
      </c>
    </row>
    <row r="343" spans="1:6" ht="15" customHeight="1">
      <c r="A343" s="104" t="s">
        <v>281</v>
      </c>
      <c r="B343" s="104" t="s">
        <v>1416</v>
      </c>
      <c r="C343" s="105" t="s">
        <v>1427</v>
      </c>
      <c r="D343" s="104" t="s">
        <v>237</v>
      </c>
      <c r="E343" s="104">
        <v>1</v>
      </c>
      <c r="F343" s="107" t="s">
        <v>33</v>
      </c>
    </row>
    <row r="344" spans="1:6" ht="15" customHeight="1">
      <c r="A344" s="104" t="s">
        <v>281</v>
      </c>
      <c r="B344" s="104" t="s">
        <v>1417</v>
      </c>
      <c r="C344" s="105" t="s">
        <v>1428</v>
      </c>
      <c r="D344" s="104" t="s">
        <v>534</v>
      </c>
      <c r="E344" s="104">
        <v>1</v>
      </c>
      <c r="F344" s="113" t="s">
        <v>35</v>
      </c>
    </row>
    <row r="345" spans="1:6" ht="15" customHeight="1">
      <c r="A345" s="104" t="s">
        <v>281</v>
      </c>
      <c r="B345" s="104" t="s">
        <v>1411</v>
      </c>
      <c r="C345" s="105" t="s">
        <v>1277</v>
      </c>
      <c r="D345" s="104" t="s">
        <v>981</v>
      </c>
      <c r="E345" s="104">
        <v>1</v>
      </c>
      <c r="F345" s="107" t="s">
        <v>33</v>
      </c>
    </row>
    <row r="346" spans="1:6" ht="15" customHeight="1">
      <c r="A346" s="104" t="s">
        <v>281</v>
      </c>
      <c r="B346" s="104" t="s">
        <v>1417</v>
      </c>
      <c r="C346" s="105" t="s">
        <v>1430</v>
      </c>
      <c r="D346" s="104" t="s">
        <v>534</v>
      </c>
      <c r="E346" s="104">
        <v>1</v>
      </c>
      <c r="F346" s="107" t="s">
        <v>33</v>
      </c>
    </row>
    <row r="347" spans="1:6" ht="15" customHeight="1">
      <c r="A347" s="104" t="s">
        <v>281</v>
      </c>
      <c r="B347" s="104" t="s">
        <v>1413</v>
      </c>
      <c r="C347" s="105" t="s">
        <v>1432</v>
      </c>
      <c r="D347" s="104" t="s">
        <v>1000</v>
      </c>
      <c r="E347" s="104">
        <v>1</v>
      </c>
      <c r="F347" s="106" t="s">
        <v>37</v>
      </c>
    </row>
    <row r="348" spans="1:6" ht="15" customHeight="1">
      <c r="A348" s="104" t="s">
        <v>281</v>
      </c>
      <c r="B348" s="104" t="s">
        <v>1415</v>
      </c>
      <c r="C348" s="105" t="s">
        <v>1433</v>
      </c>
      <c r="D348" s="104" t="s">
        <v>500</v>
      </c>
      <c r="E348" s="104">
        <v>1</v>
      </c>
      <c r="F348" s="107" t="s">
        <v>33</v>
      </c>
    </row>
    <row r="349" spans="1:6" ht="15" customHeight="1">
      <c r="A349" s="104" t="s">
        <v>281</v>
      </c>
      <c r="B349" s="104" t="s">
        <v>1411</v>
      </c>
      <c r="C349" s="105" t="s">
        <v>1436</v>
      </c>
      <c r="D349" s="104" t="s">
        <v>981</v>
      </c>
      <c r="E349" s="104">
        <v>1</v>
      </c>
      <c r="F349" s="106" t="s">
        <v>37</v>
      </c>
    </row>
    <row r="350" spans="1:6" ht="15" customHeight="1">
      <c r="A350" s="104" t="s">
        <v>281</v>
      </c>
      <c r="B350" s="104" t="s">
        <v>1413</v>
      </c>
      <c r="C350" s="105" t="s">
        <v>1438</v>
      </c>
      <c r="D350" s="104" t="s">
        <v>1000</v>
      </c>
      <c r="E350" s="104">
        <v>1</v>
      </c>
      <c r="F350" s="106" t="s">
        <v>37</v>
      </c>
    </row>
    <row r="351" spans="1:6" ht="15" customHeight="1">
      <c r="A351" s="104" t="s">
        <v>281</v>
      </c>
      <c r="B351" s="104" t="s">
        <v>1414</v>
      </c>
      <c r="C351" s="105" t="s">
        <v>1439</v>
      </c>
      <c r="D351" s="104" t="s">
        <v>231</v>
      </c>
      <c r="E351" s="104">
        <v>1</v>
      </c>
      <c r="F351" s="107" t="s">
        <v>33</v>
      </c>
    </row>
    <row r="352" spans="1:6" ht="15" customHeight="1">
      <c r="A352" s="104" t="s">
        <v>281</v>
      </c>
      <c r="B352" s="104" t="s">
        <v>1411</v>
      </c>
      <c r="C352" s="105" t="s">
        <v>1096</v>
      </c>
      <c r="D352" s="104" t="s">
        <v>981</v>
      </c>
      <c r="E352" s="104">
        <v>1</v>
      </c>
      <c r="F352" s="107" t="s">
        <v>33</v>
      </c>
    </row>
    <row r="353" spans="1:6" ht="15" customHeight="1">
      <c r="A353" s="104" t="s">
        <v>281</v>
      </c>
      <c r="B353" s="104" t="s">
        <v>1413</v>
      </c>
      <c r="C353" s="105" t="s">
        <v>1441</v>
      </c>
      <c r="D353" s="104" t="s">
        <v>1000</v>
      </c>
      <c r="E353" s="104">
        <v>1</v>
      </c>
      <c r="F353" s="106" t="s">
        <v>37</v>
      </c>
    </row>
    <row r="354" spans="1:6" ht="15" customHeight="1">
      <c r="A354" s="104" t="s">
        <v>281</v>
      </c>
      <c r="B354" s="104" t="s">
        <v>1411</v>
      </c>
      <c r="C354" s="105" t="s">
        <v>1444</v>
      </c>
      <c r="D354" s="104" t="s">
        <v>981</v>
      </c>
      <c r="E354" s="104">
        <v>1</v>
      </c>
      <c r="F354" s="108" t="s">
        <v>27</v>
      </c>
    </row>
    <row r="355" spans="1:6" ht="15" customHeight="1">
      <c r="A355" s="104" t="s">
        <v>281</v>
      </c>
      <c r="B355" s="104" t="s">
        <v>1412</v>
      </c>
      <c r="C355" s="105" t="s">
        <v>1445</v>
      </c>
      <c r="D355" s="104" t="s">
        <v>1012</v>
      </c>
      <c r="E355" s="104">
        <v>1</v>
      </c>
      <c r="F355" s="107" t="s">
        <v>33</v>
      </c>
    </row>
    <row r="356" spans="1:6" ht="15" customHeight="1">
      <c r="A356" s="104" t="s">
        <v>281</v>
      </c>
      <c r="B356" s="104" t="s">
        <v>1413</v>
      </c>
      <c r="C356" s="105" t="s">
        <v>1446</v>
      </c>
      <c r="D356" s="104" t="s">
        <v>1000</v>
      </c>
      <c r="E356" s="104">
        <v>1</v>
      </c>
      <c r="F356" s="107" t="s">
        <v>33</v>
      </c>
    </row>
    <row r="357" spans="1:6" ht="15" customHeight="1">
      <c r="A357" s="104" t="s">
        <v>281</v>
      </c>
      <c r="B357" s="104" t="s">
        <v>1414</v>
      </c>
      <c r="C357" s="105" t="s">
        <v>1447</v>
      </c>
      <c r="D357" s="104" t="s">
        <v>231</v>
      </c>
      <c r="E357" s="104">
        <v>1</v>
      </c>
      <c r="F357" s="109" t="s">
        <v>42</v>
      </c>
    </row>
    <row r="358" spans="1:6" ht="15" customHeight="1">
      <c r="A358" s="104" t="s">
        <v>281</v>
      </c>
      <c r="B358" s="104" t="s">
        <v>1416</v>
      </c>
      <c r="C358" s="105" t="s">
        <v>1448</v>
      </c>
      <c r="D358" s="104" t="s">
        <v>237</v>
      </c>
      <c r="E358" s="104">
        <v>1</v>
      </c>
      <c r="F358" s="113" t="s">
        <v>35</v>
      </c>
    </row>
    <row r="359" spans="1:6" ht="15" customHeight="1">
      <c r="A359" s="104" t="s">
        <v>281</v>
      </c>
      <c r="B359" s="104" t="s">
        <v>1412</v>
      </c>
      <c r="C359" s="105" t="s">
        <v>1344</v>
      </c>
      <c r="D359" s="104" t="s">
        <v>1012</v>
      </c>
      <c r="E359" s="104">
        <v>1</v>
      </c>
      <c r="F359" s="109" t="s">
        <v>42</v>
      </c>
    </row>
    <row r="360" spans="1:6" ht="15" customHeight="1">
      <c r="A360" s="104" t="s">
        <v>281</v>
      </c>
      <c r="B360" s="104" t="s">
        <v>1414</v>
      </c>
      <c r="C360" s="105" t="s">
        <v>1450</v>
      </c>
      <c r="D360" s="104" t="s">
        <v>231</v>
      </c>
      <c r="E360" s="104">
        <v>1</v>
      </c>
      <c r="F360" s="107" t="s">
        <v>33</v>
      </c>
    </row>
    <row r="361" spans="1:6" ht="15" customHeight="1">
      <c r="A361" s="104" t="s">
        <v>281</v>
      </c>
      <c r="B361" s="104" t="s">
        <v>1416</v>
      </c>
      <c r="C361" s="105" t="s">
        <v>1451</v>
      </c>
      <c r="D361" s="104" t="s">
        <v>237</v>
      </c>
      <c r="E361" s="104">
        <v>1</v>
      </c>
      <c r="F361" s="106" t="s">
        <v>37</v>
      </c>
    </row>
    <row r="362" spans="1:6" ht="15" customHeight="1">
      <c r="A362" s="104" t="s">
        <v>281</v>
      </c>
      <c r="B362" s="104" t="s">
        <v>1411</v>
      </c>
      <c r="C362" s="105" t="s">
        <v>1453</v>
      </c>
      <c r="D362" s="104" t="s">
        <v>981</v>
      </c>
      <c r="E362" s="104">
        <v>1</v>
      </c>
      <c r="F362" s="109" t="s">
        <v>42</v>
      </c>
    </row>
    <row r="363" spans="1:6" ht="15" customHeight="1">
      <c r="A363" s="104" t="s">
        <v>281</v>
      </c>
      <c r="B363" s="104" t="s">
        <v>1412</v>
      </c>
      <c r="C363" s="105" t="s">
        <v>1459</v>
      </c>
      <c r="D363" s="104" t="s">
        <v>1012</v>
      </c>
      <c r="E363" s="104">
        <v>1</v>
      </c>
      <c r="F363" s="113" t="s">
        <v>35</v>
      </c>
    </row>
    <row r="364" spans="1:6" ht="15" customHeight="1">
      <c r="A364" s="104" t="s">
        <v>281</v>
      </c>
      <c r="B364" s="104" t="s">
        <v>1411</v>
      </c>
      <c r="C364" s="105" t="s">
        <v>1344</v>
      </c>
      <c r="D364" s="104" t="s">
        <v>1030</v>
      </c>
      <c r="E364" s="104">
        <v>3</v>
      </c>
      <c r="F364" s="109" t="s">
        <v>42</v>
      </c>
    </row>
    <row r="365" spans="1:6" ht="15" customHeight="1">
      <c r="A365" s="104" t="s">
        <v>281</v>
      </c>
      <c r="B365" s="104" t="s">
        <v>1412</v>
      </c>
      <c r="C365" s="105" t="s">
        <v>74</v>
      </c>
      <c r="D365" s="104" t="s">
        <v>1012</v>
      </c>
      <c r="E365" s="104">
        <v>1</v>
      </c>
      <c r="F365" s="107" t="s">
        <v>33</v>
      </c>
    </row>
    <row r="366" spans="1:6" ht="15" customHeight="1">
      <c r="A366" s="104" t="s">
        <v>281</v>
      </c>
      <c r="B366" s="104" t="s">
        <v>1411</v>
      </c>
      <c r="C366" s="105" t="s">
        <v>1359</v>
      </c>
      <c r="D366" s="104" t="s">
        <v>982</v>
      </c>
      <c r="E366" s="104">
        <v>2</v>
      </c>
      <c r="F366" s="109" t="s">
        <v>42</v>
      </c>
    </row>
    <row r="367" spans="1:6" ht="15" customHeight="1">
      <c r="A367" s="104" t="s">
        <v>281</v>
      </c>
      <c r="B367" s="104" t="s">
        <v>1412</v>
      </c>
      <c r="C367" s="105" t="s">
        <v>1463</v>
      </c>
      <c r="D367" s="104" t="s">
        <v>1012</v>
      </c>
      <c r="E367" s="104">
        <v>1</v>
      </c>
      <c r="F367" s="109" t="s">
        <v>42</v>
      </c>
    </row>
    <row r="368" spans="1:6" ht="15" customHeight="1">
      <c r="A368" s="104" t="s">
        <v>281</v>
      </c>
      <c r="B368" s="104" t="s">
        <v>1416</v>
      </c>
      <c r="C368" s="105" t="s">
        <v>367</v>
      </c>
      <c r="D368" s="104" t="s">
        <v>237</v>
      </c>
      <c r="E368" s="104">
        <v>1</v>
      </c>
      <c r="F368" s="106" t="s">
        <v>37</v>
      </c>
    </row>
    <row r="369" spans="1:6" ht="15" customHeight="1">
      <c r="A369" s="104" t="s">
        <v>281</v>
      </c>
      <c r="B369" s="104" t="s">
        <v>1416</v>
      </c>
      <c r="C369" s="105" t="s">
        <v>1467</v>
      </c>
      <c r="D369" s="104" t="s">
        <v>237</v>
      </c>
      <c r="E369" s="104">
        <v>1</v>
      </c>
      <c r="F369" s="106" t="s">
        <v>37</v>
      </c>
    </row>
    <row r="370" spans="1:6" ht="15" customHeight="1">
      <c r="A370" s="104" t="s">
        <v>281</v>
      </c>
      <c r="B370" s="104" t="s">
        <v>1416</v>
      </c>
      <c r="C370" s="105" t="s">
        <v>1469</v>
      </c>
      <c r="D370" s="104" t="s">
        <v>237</v>
      </c>
      <c r="E370" s="104">
        <v>1</v>
      </c>
      <c r="F370" s="109" t="s">
        <v>42</v>
      </c>
    </row>
    <row r="371" spans="1:6" ht="15" customHeight="1">
      <c r="A371" s="104" t="s">
        <v>281</v>
      </c>
      <c r="B371" s="104" t="s">
        <v>1411</v>
      </c>
      <c r="C371" s="105" t="s">
        <v>1077</v>
      </c>
      <c r="D371" s="104" t="s">
        <v>981</v>
      </c>
      <c r="E371" s="104">
        <v>1</v>
      </c>
      <c r="F371" s="107" t="s">
        <v>33</v>
      </c>
    </row>
    <row r="372" spans="1:6" ht="15" customHeight="1">
      <c r="A372" s="104" t="s">
        <v>281</v>
      </c>
      <c r="B372" s="104" t="s">
        <v>1416</v>
      </c>
      <c r="C372" s="105" t="s">
        <v>1470</v>
      </c>
      <c r="D372" s="104" t="s">
        <v>237</v>
      </c>
      <c r="E372" s="104">
        <v>1</v>
      </c>
      <c r="F372" s="106" t="s">
        <v>37</v>
      </c>
    </row>
    <row r="373" spans="1:6" ht="15" customHeight="1">
      <c r="A373" s="104" t="s">
        <v>281</v>
      </c>
      <c r="B373" s="104" t="s">
        <v>1416</v>
      </c>
      <c r="C373" s="105" t="s">
        <v>841</v>
      </c>
      <c r="D373" s="104" t="s">
        <v>237</v>
      </c>
      <c r="E373" s="104">
        <v>1</v>
      </c>
      <c r="F373" s="109" t="s">
        <v>42</v>
      </c>
    </row>
    <row r="374" spans="1:6" ht="15" customHeight="1">
      <c r="A374" s="104" t="s">
        <v>281</v>
      </c>
      <c r="B374" s="104" t="s">
        <v>1411</v>
      </c>
      <c r="C374" s="105" t="s">
        <v>1473</v>
      </c>
      <c r="D374" s="104" t="s">
        <v>981</v>
      </c>
      <c r="E374" s="104">
        <v>1</v>
      </c>
      <c r="F374" s="109" t="s">
        <v>42</v>
      </c>
    </row>
    <row r="375" spans="1:6" ht="15" customHeight="1">
      <c r="A375" s="104" t="s">
        <v>281</v>
      </c>
      <c r="B375" s="104" t="s">
        <v>1411</v>
      </c>
      <c r="C375" s="105" t="s">
        <v>1474</v>
      </c>
      <c r="D375" s="104" t="s">
        <v>981</v>
      </c>
      <c r="E375" s="104">
        <v>1</v>
      </c>
      <c r="F375" s="107" t="s">
        <v>33</v>
      </c>
    </row>
    <row r="376" spans="1:6" ht="15" customHeight="1">
      <c r="A376" s="104" t="s">
        <v>281</v>
      </c>
      <c r="B376" s="104" t="s">
        <v>1416</v>
      </c>
      <c r="C376" s="105" t="s">
        <v>1475</v>
      </c>
      <c r="D376" s="104" t="s">
        <v>237</v>
      </c>
      <c r="E376" s="104">
        <v>1</v>
      </c>
      <c r="F376" s="107" t="s">
        <v>33</v>
      </c>
    </row>
    <row r="377" spans="1:6" ht="15" customHeight="1">
      <c r="A377" s="104" t="s">
        <v>281</v>
      </c>
      <c r="B377" s="104" t="s">
        <v>1586</v>
      </c>
      <c r="C377" s="105" t="s">
        <v>1476</v>
      </c>
      <c r="D377" s="104" t="s">
        <v>252</v>
      </c>
      <c r="E377" s="104">
        <v>1</v>
      </c>
      <c r="F377" s="107" t="s">
        <v>33</v>
      </c>
    </row>
    <row r="378" spans="1:6" ht="15" customHeight="1">
      <c r="A378" s="104" t="s">
        <v>281</v>
      </c>
      <c r="B378" s="104" t="s">
        <v>1585</v>
      </c>
      <c r="C378" s="105" t="s">
        <v>1478</v>
      </c>
      <c r="D378" s="104" t="s">
        <v>809</v>
      </c>
      <c r="E378" s="104">
        <v>1</v>
      </c>
      <c r="F378" s="106" t="s">
        <v>37</v>
      </c>
    </row>
    <row r="379" spans="1:6" ht="15" customHeight="1">
      <c r="A379" s="104" t="s">
        <v>281</v>
      </c>
      <c r="B379" s="104" t="s">
        <v>1584</v>
      </c>
      <c r="C379" s="105" t="s">
        <v>1480</v>
      </c>
      <c r="D379" s="104" t="s">
        <v>539</v>
      </c>
      <c r="E379" s="104">
        <v>1</v>
      </c>
      <c r="F379" s="107" t="s">
        <v>33</v>
      </c>
    </row>
    <row r="380" spans="1:6" ht="15" customHeight="1">
      <c r="A380" s="104" t="s">
        <v>281</v>
      </c>
      <c r="B380" s="104" t="s">
        <v>1586</v>
      </c>
      <c r="C380" s="105" t="s">
        <v>1481</v>
      </c>
      <c r="D380" s="104" t="s">
        <v>252</v>
      </c>
      <c r="E380" s="104">
        <v>1</v>
      </c>
      <c r="F380" s="107" t="s">
        <v>33</v>
      </c>
    </row>
    <row r="381" spans="1:6" ht="15" customHeight="1">
      <c r="A381" s="104" t="s">
        <v>281</v>
      </c>
      <c r="B381" s="104" t="s">
        <v>1592</v>
      </c>
      <c r="C381" s="105" t="s">
        <v>1483</v>
      </c>
      <c r="D381" s="104" t="s">
        <v>247</v>
      </c>
      <c r="E381" s="104">
        <v>1</v>
      </c>
      <c r="F381" s="109" t="s">
        <v>42</v>
      </c>
    </row>
    <row r="382" spans="1:6" ht="15" customHeight="1">
      <c r="A382" s="104" t="s">
        <v>281</v>
      </c>
      <c r="B382" s="104" t="s">
        <v>1585</v>
      </c>
      <c r="C382" s="105" t="s">
        <v>1484</v>
      </c>
      <c r="D382" s="104" t="s">
        <v>809</v>
      </c>
      <c r="E382" s="104">
        <v>1</v>
      </c>
      <c r="F382" s="107" t="s">
        <v>33</v>
      </c>
    </row>
    <row r="383" spans="1:6" ht="15" customHeight="1">
      <c r="A383" s="104" t="s">
        <v>281</v>
      </c>
      <c r="B383" s="104" t="s">
        <v>1587</v>
      </c>
      <c r="C383" s="105" t="s">
        <v>1485</v>
      </c>
      <c r="D383" s="104" t="s">
        <v>255</v>
      </c>
      <c r="E383" s="104">
        <v>1</v>
      </c>
      <c r="F383" s="109" t="s">
        <v>42</v>
      </c>
    </row>
    <row r="384" spans="1:6" ht="15" customHeight="1">
      <c r="A384" s="104" t="s">
        <v>281</v>
      </c>
      <c r="B384" s="104" t="s">
        <v>1586</v>
      </c>
      <c r="C384" s="105" t="s">
        <v>1486</v>
      </c>
      <c r="D384" s="104" t="s">
        <v>252</v>
      </c>
      <c r="E384" s="104">
        <v>1</v>
      </c>
      <c r="F384" s="107" t="s">
        <v>33</v>
      </c>
    </row>
    <row r="385" spans="1:6" ht="15" customHeight="1">
      <c r="A385" s="104" t="s">
        <v>281</v>
      </c>
      <c r="B385" s="104" t="s">
        <v>1584</v>
      </c>
      <c r="C385" s="105" t="s">
        <v>1488</v>
      </c>
      <c r="D385" s="104" t="s">
        <v>539</v>
      </c>
      <c r="E385" s="104">
        <v>1</v>
      </c>
      <c r="F385" s="106" t="s">
        <v>37</v>
      </c>
    </row>
    <row r="386" spans="1:6" ht="15" customHeight="1">
      <c r="A386" s="104" t="s">
        <v>281</v>
      </c>
      <c r="B386" s="104" t="s">
        <v>1584</v>
      </c>
      <c r="C386" s="105" t="s">
        <v>1491</v>
      </c>
      <c r="D386" s="104" t="s">
        <v>539</v>
      </c>
      <c r="E386" s="104">
        <v>1</v>
      </c>
      <c r="F386" s="106" t="s">
        <v>37</v>
      </c>
    </row>
    <row r="387" spans="1:6" ht="15" customHeight="1">
      <c r="A387" s="104" t="s">
        <v>281</v>
      </c>
      <c r="B387" s="104" t="s">
        <v>1582</v>
      </c>
      <c r="C387" s="105" t="s">
        <v>1492</v>
      </c>
      <c r="D387" s="104" t="s">
        <v>760</v>
      </c>
      <c r="E387" s="104">
        <v>1</v>
      </c>
      <c r="F387" s="107" t="s">
        <v>33</v>
      </c>
    </row>
    <row r="388" spans="1:6" ht="15" customHeight="1">
      <c r="A388" s="104" t="s">
        <v>281</v>
      </c>
      <c r="B388" s="104" t="s">
        <v>1587</v>
      </c>
      <c r="C388" s="105" t="s">
        <v>1494</v>
      </c>
      <c r="D388" s="104" t="s">
        <v>255</v>
      </c>
      <c r="E388" s="104">
        <v>1</v>
      </c>
      <c r="F388" s="107" t="s">
        <v>33</v>
      </c>
    </row>
    <row r="389" spans="1:6" ht="15" customHeight="1">
      <c r="A389" s="104" t="s">
        <v>281</v>
      </c>
      <c r="B389" s="104" t="s">
        <v>1586</v>
      </c>
      <c r="C389" s="105" t="s">
        <v>1495</v>
      </c>
      <c r="D389" s="104" t="s">
        <v>1240</v>
      </c>
      <c r="E389" s="104">
        <v>2</v>
      </c>
      <c r="F389" s="106" t="s">
        <v>37</v>
      </c>
    </row>
    <row r="390" spans="1:6" ht="15" customHeight="1">
      <c r="A390" s="104" t="s">
        <v>281</v>
      </c>
      <c r="B390" s="104" t="s">
        <v>1584</v>
      </c>
      <c r="C390" s="105" t="s">
        <v>1148</v>
      </c>
      <c r="D390" s="104" t="s">
        <v>539</v>
      </c>
      <c r="E390" s="104">
        <v>1</v>
      </c>
      <c r="F390" s="109" t="s">
        <v>42</v>
      </c>
    </row>
    <row r="391" spans="1:6" ht="15" customHeight="1">
      <c r="A391" s="104" t="s">
        <v>281</v>
      </c>
      <c r="B391" s="104" t="s">
        <v>1582</v>
      </c>
      <c r="C391" s="105" t="s">
        <v>1499</v>
      </c>
      <c r="D391" s="104" t="s">
        <v>760</v>
      </c>
      <c r="E391" s="104">
        <v>1</v>
      </c>
      <c r="F391" s="107" t="s">
        <v>33</v>
      </c>
    </row>
    <row r="392" spans="1:6" ht="15" customHeight="1">
      <c r="A392" s="104" t="s">
        <v>281</v>
      </c>
      <c r="B392" s="104" t="s">
        <v>1587</v>
      </c>
      <c r="C392" s="105" t="s">
        <v>1502</v>
      </c>
      <c r="D392" s="104" t="s">
        <v>255</v>
      </c>
      <c r="E392" s="104">
        <v>1</v>
      </c>
      <c r="F392" s="107" t="s">
        <v>33</v>
      </c>
    </row>
    <row r="393" spans="1:6" ht="15" customHeight="1">
      <c r="A393" s="104" t="s">
        <v>281</v>
      </c>
      <c r="B393" s="104" t="s">
        <v>1584</v>
      </c>
      <c r="C393" s="105" t="s">
        <v>180</v>
      </c>
      <c r="D393" s="104" t="s">
        <v>539</v>
      </c>
      <c r="E393" s="104">
        <v>1</v>
      </c>
      <c r="F393" s="106" t="s">
        <v>37</v>
      </c>
    </row>
    <row r="394" spans="1:6" ht="15" customHeight="1">
      <c r="A394" s="104" t="s">
        <v>281</v>
      </c>
      <c r="B394" s="104" t="s">
        <v>1582</v>
      </c>
      <c r="C394" s="105" t="s">
        <v>1503</v>
      </c>
      <c r="D394" s="104" t="s">
        <v>760</v>
      </c>
      <c r="E394" s="104">
        <v>1</v>
      </c>
      <c r="F394" s="107" t="s">
        <v>33</v>
      </c>
    </row>
    <row r="395" spans="1:6" ht="15" customHeight="1">
      <c r="A395" s="104" t="s">
        <v>281</v>
      </c>
      <c r="B395" s="104" t="s">
        <v>1586</v>
      </c>
      <c r="C395" s="105" t="s">
        <v>1504</v>
      </c>
      <c r="D395" s="104" t="s">
        <v>252</v>
      </c>
      <c r="E395" s="104">
        <v>1</v>
      </c>
      <c r="F395" s="107" t="s">
        <v>33</v>
      </c>
    </row>
    <row r="396" spans="1:6" ht="15" customHeight="1">
      <c r="A396" s="104" t="s">
        <v>281</v>
      </c>
      <c r="B396" s="104" t="s">
        <v>1586</v>
      </c>
      <c r="C396" s="105" t="s">
        <v>1507</v>
      </c>
      <c r="D396" s="104" t="s">
        <v>252</v>
      </c>
      <c r="E396" s="104">
        <v>1</v>
      </c>
      <c r="F396" s="107" t="s">
        <v>33</v>
      </c>
    </row>
    <row r="397" spans="1:6" ht="15" customHeight="1">
      <c r="A397" s="104" t="s">
        <v>281</v>
      </c>
      <c r="B397" s="104" t="s">
        <v>1587</v>
      </c>
      <c r="C397" s="105" t="s">
        <v>1510</v>
      </c>
      <c r="D397" s="104" t="s">
        <v>255</v>
      </c>
      <c r="E397" s="104">
        <v>1</v>
      </c>
      <c r="F397" s="107" t="s">
        <v>33</v>
      </c>
    </row>
    <row r="398" spans="1:6" ht="15" customHeight="1">
      <c r="A398" s="104" t="s">
        <v>281</v>
      </c>
      <c r="B398" s="104" t="s">
        <v>1582</v>
      </c>
      <c r="C398" s="105" t="s">
        <v>1512</v>
      </c>
      <c r="D398" s="104" t="s">
        <v>760</v>
      </c>
      <c r="E398" s="104">
        <v>1</v>
      </c>
      <c r="F398" s="107" t="s">
        <v>33</v>
      </c>
    </row>
    <row r="399" spans="1:6" ht="15" customHeight="1">
      <c r="A399" s="104" t="s">
        <v>281</v>
      </c>
      <c r="B399" s="104" t="s">
        <v>1592</v>
      </c>
      <c r="C399" s="105" t="s">
        <v>1516</v>
      </c>
      <c r="D399" s="104" t="s">
        <v>247</v>
      </c>
      <c r="E399" s="104">
        <v>1</v>
      </c>
      <c r="F399" s="107" t="s">
        <v>33</v>
      </c>
    </row>
    <row r="400" spans="1:6" ht="15" customHeight="1">
      <c r="A400" s="104" t="s">
        <v>281</v>
      </c>
      <c r="B400" s="104" t="s">
        <v>1584</v>
      </c>
      <c r="C400" s="105" t="s">
        <v>1517</v>
      </c>
      <c r="D400" s="104" t="s">
        <v>539</v>
      </c>
      <c r="E400" s="104">
        <v>1</v>
      </c>
      <c r="F400" s="107" t="s">
        <v>33</v>
      </c>
    </row>
    <row r="401" spans="1:6" ht="15" customHeight="1">
      <c r="A401" s="104" t="s">
        <v>281</v>
      </c>
      <c r="B401" s="104" t="s">
        <v>1586</v>
      </c>
      <c r="C401" s="105" t="s">
        <v>1519</v>
      </c>
      <c r="D401" s="104" t="s">
        <v>252</v>
      </c>
      <c r="E401" s="104">
        <v>1</v>
      </c>
      <c r="F401" s="109" t="s">
        <v>42</v>
      </c>
    </row>
    <row r="402" spans="1:6" ht="15" customHeight="1">
      <c r="A402" s="104" t="s">
        <v>281</v>
      </c>
      <c r="B402" s="104" t="s">
        <v>1580</v>
      </c>
      <c r="C402" s="105" t="s">
        <v>1522</v>
      </c>
      <c r="D402" s="104" t="s">
        <v>808</v>
      </c>
      <c r="E402" s="104">
        <v>1</v>
      </c>
      <c r="F402" s="106" t="s">
        <v>37</v>
      </c>
    </row>
    <row r="403" spans="1:6" ht="15" customHeight="1">
      <c r="A403" s="104" t="s">
        <v>281</v>
      </c>
      <c r="B403" s="104" t="s">
        <v>1584</v>
      </c>
      <c r="C403" s="105" t="s">
        <v>1523</v>
      </c>
      <c r="D403" s="104" t="s">
        <v>539</v>
      </c>
      <c r="E403" s="104">
        <v>1</v>
      </c>
      <c r="F403" s="106" t="s">
        <v>37</v>
      </c>
    </row>
    <row r="404" spans="1:6" ht="15" customHeight="1">
      <c r="A404" s="104" t="s">
        <v>281</v>
      </c>
      <c r="B404" s="104" t="s">
        <v>1590</v>
      </c>
      <c r="C404" s="105" t="s">
        <v>1525</v>
      </c>
      <c r="D404" s="104" t="s">
        <v>515</v>
      </c>
      <c r="E404" s="104">
        <v>1</v>
      </c>
      <c r="F404" s="107" t="s">
        <v>33</v>
      </c>
    </row>
    <row r="405" spans="1:6" ht="15" customHeight="1">
      <c r="A405" s="104" t="s">
        <v>281</v>
      </c>
      <c r="B405" s="104" t="s">
        <v>1590</v>
      </c>
      <c r="C405" s="105" t="s">
        <v>1527</v>
      </c>
      <c r="D405" s="104" t="s">
        <v>515</v>
      </c>
      <c r="E405" s="104">
        <v>1</v>
      </c>
      <c r="F405" s="107" t="s">
        <v>33</v>
      </c>
    </row>
    <row r="406" spans="1:6" ht="15" customHeight="1">
      <c r="A406" s="104" t="s">
        <v>281</v>
      </c>
      <c r="B406" s="104" t="s">
        <v>1588</v>
      </c>
      <c r="C406" s="105" t="s">
        <v>1529</v>
      </c>
      <c r="D406" s="104" t="s">
        <v>1589</v>
      </c>
      <c r="E406" s="104">
        <v>1</v>
      </c>
      <c r="F406" s="108" t="s">
        <v>27</v>
      </c>
    </row>
    <row r="407" spans="1:6" ht="15" customHeight="1">
      <c r="A407" s="104" t="s">
        <v>281</v>
      </c>
      <c r="B407" s="104" t="s">
        <v>1590</v>
      </c>
      <c r="C407" s="105" t="s">
        <v>1533</v>
      </c>
      <c r="D407" s="104" t="s">
        <v>515</v>
      </c>
      <c r="E407" s="104">
        <v>1</v>
      </c>
      <c r="F407" s="106" t="s">
        <v>37</v>
      </c>
    </row>
    <row r="408" spans="1:6" ht="15" customHeight="1">
      <c r="A408" s="104" t="s">
        <v>281</v>
      </c>
      <c r="B408" s="104" t="s">
        <v>1588</v>
      </c>
      <c r="C408" s="105" t="s">
        <v>1534</v>
      </c>
      <c r="D408" s="104" t="s">
        <v>1589</v>
      </c>
      <c r="E408" s="104">
        <v>1</v>
      </c>
      <c r="F408" s="109" t="s">
        <v>42</v>
      </c>
    </row>
    <row r="409" spans="1:6" ht="15" customHeight="1">
      <c r="A409" s="104" t="s">
        <v>281</v>
      </c>
      <c r="B409" s="104" t="s">
        <v>1588</v>
      </c>
      <c r="C409" s="105" t="s">
        <v>1535</v>
      </c>
      <c r="D409" s="104" t="s">
        <v>1589</v>
      </c>
      <c r="E409" s="104">
        <v>1</v>
      </c>
      <c r="F409" s="109" t="s">
        <v>42</v>
      </c>
    </row>
  </sheetData>
  <autoFilter ref="A1:F409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블로그 데이터(10월)</vt:lpstr>
      <vt:lpstr>키워드 분석(10월)</vt:lpstr>
      <vt:lpstr>카테고리 분류(10월)</vt:lpstr>
      <vt:lpstr>블로그 데이터(9월)</vt:lpstr>
      <vt:lpstr>키워드 분석(9월)</vt:lpstr>
      <vt:lpstr>카테고리 분류(9월)</vt:lpstr>
      <vt:lpstr>블로그 데이터(8월)</vt:lpstr>
      <vt:lpstr>키워드 분석(8월)</vt:lpstr>
      <vt:lpstr>카테고리 분류(8월)</vt:lpstr>
      <vt:lpstr>블로그 데이터(7월)</vt:lpstr>
      <vt:lpstr>키워드 분석(7월)</vt:lpstr>
      <vt:lpstr>카테고리 분류(7월)</vt:lpstr>
      <vt:lpstr>블로그 데이터(6월)</vt:lpstr>
      <vt:lpstr>키워드 분석(6월)</vt:lpstr>
      <vt:lpstr>카테고리 분류(6월)</vt:lpstr>
      <vt:lpstr>블로그 데이터(5월)</vt:lpstr>
      <vt:lpstr>키워드 분석5월)</vt:lpstr>
      <vt:lpstr>카테고리 분류(5월)</vt:lpstr>
      <vt:lpstr>블로그 데이터(4월)</vt:lpstr>
      <vt:lpstr>키워드 분석(4월)</vt:lpstr>
      <vt:lpstr>카테고리 분류(4월)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cp:revision>0</cp:revision>
  <dcterms:created xsi:type="dcterms:W3CDTF">2026-06-04T06:12:41Z</dcterms:created>
  <dcterms:modified xsi:type="dcterms:W3CDTF">2026-10-29T06:02:31Z</dcterms:modified>
  <dc:language>en-US</dc:language>
</cp:coreProperties>
</file>